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Crop DATs " sheetId="1" r:id="rId4"/>
    <sheet state="visible" name="Arable" sheetId="2" r:id="rId5"/>
    <sheet state="visible" name="Fruits" sheetId="3" r:id="rId6"/>
    <sheet state="visible" name="Vineyards" sheetId="4" r:id="rId7"/>
    <sheet state="visible" name="Vegetables" sheetId="5" r:id="rId8"/>
    <sheet state="visible" name="Orchards" sheetId="6" r:id="rId9"/>
  </sheets>
  <definedNames/>
  <calcPr/>
  <extLst>
    <ext uri="GoogleSheetsCustomDataVersion2">
      <go:sheetsCustomData xmlns:go="http://customooxmlschemas.google.com/" r:id="rId10" roundtripDataChecksum="7xMaDbPpC0wyG9zRDGNU6WnwtA62gTbZuyeQ6X45Pqk="/>
    </ext>
  </extLst>
</workbook>
</file>

<file path=xl/sharedStrings.xml><?xml version="1.0" encoding="utf-8"?>
<sst xmlns="http://schemas.openxmlformats.org/spreadsheetml/2006/main" count="2762" uniqueCount="642">
  <si>
    <t>DAT category</t>
  </si>
  <si>
    <t>Platform</t>
  </si>
  <si>
    <t>For</t>
  </si>
  <si>
    <t>DAT name</t>
  </si>
  <si>
    <t>DAT provider name</t>
  </si>
  <si>
    <t>DAT short Description</t>
  </si>
  <si>
    <t>DAT provider website</t>
  </si>
  <si>
    <t>Platform Link</t>
  </si>
  <si>
    <t>Crop type</t>
  </si>
  <si>
    <t>Cost Info</t>
  </si>
  <si>
    <t>Economic Benefit from DAT provider</t>
  </si>
  <si>
    <t xml:space="preserve">Environmental Benefit from DAT provider </t>
  </si>
  <si>
    <t>Environmental Benefits from Literature Review</t>
  </si>
  <si>
    <t>Farm Management Information Systems (FMIS) and applications (inc. Decision Support Systems (DSS), Quality Management Systems (QMS))</t>
  </si>
  <si>
    <t>NA</t>
  </si>
  <si>
    <t>Irrigation-DSS</t>
  </si>
  <si>
    <t>Plantae manager</t>
  </si>
  <si>
    <t>Plantae</t>
  </si>
  <si>
    <t>Plantae Manager is an irrigation decision support system (DSS) designed to help farmers optimize their irrigation practices and improve water use efficiency. The software collects data on a range of factors that can impact irrigation, including soil moisture, weather conditions, crop growth stage, and more. Based on this data, Plantae Manager provides recommendations on when and how much to irrigate, as well as tools for creating irrigation schedules and monitoring water use. The software is designed to work with a range of irrigation systems, including drip irrigation, sprinkler irrigation, and pivot systems. It can also integrate with weather stations, soil moisture sensors, and other monitoring equipment to provide real-time data and insights. Overall, Plantae Manager is a comprehensive irrigation DSS that can help farmers save water, reduce costs, and improve crop yields.</t>
  </si>
  <si>
    <t>https://plantae.garden/</t>
  </si>
  <si>
    <t>arable,vegetables,orchards</t>
  </si>
  <si>
    <t>700euro/year</t>
  </si>
  <si>
    <t>Zen-Irriware</t>
  </si>
  <si>
    <t xml:space="preserve">Agritask </t>
  </si>
  <si>
    <t>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</si>
  <si>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https://zenagropc.com/georgia-akriveias/</t>
  </si>
  <si>
    <t>arable crops, fruits, vineyards and vegetables</t>
  </si>
  <si>
    <t>20-30 euros per year for up to five plots or 3.000 euros for private use by a company or cooperative</t>
  </si>
  <si>
    <t xml:space="preserve">30-100% irrigation water saving </t>
  </si>
  <si>
    <t>Zen Agro</t>
  </si>
  <si>
    <t>Multipurpose - DSS/ FMIS</t>
  </si>
  <si>
    <t>AgriTask DSS</t>
  </si>
  <si>
    <t>Agritask is a farm management platform that provides a range of tools and features to help farmers manage their operations more efficiently. The platform includes capabilities for field mapping, crop scouting, pest management, and harvest tracking, among others. Agritask can also integrate with a range of sensors and other data sources to provide real-time insights into crop performance and other factors affecting farm productivity. 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</si>
  <si>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https://start.agritask.com/wp-content/uploads/2021/03/HZPC-case-study.pdf</t>
  </si>
  <si>
    <t>potatos</t>
  </si>
  <si>
    <t xml:space="preserve">950 euros/per year </t>
  </si>
  <si>
    <t>Fairshare</t>
  </si>
  <si>
    <t>Multipurpose- DSS/FMIS</t>
  </si>
  <si>
    <t>VegSyst Decision Support System (VegSyst-DSS)</t>
  </si>
  <si>
    <t xml:space="preserve">Universidad de Almería
</t>
  </si>
  <si>
    <t>The VegSyst Decision Support System (VegSyst-DSS) has been developed to calculate daily N fertilizer and irrigation requirements, and the N concentration of the applied nutrient solution applied for fertigated vegetable crops grown in greenhouses. It can be used for crops grown in soil or substrate. N fertilizer requirements are based on daily crop N uptake and consider soil mineral N at planting, and N mineralized from manure and soil organic matter. Irrigation requirements are based on estimated evapotranspiration (ETc) and consider irrigation application efficiency and the salinity of irrigation water.  ETc can be calculated using the Penman-Monteith equation adapted to greenhouses or the Almeria radiation equation</t>
  </si>
  <si>
    <t>https://w3.ual.es/GruposInv/nitrogeno/VegSyst-DSS.shtml</t>
  </si>
  <si>
    <t>https://fairshare-pnf.eu/tool-details?id=5e33213450aeb3490a24f3a8&amp;flag=true&amp;name=VegSyst-DSS</t>
  </si>
  <si>
    <t>vegetables</t>
  </si>
  <si>
    <t>free</t>
  </si>
  <si>
    <t>Monitoring- FMIS</t>
  </si>
  <si>
    <t>x Growing Support Systems</t>
  </si>
  <si>
    <t>NetSensors</t>
  </si>
  <si>
    <t>N3tSensors AGRO PLUS is the Premium version of N3tSensors AGRO.
The establish partnership between NumbersAgain and Itri Corporation (owner of Hawk-Eye™ Systems) gave us the possibility to expand our scope and advantages.
The N3tSensors AGRO PLUS Platform gives you the power to have:
 - 24/7/365 Real-Time Monitoring and Control;
 - Measurement &amp; Listening to what the Crop has to "Say";
 - Prescribing Irrigation;
 - Remote Scouting Crop; 
 - Integration of new and existing Sensors and Agricultural Systems;
 - Dashboard in a Web Browser (no App needed);
 - Alarms by Email, SMS and Voice;
 - Data Export.
N3tSensors AGRO PLUS has the exact same features and workflow of N3tSensors AGRO with the additional integration, upstream, of the Hawk-Eye™ Systems.</t>
  </si>
  <si>
    <t>http://www.netsensors.pt/ps.html</t>
  </si>
  <si>
    <t>https://fairshare-pnf.eu/tool-details?id=5f6cc0961f68f325af42e155&amp;flag=true&amp;name=N3tSensors%20Agro%20Plus</t>
  </si>
  <si>
    <t>all</t>
  </si>
  <si>
    <t>4.900 euros and 150 euros/month (monthly subscription)</t>
  </si>
  <si>
    <t>Wisecrop</t>
  </si>
  <si>
    <t>wisecrop</t>
  </si>
  <si>
    <t>Recording and evaluation of the water stress of the plantation through the plant, meteorology, soil and/or substrate
Personalized irrigation suggestions (time and quantity) depending on the production method and the data collected from the plantation
Programs, reports Remote control and immediate action in the irrigation system</t>
  </si>
  <si>
    <t>https://www.wisecrop.com/en/apps</t>
  </si>
  <si>
    <t>https://fairshare-pnf.eu/tool-details?id=5f310bfc1f68f325af42e12b&amp;flag=true&amp;name=Wisecrop</t>
  </si>
  <si>
    <t>30 euros/month</t>
  </si>
  <si>
    <t xml:space="preserve">NMP online </t>
  </si>
  <si>
    <t>Teagasc</t>
  </si>
  <si>
    <t>NMP Online is an online web application that allows Agricultural Advisors to prepare Nutrient Management Plans required for farm management purposes.
These plans are required both to show compliance with regulations and as a criteria for participation in farm management schemes.
NMP Online has met the requirements for Nutrient Management Planning (NMP); for participation in the GLAS Scheme and for submission of the NMP element of the Nitrates Derogation application. 
It has been developed to handle the complex legislative and compliance framework that governs the management of nutrients and protection of waters.
The system is used by more than 850 farm advisors nationwide, who now have more than 250k plans on the system for 60k farmers.
The NMP online system was developed by Teagasc in conjunction with Compass Informatics Ltd, starting in 2014. It has continuously evolved since, to comply with changing legislation and to introduce new features.</t>
  </si>
  <si>
    <t>https://www.teagasc.ie/about/our-organisation/connected/pricing--plans/</t>
  </si>
  <si>
    <t>https://fairshare-pnf.eu/tool-details?id=5e79e03ef72ec11a927e1f06&amp;flag=true&amp;name=NMP%20Online</t>
  </si>
  <si>
    <t>250 euros/year</t>
  </si>
  <si>
    <t>EOSDA Crop Monitoring</t>
  </si>
  <si>
    <t>EOS</t>
  </si>
  <si>
    <t>EOSDA Crop Monitoring is an advanced satellite-powered precision farming platform for food producers, insurance companies, input suppliers, and other agricultural players.
Effortlessly access data on crop health, weather conditions, crop rotation, field activities, elevation, soil moisture, and more — all seamlessly embedded into a user-friendly interface.</t>
  </si>
  <si>
    <t>https://eos.com/</t>
  </si>
  <si>
    <t>https://fairshare-pnf.eu/tool-details?id=5e331b3d50aeb3490a24f3a7&amp;flag=true&amp;name=EOS%20Crop%20Monitoring</t>
  </si>
  <si>
    <t>950 euros/year</t>
  </si>
  <si>
    <t xml:space="preserve">My Irrigation </t>
  </si>
  <si>
    <t>aquagri</t>
  </si>
  <si>
    <t>MyIrrigation platform was developed to be a simple tool that integrates different sources of information, to give farmers/advisers/technicians the best available information in order to help them manage their daily operations regarding irrigation management.
MyIrrigation integrates information from soil probes, water probes, weather stations, satellite Imagery and weather forecasting models.
The main Aquagri's objetive when developing MyIrrigation was to create a simple and reliable tool to optimise water utilisation for irrigation</t>
  </si>
  <si>
    <t>https://www.aquagri.eu/myirrigation?lang=en</t>
  </si>
  <si>
    <t>https://fairshare-pnf.eu/tool-details?id=611f775ab96c330883d4d254&amp;flag=true&amp;name=MyIrrigation</t>
  </si>
  <si>
    <t>60 euros/year</t>
  </si>
  <si>
    <t xml:space="preserve">Smartakis </t>
  </si>
  <si>
    <t xml:space="preserve">Monitoring-FMIS </t>
  </si>
  <si>
    <t>TRUAS TrueAgriculturalSensing</t>
  </si>
  <si>
    <t>AgroTechnology</t>
  </si>
  <si>
    <t>Crop monitoring with usage of multispectral camera and small unmanned aerial vehicle (UAV) for nitrogen management and diseases and water stress monitoring. Final product is qualified nitrogen variable application prescription based on agronomical rules.</t>
  </si>
  <si>
    <t>https://agrotechnology.pl/</t>
  </si>
  <si>
    <t>https://smart-akis.com/SFCPPortal/#/app-h/technologies?techid=1604</t>
  </si>
  <si>
    <t>6 euros/ha</t>
  </si>
  <si>
    <t>Irrigation pro</t>
  </si>
  <si>
    <t>IrrigationPro</t>
  </si>
  <si>
    <t>Irrigation Pro is an irrigation management software designed for agricultural operations. The software provides a range of tools and features to help farmers optimize their irrigation practices, including soil moisture monitoring, irrigation scheduling, and real-time data analysis. The software is compatible with a range of sensors and data sources, enabling farmers to monitor soil moisture, weather conditions, and other factors that impact irrigation. With Irrigation Pro, farmers can make informed decisions about when and how much to irrigate their crops, reducing water usage and increasing crop yield. Overall, Irrigation Pro is a powerful tool for improving irrigation management, reducing costs, and improving environmental sustainability.</t>
  </si>
  <si>
    <t>https://www.irrigationpro.mk/</t>
  </si>
  <si>
    <t>arable crops, fruits, vineyards, vegetables</t>
  </si>
  <si>
    <t>200 euros</t>
  </si>
  <si>
    <t>Monitoring-FMIS</t>
  </si>
  <si>
    <t>iFarma</t>
  </si>
  <si>
    <t>Agrostis</t>
  </si>
  <si>
    <t>Ifarma helps the farmers to plan, monitor and keep records of all farming activities during the cultivating season. Producers can also keep records of quantities and cost of all inputs and resources, suchcas workers, machines, seeds, fertilizers, plant protectant. The ifarma app works both as a cloud/web and as a mobile app. It is suitable both for individual farmers and for producer organizations, cooperatives, and agriculture production companies.</t>
  </si>
  <si>
    <t>https://ifarma.agrostis.gr/</t>
  </si>
  <si>
    <t>180 euros/year for basic and 340/year for pro</t>
  </si>
  <si>
    <t>navfarm</t>
  </si>
  <si>
    <t>Navfarm</t>
  </si>
  <si>
    <t xml:space="preserve"> Prudence Technology has built NAVFARM™, an application specifically meant to manage the Farms and livestock. NAVFARM™ not only helps to manage Farms and livestock but also contributes to achieving the production, food processing, and its distribution, bookkeeping along with critical reporting in a scheduled manner. NAVFARM™ is a user-friendly Business solution which is integrated with ERP systems like Microsoft Dynamics etc. It integrates through way- bridges that gives you complete automation and help you to better understand your business and make more confident and informed decisions.</t>
  </si>
  <si>
    <t>https://www.navfarm.com/</t>
  </si>
  <si>
    <t>20 euros/month</t>
  </si>
  <si>
    <t>Granular</t>
  </si>
  <si>
    <t>Corteva</t>
  </si>
  <si>
    <t xml:space="preserve">A portfolio of digital solutions that help agricultural professionals make informed, data-driven decisions. These next-generation digital solutions deliver knowledge and artificial intelligence that producers and agronomists need to run more efficient, profitable and sustainable businesses. They also detect and indicate future opportunities for innovation.  </t>
  </si>
  <si>
    <r>
      <rPr>
        <rFont val="Arial"/>
      </rPr>
      <t xml:space="preserve">https://www.corteva.com/
</t>
    </r>
    <r>
      <rPr>
        <rFont val="Arial"/>
        <color rgb="FF1155CC"/>
        <u/>
      </rPr>
      <t>https://www.corteva.gr/content/dam/dpagco/corteva/eu/gr/el/files/granular-club/GRANULAR%20CLUB%20-%20%CE%A6%CE%A5%CE%9B%CE%9B%CE%91%CE%94%CE%99%CE%9F.PDF</t>
    </r>
  </si>
  <si>
    <t>arrable</t>
  </si>
  <si>
    <t>70 euros/year</t>
  </si>
  <si>
    <t>INCOMMAND 800</t>
  </si>
  <si>
    <t xml:space="preserve">Ag Leader </t>
  </si>
  <si>
    <t>The InCommand 800 by Ag Leader is a farm management information system designed to provide real-time monitoring and control for a range of farming operations. The system offers features such as crop monitoring, yield mapping, and data analysis to help farmers make informed decisions about planting, fertilizing, and harvesting their crops. The InCommand 800 integrates with a range of sensors and equipment, including GPS systems, planting and seeding systems, and yield monitors, providing farmers with real-time data and insights into their farming operations. The system also offers a user-friendly interface, allowing farmers to easily access and manage their data, as well as customizable dashboards and reports for tracking performance and progress over time. Overall, the InCommand 800 is a comprehensive farm management solution that helps farmers optimize their operations, increase yields, and reduce costs.</t>
  </si>
  <si>
    <t>https://www.agleader.com/farm-management/displays/incommand/</t>
  </si>
  <si>
    <t>3.300 euros</t>
  </si>
  <si>
    <t>INCOMMAND 1200</t>
  </si>
  <si>
    <t>The InCommand 1200 by Ag Leader is a farm management information system that provides real-time monitoring and control capabilities for a wide range of farming operations. The system offers features such as crop monitoring, yield mapping, and data analysis to help farmers make informed decisions about planting, fertilizing, and harvesting their crops. The InCommand 1200 integrates with a variety of sensors and equipment, including GPS systems, planting and seeding systems, and yield monitors, providing farmers with real-time data and insights into their farming operations. The system also features a large, high-resolution display with a customizable interface that enables easy access and management of data. Farmers can also create customized dashboards and reports for tracking performance and progress over time. Overall, the InCommand 1200 is a powerful farm management solution that helps farmers optimize their operations, increase yields, and reduce costs.</t>
  </si>
  <si>
    <t>https://www.agleader.com/</t>
  </si>
  <si>
    <t>6.300 euros</t>
  </si>
  <si>
    <t xml:space="preserve">eVineyard Management Software </t>
  </si>
  <si>
    <t xml:space="preserve">eVineyard </t>
  </si>
  <si>
    <t xml:space="preserve">eVineyard is an intuitive and easy-to-use vineyard management software that helps you grow better quality grapes more sustainably </t>
  </si>
  <si>
    <t>https://www.evineyardapp.com/vineyard_information_management</t>
  </si>
  <si>
    <t xml:space="preserve">grapes </t>
  </si>
  <si>
    <t xml:space="preserve">495 euros/month </t>
  </si>
  <si>
    <t xml:space="preserve">20% saving costs </t>
  </si>
  <si>
    <t xml:space="preserve">CropX App </t>
  </si>
  <si>
    <t>CropX</t>
  </si>
  <si>
    <t>The CropX agronomic farm management system is an easy-to-use integrated hardware and software system that connects farm data, real-time conditions and agronomic knowledge to provide guidance for successful and sustainable farming, while aggregating all agronomic farm data in one place for easy tracking and sharing</t>
  </si>
  <si>
    <t>https://cropx.com/</t>
  </si>
  <si>
    <t xml:space="preserve">400 euros/sensor/year </t>
  </si>
  <si>
    <t xml:space="preserve">70% yield increase (sugarcane), 27% yield increase, 15% fertilizer use reduction (banana), 14% yield increase and 68% water use reduction (trees) </t>
  </si>
  <si>
    <t>HawkEye</t>
  </si>
  <si>
    <t>HawkEye is a software solution designed for farming operations that provides a range of decision support, data recording, visualization, and reporting tools. The software helps farmers make sense of and visualize their farm activity and environment, allowing them to better understand and manage their operations. With HawkEye, farmers can collect and analyze data on various aspects of their farm, such as soil moisture, crop yield, weather conditions, and more. The software provides tools for creating maps, charts, and other visualizations that make it easier to interpret and act on the data. Overall, HawkEye can help farmers optimize their operations, improve yields, and reduce costs</t>
  </si>
  <si>
    <t>https://www.hawkeye.farm/</t>
  </si>
  <si>
    <t>500 euros/year</t>
  </si>
  <si>
    <t>Multipurpose-FMIS</t>
  </si>
  <si>
    <t>Trimble Ag Software</t>
  </si>
  <si>
    <t>Trimble</t>
  </si>
  <si>
    <t>Trimble Ag Software is a Farm Management Information System (FMIS) designed to help farmers, agronomists, and other agricultural stakeholders manage various aspects of their farming operations. The software provides tools for planning, monitoring, and analyzing data related to crops, livestock, and resources, enabling users to make informed decisions. Key features include field mapping and record keeping, crop planning and management, precision agriculture tools using GPS and GIS technologies, weather tracking and forecasting, financial management, livestock management, and mobile applications for on-the-go access. By centralizing data and offering decision support tools, Trimble Ag Software aims to streamline farm management, optimize operations, and improve profitability.</t>
  </si>
  <si>
    <t>https://agriculture.trimble.com/en/products/software/trimble-agriculture-software</t>
  </si>
  <si>
    <t>1000 euros/year</t>
  </si>
  <si>
    <t>Guidance / Controlled Traffic Farming (CTF) technologies</t>
  </si>
  <si>
    <t>Autosteering</t>
  </si>
  <si>
    <t>FJD AT1 Autosteering Kit</t>
  </si>
  <si>
    <t>FJDynamics</t>
  </si>
  <si>
    <t>FJD AT1 Autosteering Kit uses GNSS and RTK to navigate tractors along straight lines, curves, or concentric circles with sub-inch (2.5cm) accuracy. This auto steer works with a wide array of tractors, harvesters, and other agricultural machines.</t>
  </si>
  <si>
    <t>https://www.fjdynamics.com/product/fjd-at2-auto-steer-system</t>
  </si>
  <si>
    <t>6.290 euros</t>
  </si>
  <si>
    <t>Sveaverken F100 Auto Steer System</t>
  </si>
  <si>
    <t>Sveasverken</t>
  </si>
  <si>
    <t>Sveaverken F100 auto steer system helps farmers to realize the vision of cost reduction and efficiency improvement. It reduces the amount of fuel, seed, fertilizer, and pesticides by optimizing the tractor's path through the field. It also increases yield per hectare by eliminating skips and overlaps in the field with RTK precision navigation technology.</t>
  </si>
  <si>
    <t>https://www.sveaverken.com/products/f100-auto-steer-system?utm_source=google&amp;utm_campaign=2427&amp;utm_medium=cpc-Brand&amp;gclid=CjwKCAiA3KefBhByEiwAi2LDHINNcPP4GXwLATZADq2e9cNj54SShrlbE3ZiVKvlGP7SGnpDzXiLzxoCYWAQAvD_BwE</t>
  </si>
  <si>
    <t>5.100 euros</t>
  </si>
  <si>
    <t>FieldBee GPS tractor system</t>
  </si>
  <si>
    <t xml:space="preserve">FieldBee </t>
  </si>
  <si>
    <t>A simple and affordable tractor navigation and auto steering system for your farm</t>
  </si>
  <si>
    <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508504786</t>
  </si>
  <si>
    <t>All</t>
  </si>
  <si>
    <t xml:space="preserve">849 euros </t>
  </si>
  <si>
    <t xml:space="preserve">reduce costs up to 15% </t>
  </si>
  <si>
    <t>GPS Guidance System</t>
  </si>
  <si>
    <t>JY100 Tractor GNSS Guidance System</t>
  </si>
  <si>
    <t>SMAJAU</t>
  </si>
  <si>
    <t>JY100 guidance system consists of professional GNSS smart antenna, large display and guidance software. It would be the ultimate guidance solution for today's precision farmer. soft-ware has farmer-friendly GUI and large iconic buttons for each function. It features navigation access within 3-click ideal for minimal training and guidance experience. JY100 is robust, accurate and affordable enabling you to easily perform various farming tasks, extend your operating hours and enhance the productivity of your farm.</t>
  </si>
  <si>
    <t>https://www.smajayu.com/</t>
  </si>
  <si>
    <t>1.500 euros</t>
  </si>
  <si>
    <t xml:space="preserve">Autosteering-FMIS </t>
  </si>
  <si>
    <t>AgriBus-GMiniR</t>
  </si>
  <si>
    <t>AgriBus</t>
  </si>
  <si>
    <t>AgriBus-GMiniR is a powerful GPS receiver and farm management system that provides farmers with real-time data and accurate GPS positioning for a range of farming operations. The system is designed to optimize efficiency, reduce waste, and improve sustainability, with features such as automatic section control, CTF capabilities, and autosteering. The AgriBus-GMiniR, designed for ultra-high precision guidance with AgriBus-NAVI, is equipped with a dual-frequency RTK-GNSS/GPS module from u-blox and is capable of centimeter-level ultra-high precision positioning. The u-blox RTK-GNSS/GPS module can be used as a reference station, and can also be easily switched to a reference station via a dedicated application. The sensor-based path prediction and correction minimize positioning errors. By integrating with a range of agricultural equipment, including tractors and sprayers, the system provides farmers with highly accurate GPS guidance and real-time monitoring, enabling precise control over their operations and minimizing overlaps and soil compaction. The autosteering function further enhances efficiency and accuracy, reducing operator fatigue and the risk of missed areas. Overall, AgriBus-GMiniR is a valuable tool for farmers looking to improve their productivity and profitability while reducing their environmental impact.</t>
  </si>
  <si>
    <t>https://shop.agri-info-design.com/en-eu</t>
  </si>
  <si>
    <t>1.100 euros</t>
  </si>
  <si>
    <t>AutoTrac Controller</t>
  </si>
  <si>
    <t>John Deere</t>
  </si>
  <si>
    <t>Integrated automatic guidance system which can be retrofitted on third party machines</t>
  </si>
  <si>
    <t>https://www.deere.com/en/technology-products/precision-ag-technology/guidance/auto-trac-controller/</t>
  </si>
  <si>
    <t>https://www.smart-akis.com/wp-content/uploads/techhtmpdf/1118.htm</t>
  </si>
  <si>
    <t xml:space="preserve">12.500 euros </t>
  </si>
  <si>
    <t>GPS</t>
  </si>
  <si>
    <t>Tractor Implement Automation</t>
  </si>
  <si>
    <t>Simplified operation: e.g. one touch, one bale
Maximise throughput and higher productivity
Relaxed working and reduced stress for the operator
Consistent bale quality, planting and other work results
Reduced fuel consumption</t>
  </si>
  <si>
    <t>https://www.deere.co.uk/en/precision-agriculture/automation-systems/tractor-implement-automation/</t>
  </si>
  <si>
    <t xml:space="preserve">10.000- 25.000 euros </t>
  </si>
  <si>
    <t>Agribus straight assistance package</t>
  </si>
  <si>
    <t>The AgriBus straight assistance package by AgriBus is an entry-level model in their automatic steering series that allows farmers to add an automatic steering function to their tractors externally. The system is designed to work seamlessly with the AgriBus-GMiniR GNSS/GPS device to provide ultra-high-precision automatic steering at half the price of similar systems. With the AgriBus straight assistance package, farmers can reduce fatigue and increase efficiency by letting the system work straight without error, freeing them up to focus on other tasks. The system is user-friendly and easy to operate, allowing anyone to use it effectively. An entry model in the Agribus automatic steering series that can add an automatic steering function to your tractor externallyAgribus straight assistance packageWas appeared. Acts ultra-high-precision automatic steering by combining with Agribus-Gminir, a GNSS/GPS device. At half the price so far, it will work straight without an error instead of you. Easy operation, anyone can work and reduce fatigue. Overall, the AgriBus straight assistance package represents a major step forward for precision agriculture, making automatic steering accessible to farmers of all sizes and increasing productivity and profitability in the process.</t>
  </si>
  <si>
    <t>https://shop.agri-info-design.com/en-euu</t>
  </si>
  <si>
    <t>4.320 euros</t>
  </si>
  <si>
    <t>Trimple GFX 1060 + NAV 500</t>
  </si>
  <si>
    <t>Tractor GPS</t>
  </si>
  <si>
    <t>Trimble GFX-750 is the long-expected new navigation display by Trimble and continues a strong tradition of sleek, easy‑to‑use displays from Trimble. Thanks to the simplified installation process, the cab will be less cluttered with this automated guidance system. The GFX-750 display comes with a NAV-900 guidance controller. It is Trimble’s most advanced GNSS receiver to date, built for maximum uptime and a wide range of accuracy options from basic to high precision. The GFX-750 display works on most tractor brands or with most implement manufacturers on your farm with ISOBUS control. Ready to work with Trimble Autopilot guidance systems. The Task Controller function with automatic section control, as well as documentation, is fully integrated and easy to use in the working screen. GFX-750 comes with Wi-Fi, Bluetooth, CAN, and for the first time, BroadR-Reach – high-speed communications to allow fast and easy transfer of data between vehicles and the office.</t>
  </si>
  <si>
    <t>Precision Agriculture Solutions - TractorGPS</t>
  </si>
  <si>
    <t>4.100 euros</t>
  </si>
  <si>
    <t>GFX-750, Nav-900, EZ-Pilot Pro, RTK</t>
  </si>
  <si>
    <t xml:space="preserve">The Trimble GFX-350 display is the most compact display from Trimble Agriculture, perfect for a non intrusive installation in vehicles large and small, including ATVs. Easy to install, this display is built to withstand weather conditions and the tough environment associated with agriculture, whilst bringing modern functionality with an Android operating system, Precision IQ guidance and built in WIFI. The GFX 350 is a perfect introduction to Trimble devices and allows you to configure as you see fit, using its modular licensing and hardware compatibility, its your ideal partner for now and in the future. The EZ-Pilot® Pro guidance system offers high-precision navigation on MFWD, 4WD tractors and combos. The added benefit of the EZ-Pilot Pro is that the vehicles are now able to engage in reverse to better align for the next lap (up to 15 seconds reversing). Adding this feature can allow users to take advantage of a high-precision solution once the accessory touches the ground. With hands-free guidance, the EZ-Pilot Pro system allows you to operate easily and safely on your farm. The electric motor allows unlimited manual driving when the autopilot is not engaged.
</t>
  </si>
  <si>
    <t>15.000 euros</t>
  </si>
  <si>
    <t>EZ-STEER WITH GFX-350</t>
  </si>
  <si>
    <t>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t>
  </si>
  <si>
    <t>https://infrontag.com/trimble</t>
  </si>
  <si>
    <t>6.000 euros</t>
  </si>
  <si>
    <t>EZ-STEER WITH GFX-750</t>
  </si>
  <si>
    <t xml:space="preserve">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 The Trimble® NAV-500™ guidance controller pairs with all GFX series displays. It is especially suited to the GFX-350 display to create a professional level system at a price usually associated with the entry-level market. With the NAV-500™ guidance controller, you get: Compatibility with five (5) satellite constellations: GPS, GLONASS, BeiDou, QZSS, and Galileo Sub-meter accuracy Trimble ViewPoint RTX™ corrections (subscription required). The Trimble™ EZ-Steer® assisted steering system provides simple, portable, hands-free farming for more than 1200 vehicle models – old and new. The EZ-Steer® system turns the steering wheel for you by combining a friction wheel and a motor with guidance from any Trimble™ display. It keeps your vehicle online for efficient, low stress steering capabilities for your farming applications. This is a complete EZ-Steer Base kit for an EZ-Guide 250 and EZ-Guide 500.  The EZ-Guide 250 will require in addition a 4 Pin CAN Cable PN 65536.  Each system will require a vehicle specific bracket and if you are having trouble finding this for your vehicle please contact us directly.
</t>
  </si>
  <si>
    <t>7.000 euros</t>
  </si>
  <si>
    <t>Outback Rebel Row-Crop</t>
  </si>
  <si>
    <t>REBEL</t>
  </si>
  <si>
    <t xml:space="preserve">All-in-one REBEL™ comes fully-loaded with everything you need for the farming you do at one price No hidden fees or extra unlocks for critical software Easy setup for your equipment Always connected with built-in WiFi Always current with wireless updates of your software Simple-to-use with short-cut keys, LED power button, pinch-to-zoom
</t>
  </si>
  <si>
    <t>https://www.a2bguidance.com/guidance/outback-rebel/outback-rebel-row-crop.html</t>
  </si>
  <si>
    <t>10.000 euros</t>
  </si>
  <si>
    <t xml:space="preserve">Autosteering - VRA seed and fertilizer </t>
  </si>
  <si>
    <t>System 350 with X30 Control Console</t>
  </si>
  <si>
    <t>Topcon</t>
  </si>
  <si>
    <t>The Topcon System 350 with X30 Control Console is a precision farming technology platform that offers a range of tools and features for optimizing planting, fertilization, and harvesting operations. The system includes an advanced control console with autosteer and section control capabilities, yield monitoring, and data management and analysis tools. The System 350 with X30 Control Console is designed to help farmers improve farm efficiency and productivity through precision farming practices.</t>
  </si>
  <si>
    <t>https://www.topconagriculture.com/</t>
  </si>
  <si>
    <t>15.000 - 25.000 euros</t>
  </si>
  <si>
    <t>Trimble Autopilot</t>
  </si>
  <si>
    <t>Trimble Autopilot is a high-precision, automated steering system that offers advanced guidance capabilities for a wide range of agricultural vehicles. It is compatible with many makes and models of tractors, combines, and other farm machinery. The system integrates with the vehicle's hydraulics to provide highly accurate steering control, allowing for optimal field navigation and pass-to-pass repeatability. Trimble Autopilot offers different levels of accuracy, depending on the GPS correction source used, and supports various guidance patterns, enabling farmers to minimize field overlap, save on input costs, and reduce soil compaction.</t>
  </si>
  <si>
    <t>https://agriculture.trimble.com/en</t>
  </si>
  <si>
    <t xml:space="preserve">10.000 - 25.000 euros </t>
  </si>
  <si>
    <t>John Deere AutoTrac</t>
  </si>
  <si>
    <t>John Deere AutoTrac is an automated steering and guidance system designed for use with John Deere and compatible non-John Deere equipment. AutoTrac provides precise and consistent steering control for a range of farming tasks, including planting, spraying, and harvesting. It utilizes GPS technology to maintain the desired guidance path and reduces operator fatigue by automating steering. AutoTrac is compatible with different levels of accuracy, depending on the GPS correction source used, and offers several guidance patterns. By implementing John Deere AutoTrac, farmers can improve efficiency, reduce input costs and minimize soil compaction.</t>
  </si>
  <si>
    <t>https://www.deere.gr/el/smart-farming-solutions/guidance-solutions/autotrac/</t>
  </si>
  <si>
    <t>Reacting or Variable Rate Technologies (VRT)</t>
  </si>
  <si>
    <t>Management Zones &amp; VRA Maps</t>
  </si>
  <si>
    <t>GeoPard Agriculture</t>
  </si>
  <si>
    <t>GeoPard Agriculture Management Zones &amp; VRA Maps is a technology used in precision agriculture. It helps farmers to optimize crop production by providing a detailed analysis of their fields and dividing them into different management zones based on various factors such as soil type, topography, and previous crop yields. The VRA (Variable Rate Application) maps provide recommendations for fertilizer and pesticide application, ensuring that the right amount of resources are used in the right place at the right time, leading to higher yields and reduced costs.</t>
  </si>
  <si>
    <t>https://geopard.tech/management-zones-vra-maps/</t>
  </si>
  <si>
    <t>260 euros/year</t>
  </si>
  <si>
    <t>fertilization</t>
  </si>
  <si>
    <t>M42 ISOBUS SECTION CONTROL 2.0</t>
  </si>
  <si>
    <t>Teagle</t>
  </si>
  <si>
    <t>The range topping M42 ISO offers even greater spreading flexibility and accuracy thanks to the SECTION CONTROL 2.0 system (16 sections).</t>
  </si>
  <si>
    <t>https://www.teagle.co.uk/en-GB/</t>
  </si>
  <si>
    <t>22.300 euros</t>
  </si>
  <si>
    <t xml:space="preserve">irrigation </t>
  </si>
  <si>
    <t>UgMO Soil Moisture Sensor System</t>
  </si>
  <si>
    <t>UgMO</t>
  </si>
  <si>
    <t>The system becomes your outdoor water manager by controlling the irrigation system and monitoring soil moisture. Utilizing real time soil moisture sensor data on a zone-by-zone basis, UgMO always applies the optimal amount of water. Typically achieving irrigation water savings of 30-50%, the UG1000 System redefines smart irrigation management. With the power and flexibility of the new SenLink™ wireless-sensor-network technology, the UG1000 is designed for non-disruptive installation and ease of use. Wireless Sensors are buried in the active root zone completely below ground to measure soil moisture levels at the roots of the plant in real-time, up to six times an hour, 24 hours a day. The sensor data is then wirelessly transmitted to the UgMO Irrigation Controller.</t>
  </si>
  <si>
    <t>https://ugmo.com/solutions/</t>
  </si>
  <si>
    <t>https://smart-akis.com/SFCPPortal/#/app-h/technologies?techid=1391</t>
  </si>
  <si>
    <t>500-1000 euros</t>
  </si>
  <si>
    <t>spraying</t>
  </si>
  <si>
    <t>Geoline CS260 Sprayer Control System</t>
  </si>
  <si>
    <t>The Sprayer Control System 260 CS is a sophisticated technology that offers several features to help farmers optimize their pesticide and fertilizer spraying operations. With up to 7 section valves and 9 hydraulic valves, the system enables precise control of spraying, while offering both automatic and manual operation modes. The system also comes with a large, rear-lit LCD graphic display that is easy to read in all lighting conditions, and can be connected to optional sat nav for even greater precision. The Sprayer Control System 260 CS also includes features such as USB connectivity for data exchange and software updating, customizable nozzle parameters, and visual and acoustic alarms for safety and efficiency. With integrated diagnostic tools and the ability to manage several parameters, such as pressure, speed, and tank level, the system provides farmers with real-time data and insights for optimized spraying operations.</t>
  </si>
  <si>
    <r>
      <rPr>
        <rFont val="Arial"/>
        <color rgb="FF1155CC"/>
        <u/>
      </rPr>
      <t>https://tractorgps.gr/en/</t>
    </r>
    <r>
      <rPr>
        <rFont val="Arial"/>
        <color rgb="FF000000"/>
        <u/>
      </rPr>
      <t xml:space="preserve"> </t>
    </r>
  </si>
  <si>
    <t>3.000 euros</t>
  </si>
  <si>
    <t>GeoSystem 240 CS + GPS</t>
  </si>
  <si>
    <t>Geoline by Tecomec</t>
  </si>
  <si>
    <t>The GeoSystem 240 CS + GPS is a computerized system designed for distributing phytosanitary products, suitable for use with sprayers and multi-row machines. The system offers several key features, including up to 5 section valves for precise control of spraying, and both automatic and manual operation modes for maximum flexibility. The system also comes with a GPS speed detector included, allowing for accurate control of spraying operations. Other features include a large, backlit alphanumeric LCD display, a multilingual menu, and simplified work parameter entry for ease of use. The system also offers customizable nozzle parameter storage, configurable units of measurement, and the ability to manage various parameters such as pressure, speed, and tank level. With visual and acoustic alarms, an integrated diagnostic tool, and foam marker management, the GeoSystem 240 CS + GPS provides farmers with real-time data and insights to help optimize their spraying operations for improved efficiency and environmental sustainability.</t>
  </si>
  <si>
    <r>
      <rPr>
        <rFont val="Arial"/>
        <color rgb="FF1155CC"/>
        <u/>
      </rPr>
      <t>https://www.tecomec.com/en/agriculture</t>
    </r>
    <r>
      <rPr>
        <rFont val="Arial"/>
        <color rgb="FF000000"/>
        <u/>
      </rPr>
      <t xml:space="preserve"> </t>
    </r>
  </si>
  <si>
    <t>2.500 euros</t>
  </si>
  <si>
    <t>planting and fertilization</t>
  </si>
  <si>
    <t>SeedStar XP system</t>
  </si>
  <si>
    <t>The John Deere SeedStar system is a precision agriculture technology that provides variable-rate planting and fertilization. It uses sensors and GPS technology to adjust the planting and fertilization rates of crops based on soil conditions, moisture levels, and other environmental factors. The system can be integrated with other John Deere equipment, such as planters and tractors, to provide real-time monitoring and control of planting and fertilization operations. Overall, the SeedStar system helps farmers optimize their crop yields and reduce input costs by ensuring that crops are planted and fertilized at the most appropriate rates for their specific growing conditions.</t>
  </si>
  <si>
    <t>https://salesmanual.deere.com/sales/salesmanual/en_AU/seeding/2021/feature/monitor_system/seedstar_xp_monitoringsystem.html</t>
  </si>
  <si>
    <t>arable, vegetable, row crops</t>
  </si>
  <si>
    <t>10.000 - 20.000 euros</t>
  </si>
  <si>
    <t>pesticide application</t>
  </si>
  <si>
    <t>OptiSpray</t>
  </si>
  <si>
    <t>Lemken</t>
  </si>
  <si>
    <t>The Lemken OptiSpray system is a precision agriculture technology designed for variable-rate pesticide application. It uses sensors, GPS, and other data to detect changes in field conditions and adjust the pesticide application rate accordingly. The system enables farmers to optimize the use of pesticides by targeting only areas where pests or diseases are present, reducing the amount of chemicals used and minimizing the environmental impact. The system is designed to be integrated with existing equipment, such as sprayers, and can provide real-time monitoring and control of pesticide application operations. In short, the Lemken OptiSpray system helps farmers improve their crop yields, reduce input costs, and promote more sustainable farming practices.</t>
  </si>
  <si>
    <t>https://lemken.com/de-de/landmaschinen/cropcare</t>
  </si>
  <si>
    <t>arable</t>
  </si>
  <si>
    <t>15.000 - 30.000 euros</t>
  </si>
  <si>
    <t>pesticide and fertilizer application</t>
  </si>
  <si>
    <t>ExactApply</t>
  </si>
  <si>
    <t>The John Deere ExactApply system is a technology used for applying pesticides and fertilizers with precision and efficiency. It uses variable-rate technology to adjust the rate of application based on field conditions, and can be used on a range of crops, including arable crops, vineyards, and trees. The system is designed to improve crop yield and reduce environmental impact, and can be used on a variety of equipment types.</t>
  </si>
  <si>
    <t>https://www.deere.com/en/technology-products/precision-ag-technology/precision-upgrades/sprayer-upgrades/exactapply-precision-upgrades/</t>
  </si>
  <si>
    <t>7.000 - 12.000 euros</t>
  </si>
  <si>
    <t>seed and fertilizer application</t>
  </si>
  <si>
    <t>"X30" platform</t>
  </si>
  <si>
    <t>The Topcon X30 platform is a precision farming technology used for guidance and variable-rate application of seed and fertilizer based on field conditions. It can be used on a variety of crops and equipment types, and offers a range of tools and features to help optimize planting, fertilization, and harvesting operations.</t>
  </si>
  <si>
    <t>5.000 - 10.000 euros</t>
  </si>
  <si>
    <t>Recording or Mapping technologies (inc. monitoring systems, real-time location systems (RTLS))</t>
  </si>
  <si>
    <t>Monitoring</t>
  </si>
  <si>
    <t>Altum-PT</t>
  </si>
  <si>
    <t>Micasense</t>
  </si>
  <si>
    <t>The Altum-PT by Micasense is a powerful multispectral camera system designed for agricultural monitoring applications. The system captures high-quality images in five spectral bands, including red, green, blue, red edge, and near-infrared, providing farmers with detailed information on plant health, growth, and stress. The Altum-PT is capable of covering large areas quickly and accurately, enabling farmers to monitor their crops in real-time and make informed decisions about irrigation, fertilization, and other management practices. The system is also compatible with a range of drones and unmanned aerial vehicles (UAVs), providing farmers with a cost-effective and efficient solution for aerial crop monitoring. Overall, the Altum-PT is a powerful tool for improving crop yields, reducing waste, and optimizing farming operations for maximum productivity and sustainability.</t>
  </si>
  <si>
    <t>https://support.micasense.com/hc/en-us</t>
  </si>
  <si>
    <t>15.500-16.000 euros</t>
  </si>
  <si>
    <t>RedEdge-P</t>
  </si>
  <si>
    <t>The RedEdge-P by Micasense is a multispectral camera system designed for aerial crop monitoring applications. The system captures high-resolution images in five spectral bands, including red, green, blue, red edge, and near-infrared, providing farmers with detailed information on plant health, growth, and stress. The RedEdge-P is ideal for use with unmanned aerial vehicles (UAVs) and other aerial platforms, enabling farmers to quickly and accurately monitor their crops over large areas. The system is also compatible with a range of data analysis and management tools, allowing farmers to generate detailed maps and reports on crop health and productivity. Overall, the RedEdge-P is a powerful tool for improving crop yields, reducing waste, and optimizing farming operations for maximum productivity and sustainability.</t>
  </si>
  <si>
    <t>9-10.000 euros</t>
  </si>
  <si>
    <t>Autel Robotics EVO II Drone - 8k Camera Drone</t>
  </si>
  <si>
    <t>Autel Robotics</t>
  </si>
  <si>
    <t>Autel EVO II is the world’s first 8K foldable drone on the planet! With 48MP interchangeable camera, 1/2” CMOS sensor, EVO II drone capture content at resolutions up to a massive 8000x6000. F/1.8 fixed aperture and 4x lossless zoom allow you shot better image quality in the air. The EVO Ⅱ delivers not only advanced features like obstacle avoidance and intelligent flight modes, but also high-tech muscle that brings home a top speed of 44 mph, up to 35-minute hover time, 40-minute flight time and an operating distance of 9 km (5.6 miles). In-flight performance, however, is just the start. The process of mapping or measuring crops with a drone is relatively simple. Autel Drones are equipped with flight planning software that allows the user to map around the area he needs to cover. The software then automatically maps the flight path and, in some cases, even prepares it for camera shots. As the drone flies, it automatically takes pictures using onboard sensors and a built-in camera, and uses GPS to determine when to take each picture.</t>
  </si>
  <si>
    <t>https://www.autelpilot.eu/?gclid=CjwKCAiA_vKeBhAdEiwAFb_nrW4D4YCiPQYxIaRSBIifhwWtHpSJ6qNXuiNRkYwTVFfW3H_P7cPPFBoCEfUQAvD_BwE</t>
  </si>
  <si>
    <t>1.600-2.000 euros</t>
  </si>
  <si>
    <t>efarmer</t>
  </si>
  <si>
    <t>As our company specializes in GPS farming technologies and tractor equipment, it was quite important for us to provide our customers with a top-notch tool to manage the process of fieldwork easily and efficiently. No need to say that a farmer cannot stick to the laptop for hours as there are lots of work to do in the field. So we’ve decided to provide you with a farm mobile app that will help both getting reports from tractors and their GPS modules, planning and mapping and, of course, it is precise auto-steering that is a gem in the crown of our work.
What makes the eFarmer’s mobile app special?
It is easy-to-install and to work both.
It is provided for all types of Android-based devices.
It is compatible with RTK GPS modules and systems</t>
  </si>
  <si>
    <t>https://www.efarmer.nl/</t>
  </si>
  <si>
    <t>https://fairshare-pnf.eu/tool-details?id=60bf16c52e2a4b141eb3b3b1&amp;flag=true&amp;name=eFarmer</t>
  </si>
  <si>
    <t>Mapping</t>
  </si>
  <si>
    <t>Toro Precision Soil Moisture Sensor</t>
  </si>
  <si>
    <t>Toro</t>
  </si>
  <si>
    <t>The Toro Precision™ Soil Sensor reduces water waste by continuously measuring moisture levels in the soil and determining when to allow your controller to water, maximizing the efficiency of your irrigation system</t>
  </si>
  <si>
    <t>https://www.toro.com/en</t>
  </si>
  <si>
    <t xml:space="preserve">220 euros </t>
  </si>
  <si>
    <t>DJI Phantom 4 Multispectral Drone</t>
  </si>
  <si>
    <t>DJI</t>
  </si>
  <si>
    <t>The P4 Multispectral consolidates the process of capturing data that gives insight into crop health and vegetation management. DJI has created this platform with the same powerful performance standards that DJI is known for, including 27 minutes max flight time and up to 7 km1 transmission range with the OcuSync system.</t>
  </si>
  <si>
    <t>https://www.dji.com/gr/p4-multispectral</t>
  </si>
  <si>
    <t>6.000-7.000 euros</t>
  </si>
  <si>
    <t xml:space="preserve">Monitoring </t>
  </si>
  <si>
    <t>eBee Ag drone</t>
  </si>
  <si>
    <t>eBee Ag</t>
  </si>
  <si>
    <t>The eBee ag system includes eMotion software and a carrying case. The software and cameras enable 2 cm per pixel resolution and produce 3D maps and overlays as well as the capability to lay out (and simulate) a flight path for up to 45 minutes of flying time</t>
  </si>
  <si>
    <t>https://ageagle.com/drones/ebee-ag/</t>
  </si>
  <si>
    <t>12.000 euros</t>
  </si>
  <si>
    <t>A631 RTK Base Station</t>
  </si>
  <si>
    <t>Premium positioning</t>
  </si>
  <si>
    <t>Real Time Kinematics, or RTK for short, is a special technique for satellite positioning that can produce accurate results to the centimeter, making it an invaluable tool for surveyors around the world. The method involves measuring satellite data against a ground station for precise, real time information.</t>
  </si>
  <si>
    <t>https://www.premium-positioning.com/</t>
  </si>
  <si>
    <t>FARMTRX Yield Mapping Kit</t>
  </si>
  <si>
    <t>FarmTRX</t>
  </si>
  <si>
    <t xml:space="preserve">The FarmTRX Yield Monitor can easily be user-installed on any age/model combine in only a few hours using common tools. The yield monitor features a built-in GPS antenna, Bluetooth connectivity, and memory to store 5+ years of yield data. It uses optical sensors mounted on the clean grain elevator to measure yield, which are much more robust, serviceable, &amp; user friendly than impact plate style sensors. It uses your smartphone or tablet as the monitor, saving thousands and the need for an expensive monitor. Raw data is easily exported and ready to move to other farm management systems.
</t>
  </si>
  <si>
    <t>https://www.farmtrx.com/</t>
  </si>
  <si>
    <t>Single Depth sensor</t>
  </si>
  <si>
    <t>Sensotera</t>
  </si>
  <si>
    <t>Sensoterra Soil Moisture Sensors measure volumetric water content of the soil. They are all wireless and use the LoRaWAN network to get your data out of your fields and into your hands. They are manufactured at scale and available globally for you to order today.</t>
  </si>
  <si>
    <t>https://www.sensoterra.com/en/product/single-depth-sensor/</t>
  </si>
  <si>
    <t>165 euros</t>
  </si>
  <si>
    <t>Multi Depth sensor</t>
  </si>
  <si>
    <t>Our new Multi Depth sensor has the same robustness as our Single Depth sensors - hammer it into the ground! No buttons, no screens, no nonsense. The sensor comes with 6 soil moisture sensors in one device. Knowing the soil moisture at several depths will allow you to track the health of your plant at its active root zone during the whole crop cycle. Also, with multiple points of measurement you can measure moisture levels at different soil horizons. They are all wireless and use the LoRaWAN network to get your data out of your fields and into your hands. 2 years of LoRa connectivity is included.</t>
  </si>
  <si>
    <t>https://www.sensoterra.com/en/product/multi-depth-sensor/</t>
  </si>
  <si>
    <t>900 euros</t>
  </si>
  <si>
    <t>Dragino LSPH01 Soil Temperature and pH Sensor</t>
  </si>
  <si>
    <t>Dragino</t>
  </si>
  <si>
    <t>The LSPH01 from Dragino detects the soil temperature and the pH value of the soil. The measured value of the pH sensor is corrected with the values of the temperature sensor before transmission.</t>
  </si>
  <si>
    <t>https://shop.dragino.com/index.php?rt=product/product&amp;product_id=134</t>
  </si>
  <si>
    <t>115 euros</t>
  </si>
  <si>
    <t>Robotic Systems or Smart Machines (inc. Artificial Intelligence (AI))</t>
  </si>
  <si>
    <t>weeding</t>
  </si>
  <si>
    <t>Handheld – RootWave Pro</t>
  </si>
  <si>
    <t>rootwave</t>
  </si>
  <si>
    <t>RootWave Pro is an award-winning hand weeder designed for growers, gardeners and groundskeepers to spot weed and treat invasive species.</t>
  </si>
  <si>
    <t>https://rootwave.com/pro/</t>
  </si>
  <si>
    <t>18.000 euros</t>
  </si>
  <si>
    <t>Horticulture – Fruit</t>
  </si>
  <si>
    <t>RootWave technology will provide full control of weeds in fruit crops without using chemicals.</t>
  </si>
  <si>
    <t>https://rootwave.com/</t>
  </si>
  <si>
    <t>fruits</t>
  </si>
  <si>
    <t>14.000 euros</t>
  </si>
  <si>
    <t>Agriculture – Row crops (Tractor mounted)</t>
  </si>
  <si>
    <t>RootWave is developing revolutionary weed control products that will help to safeguard crop production.</t>
  </si>
  <si>
    <t>10.000 euros - 150.000 euros</t>
  </si>
  <si>
    <t>pruning</t>
  </si>
  <si>
    <t>Wall-Ye 1000 mobile pruning robot</t>
  </si>
  <si>
    <t>Wall-YE</t>
  </si>
  <si>
    <t>autonomous robot for pruning in vineyards</t>
  </si>
  <si>
    <t>http://wall-ye.com/index.html</t>
  </si>
  <si>
    <t>vineyard</t>
  </si>
  <si>
    <t>35.000 euros</t>
  </si>
  <si>
    <t>harvesting</t>
  </si>
  <si>
    <t>Agrobot SW6010</t>
  </si>
  <si>
    <t>Agrobot</t>
  </si>
  <si>
    <t>Agrobot SW6010 and AGSHydro, a bed-on hydroponic growing system customized for strawberry growing and harvesting</t>
  </si>
  <si>
    <t>https://www.agrobot.com/</t>
  </si>
  <si>
    <t>strawberry</t>
  </si>
  <si>
    <t>250.000 euros with 60 arms</t>
  </si>
  <si>
    <t>Lightweight autonomous robots initially for weeding</t>
  </si>
  <si>
    <t>ecorobotix</t>
  </si>
  <si>
    <t>https://ecorobotix.com/fr/</t>
  </si>
  <si>
    <t>Weeding and thinning</t>
  </si>
  <si>
    <t>ROBOVATOR</t>
  </si>
  <si>
    <t>VISIONWEEDING</t>
  </si>
  <si>
    <t>The Robovator is equipped with a special plant detection camera above each row, fitted on each parallelogram continuously monitors the passing plants The Robovater is equipped with a special plant detection camera above each row.It has a mechanical tool which is operated by hydraulic power.</t>
  </si>
  <si>
    <t>https://www.visionweeding.com/</t>
  </si>
  <si>
    <t>lettuce, cabbage, fennel and onions</t>
  </si>
  <si>
    <t>80.000 euros</t>
  </si>
  <si>
    <t>Oz field robot</t>
  </si>
  <si>
    <t>Naio Technologies</t>
  </si>
  <si>
    <t>The Oz robot serves as an autonomous electric tractor which can be used for weeding and as a transport from harvesters to accumulation points. Oz operates as a self-powered robotic implement rather than a towed implement</t>
  </si>
  <si>
    <t>http://www.naio-technologies.com/en/home/</t>
  </si>
  <si>
    <t>350-480 euros/month</t>
  </si>
  <si>
    <t>White Shark DGF80</t>
  </si>
  <si>
    <t>White Shark</t>
  </si>
  <si>
    <t>The White Shark DGF80 is a smart harvesting machine developed by White Shark for use in harvesting olives, almonds, and other tree crops. The machine is designed to be highly efficient and can harvest up to 1,200 kg of olives per hour, reducing labor costs and improving productivity. The White Shark DGF80 features a range of advanced technologies, including a high-speed vibrational system, air blowers, and conveyors, which work together to gently remove the fruit from the trees and transport it to collection bins. The machine is also designed to be environmentally friendly, reducing the amount of waste and damage caused to the trees during harvesting. Overall, the White Shark DGF80 is a powerful tool for farmers looking to improve their efficiency and reduce labor costs in the harvesting of olives and other tree crops.</t>
  </si>
  <si>
    <t>https://www.mascus.co.uk/agriculture/used-olive-harvesting-machines/white-shark-dgf80/oglotoxh.html</t>
  </si>
  <si>
    <t>fruits(olive,almonds,walnuts</t>
  </si>
  <si>
    <t xml:space="preserve">19.000 euros </t>
  </si>
  <si>
    <t>White shark WS 332-86 RC</t>
  </si>
  <si>
    <t>The White Shark Olove Pickers is a smart harvesting machine developed by White Shark for use in harvesting olives. The machine is designed to be highly efficient and can harvest up to 200 kg of olives per hour, reducing labor costs and improving productivity. The White Shark Olove Pickers features a range of advanced technologies, including a combing system that gently removes the olives from the trees and transport them to a collection bin. The machine is also designed to be environmentally friendly, reducing the amount of waste and damage caused to the trees during harvesting. Overall, the White Shark Olove Pickers is a powerful tool for farmers looking to improve their efficiency and reduce labor costs in the harvesting of olives.</t>
  </si>
  <si>
    <t>Olives</t>
  </si>
  <si>
    <t>19.000 euros</t>
  </si>
  <si>
    <t>XAG R150</t>
  </si>
  <si>
    <t>The XAG R150 is an innovative unmanned ground vehicle designed for agricultural use. With its modular design and multiple modes of operation, it offers precision spraying, crop mapping, and on-farm transfer capabilities. The robot's high-speed turbine injection system provides accurate and efficient spraying, while its all-wheel drive and strong momentum allow it to adapt to any type of terrain. The XAG R150 also features GPS RTK precision navigation and autonomous precision guidance, making it a safe and reliable option for farmers. Equipped with the XAG JetSprayer ™ System, the robot can perform fully autonomous spraying with a maximum productivity of around 50 rpm. Its high-pressure turbines emit a focused, high-velocity airflow that can spray spray liquid into micron-level particles, directly on target areas, making it an ideal solution for precision agriculture.</t>
  </si>
  <si>
    <t>30.000 euros</t>
  </si>
  <si>
    <t>Rometron WEED-IT</t>
  </si>
  <si>
    <t xml:space="preserve">Rometron </t>
  </si>
  <si>
    <t>Since 1999, WEED-IT is the most accurate, fastest and most easy to use weed detection and elimination technology available. By spraying only weeds, it helps you save up to 90% on chemical costs</t>
  </si>
  <si>
    <t>https://www.weedit.com.au/</t>
  </si>
  <si>
    <t xml:space="preserve">Arable </t>
  </si>
  <si>
    <t xml:space="preserve">6,500 euros </t>
  </si>
  <si>
    <t xml:space="preserve">90% save on chemical costs, 50-70% save on herbicides used </t>
  </si>
  <si>
    <t>connection</t>
  </si>
  <si>
    <t>ISO BUS CONTROL</t>
  </si>
  <si>
    <t>Agrotopo</t>
  </si>
  <si>
    <t>Το ISOBUS,συντομογραφία του ISO 11783 , είναι ένα ανοιχτό πρότυπο διεθνούς επικοινωνίας που χρησιμοποιείται από τη γεωργική και δασική βιομηχανία. Πιστοποιημένο από τοAgricultural Industry Electronics Foundation (AEF), ορίζεται επίσημα ως τρακτέρ και μηχανήματα για τη γεωργία και τη δασοκομία - Δίκτυο πληροφοριών σειριακού ελέγχου και επικοινωνιών.</t>
  </si>
  <si>
    <t>http://agrotopo.eu/product?productid=2775</t>
  </si>
  <si>
    <t>950 euros</t>
  </si>
  <si>
    <t>multipurpose</t>
  </si>
  <si>
    <t>ROBOTTI 150D</t>
  </si>
  <si>
    <t>Agrointelli</t>
  </si>
  <si>
    <t xml:space="preserve">A powerful field robot for power intensive operations, with 2 engines, a PTO and traditional diesel-hydraulic setup. It is the initial product of AGROINTELLI, blazing a trail for the ROBOTTI platform, operating already in more than 15 countries. </t>
  </si>
  <si>
    <t>https://agrointelli.com/</t>
  </si>
  <si>
    <t>Arable</t>
  </si>
  <si>
    <t>187.000 euros</t>
  </si>
  <si>
    <t xml:space="preserve">Platform </t>
  </si>
  <si>
    <t>Purpose (For:)</t>
  </si>
  <si>
    <t>INVESTMENT Cost Calculator Module</t>
  </si>
  <si>
    <t>Total Area (ha)</t>
  </si>
  <si>
    <t>YIELD Increase Calculator Module</t>
  </si>
  <si>
    <t>Revenue Increase Calculator Module</t>
  </si>
  <si>
    <t>FERTILIZER Use Reduction Calculator Module</t>
  </si>
  <si>
    <t>WATER Use Reduction Calculator  Module</t>
  </si>
  <si>
    <t>PECTICIDE Use Reduction Calculator Module</t>
  </si>
  <si>
    <t>LABOR Cost Reduction Calculator Module</t>
  </si>
  <si>
    <t>FUEL Cost Reduction Calculator Module</t>
  </si>
  <si>
    <t>COST SAVINGS Calculator  Module</t>
  </si>
  <si>
    <t>Return on Investment Calculator Module</t>
  </si>
  <si>
    <t>NET BENEFIT Calculator Module</t>
  </si>
  <si>
    <t>COST INFO</t>
  </si>
  <si>
    <t>YEARS OF USAGE</t>
  </si>
  <si>
    <r>
      <rPr>
        <rFont val="Arial"/>
        <color theme="1"/>
        <sz val="10.0"/>
      </rPr>
      <t>Initial cost of Investment (</t>
    </r>
    <r>
      <rPr>
        <rFont val="Calibri"/>
        <color theme="1"/>
        <sz val="10.0"/>
      </rPr>
      <t>€</t>
    </r>
    <r>
      <rPr>
        <rFont val="Arial"/>
        <color theme="1"/>
        <sz val="10.0"/>
      </rPr>
      <t>)</t>
    </r>
  </si>
  <si>
    <t>Subscription Cost for 1ha (€)</t>
  </si>
  <si>
    <t>Monthly Subscription Cost (€)</t>
  </si>
  <si>
    <t>Annual Subscription Cost (€)</t>
  </si>
  <si>
    <t>Number of Units (sensors etc.)</t>
  </si>
  <si>
    <t>Total cost of DAT Purchase (€)</t>
  </si>
  <si>
    <t>Yield increase (%)</t>
  </si>
  <si>
    <t>Current Yield (tons/ha)</t>
  </si>
  <si>
    <t>Market Price (€/ 1ton)</t>
  </si>
  <si>
    <t>Current Revenue (€ in 1 year)</t>
  </si>
  <si>
    <t>Increased Yield (tons/ha)</t>
  </si>
  <si>
    <t>Price of Increased Yield (€/ ha)</t>
  </si>
  <si>
    <t>Increased Revenue (€ in 1 year)</t>
  </si>
  <si>
    <t>Fertilization saving (%)</t>
  </si>
  <si>
    <t>Current fertilizer usage (Kg/ ha)</t>
  </si>
  <si>
    <t>Current Fertilizer Cost (€/ 1 Kg)</t>
  </si>
  <si>
    <t>Current Fertilization Cost (€/ ha)</t>
  </si>
  <si>
    <t>Reduced Fertilizer usage (kg/ha)</t>
  </si>
  <si>
    <t>Fertilizer cost savings (€/ ha)</t>
  </si>
  <si>
    <t>Fertilization cost saving (€ in 1 year)</t>
  </si>
  <si>
    <t>Water saving (%)</t>
  </si>
  <si>
    <t>Current water usage (m3/ha)</t>
  </si>
  <si>
    <t>Current water cost (€/ m3)</t>
  </si>
  <si>
    <t>Current Irrigation Cost (€/ ha)</t>
  </si>
  <si>
    <t>Reduced water usage (m3/ha)</t>
  </si>
  <si>
    <t>Water cost savings  (€/ ha)</t>
  </si>
  <si>
    <t>Water cost savings  (€ in 1 year)</t>
  </si>
  <si>
    <t>Pesticide saving (%)</t>
  </si>
  <si>
    <t>Current pestcide usage (kg or lt/ ha)</t>
  </si>
  <si>
    <t>Current pesticide cost (€/ kg or lt)</t>
  </si>
  <si>
    <t>Current pesticide cost (€/ ha)</t>
  </si>
  <si>
    <t>Reduced pesticide usage (kg or lt /ha)</t>
  </si>
  <si>
    <t>Pesticide cost saving (€/ ha)</t>
  </si>
  <si>
    <t>Pesticide cost savings (€ in 1 year)</t>
  </si>
  <si>
    <t>Labor saving (%)</t>
  </si>
  <si>
    <t>Current Labor Cost (€ in 1 year)</t>
  </si>
  <si>
    <t>Labor cost savings  (€ in 1 year)</t>
  </si>
  <si>
    <t>Fuel Saving (%)</t>
  </si>
  <si>
    <t>Current Fuel Cost (€ in 1 year)</t>
  </si>
  <si>
    <t>Fuel cost savings  (€ in 1 year)</t>
  </si>
  <si>
    <t>Total Savings in years of usage (€)</t>
  </si>
  <si>
    <t>Return on Investment (ROI %)</t>
  </si>
  <si>
    <t>Is the DAT Beneficial?</t>
  </si>
  <si>
    <t xml:space="preserve">Plantae </t>
  </si>
  <si>
    <t xml:space="preserve">700 euro/year </t>
  </si>
  <si>
    <t>Zen -Irriware</t>
  </si>
  <si>
    <t>AgriTask</t>
  </si>
  <si>
    <t>20-30 euros/year</t>
  </si>
  <si>
    <t xml:space="preserve">Irrigation pro </t>
  </si>
  <si>
    <t xml:space="preserve">IrrigationPro </t>
  </si>
  <si>
    <t xml:space="preserve">200 euros </t>
  </si>
  <si>
    <t>iFarma - Basic</t>
  </si>
  <si>
    <t xml:space="preserve">Agrostis </t>
  </si>
  <si>
    <t xml:space="preserve">180 euros/year </t>
  </si>
  <si>
    <t>iFarma - Pro</t>
  </si>
  <si>
    <t xml:space="preserve"> 340/year</t>
  </si>
  <si>
    <t xml:space="preserve">navfarm </t>
  </si>
  <si>
    <t xml:space="preserve">Navfarm </t>
  </si>
  <si>
    <t xml:space="preserve">20 euros/month </t>
  </si>
  <si>
    <t xml:space="preserve">All </t>
  </si>
  <si>
    <t xml:space="preserve">Granular </t>
  </si>
  <si>
    <t xml:space="preserve">Corteva </t>
  </si>
  <si>
    <t xml:space="preserve">70 euros/year </t>
  </si>
  <si>
    <t xml:space="preserve">30 euros/month </t>
  </si>
  <si>
    <t>NMP Online</t>
  </si>
  <si>
    <t xml:space="preserve">250 euros/year </t>
  </si>
  <si>
    <t>EOS Crop Monitoring</t>
  </si>
  <si>
    <t xml:space="preserve">all </t>
  </si>
  <si>
    <t xml:space="preserve">950 euros/year </t>
  </si>
  <si>
    <t>My Irrigation</t>
  </si>
  <si>
    <t xml:space="preserve">60 euros/year </t>
  </si>
  <si>
    <t xml:space="preserve">6 euros/ha </t>
  </si>
  <si>
    <t xml:space="preserve">500 euros/year </t>
  </si>
  <si>
    <t>INCOMAND 1200</t>
  </si>
  <si>
    <t xml:space="preserve">6.300 euros </t>
  </si>
  <si>
    <t xml:space="preserve">3,300 euros </t>
  </si>
  <si>
    <t xml:space="preserve">6.290 euros </t>
  </si>
  <si>
    <t xml:space="preserve">5.100 euros </t>
  </si>
  <si>
    <t>849 euros</t>
  </si>
  <si>
    <t>GPS Guidance system</t>
  </si>
  <si>
    <t xml:space="preserve">1.500 euros </t>
  </si>
  <si>
    <t>Smartakis</t>
  </si>
  <si>
    <t>10.000- 25.000 euros</t>
  </si>
  <si>
    <t xml:space="preserve">Tractor Implement Automation </t>
  </si>
  <si>
    <t>Autosteering-FMIS</t>
  </si>
  <si>
    <t xml:space="preserve">AgriBus </t>
  </si>
  <si>
    <t xml:space="preserve">1.100 euros </t>
  </si>
  <si>
    <t xml:space="preserve">Autosteering </t>
  </si>
  <si>
    <t xml:space="preserve">4.320 euros </t>
  </si>
  <si>
    <t xml:space="preserve">4.100 euros </t>
  </si>
  <si>
    <t>Autosteering- VRA seed and fertilizer</t>
  </si>
  <si>
    <t xml:space="preserve">Topcon </t>
  </si>
  <si>
    <t xml:space="preserve">15.000-25.000 euros </t>
  </si>
  <si>
    <t xml:space="preserve">15.000 euros </t>
  </si>
  <si>
    <t xml:space="preserve">REBEL </t>
  </si>
  <si>
    <t xml:space="preserve">7.000 euros </t>
  </si>
  <si>
    <t xml:space="preserve">6.000 euros </t>
  </si>
  <si>
    <t>Management Zones</t>
  </si>
  <si>
    <t xml:space="preserve">260 euros/year </t>
  </si>
  <si>
    <t xml:space="preserve">22.300 euros </t>
  </si>
  <si>
    <t xml:space="preserve">spraying </t>
  </si>
  <si>
    <t xml:space="preserve">3.000 euros </t>
  </si>
  <si>
    <t xml:space="preserve">2.500 euros </t>
  </si>
  <si>
    <t xml:space="preserve">7.000-12.000 euros </t>
  </si>
  <si>
    <t xml:space="preserve">planting and fertilization </t>
  </si>
  <si>
    <t xml:space="preserve">SeedStar XP System </t>
  </si>
  <si>
    <t>10.000-20.000 euros</t>
  </si>
  <si>
    <t xml:space="preserve">pesticide application </t>
  </si>
  <si>
    <t xml:space="preserve">OptiSpray </t>
  </si>
  <si>
    <t xml:space="preserve">Lemken </t>
  </si>
  <si>
    <t xml:space="preserve">arable </t>
  </si>
  <si>
    <t xml:space="preserve">15.000-30.000 euros </t>
  </si>
  <si>
    <t xml:space="preserve">seed and fertilizer application </t>
  </si>
  <si>
    <t xml:space="preserve">'X30'' Platform </t>
  </si>
  <si>
    <t xml:space="preserve">5.000-10.000 euros </t>
  </si>
  <si>
    <t>irrigation</t>
  </si>
  <si>
    <t xml:space="preserve">UgMO Soil Moisture Sensor System </t>
  </si>
  <si>
    <t xml:space="preserve">Micasense </t>
  </si>
  <si>
    <t xml:space="preserve">15.500-16.000 euros </t>
  </si>
  <si>
    <t xml:space="preserve">9-10.000 euros </t>
  </si>
  <si>
    <t>MOnitoring</t>
  </si>
  <si>
    <t xml:space="preserve">1.600-2.000 euros </t>
  </si>
  <si>
    <t xml:space="preserve">6.000-7.000 euros </t>
  </si>
  <si>
    <t xml:space="preserve">eBee Ag </t>
  </si>
  <si>
    <t xml:space="preserve">12.000 euros </t>
  </si>
  <si>
    <t xml:space="preserve">efarmer </t>
  </si>
  <si>
    <t>NO INVESTMENT NEEDED</t>
  </si>
  <si>
    <t>RTK</t>
  </si>
  <si>
    <t xml:space="preserve">Dragino </t>
  </si>
  <si>
    <t xml:space="preserve">115 euros </t>
  </si>
  <si>
    <t xml:space="preserve">900 euros </t>
  </si>
  <si>
    <t>Farm TRX</t>
  </si>
  <si>
    <t xml:space="preserve">165 euros </t>
  </si>
  <si>
    <t xml:space="preserve">rootwave </t>
  </si>
  <si>
    <t xml:space="preserve">18.000 euros </t>
  </si>
  <si>
    <t>Agriculture – Cereals (robot)</t>
  </si>
  <si>
    <t>€3,500 to €5,800</t>
  </si>
  <si>
    <t>10.000 to 30.000 euros</t>
  </si>
  <si>
    <t xml:space="preserve">950 euros </t>
  </si>
  <si>
    <t xml:space="preserve">multipurpose </t>
  </si>
  <si>
    <t xml:space="preserve">Agrointelli </t>
  </si>
  <si>
    <t xml:space="preserve">187.000 euros </t>
  </si>
  <si>
    <t xml:space="preserve">ROBOVATOR </t>
  </si>
  <si>
    <t xml:space="preserve">VISIONWEEDING </t>
  </si>
  <si>
    <t xml:space="preserve">80.000 euros </t>
  </si>
  <si>
    <t xml:space="preserve">weeding </t>
  </si>
  <si>
    <t>Naio Technologies Oz field robot</t>
  </si>
  <si>
    <t xml:space="preserve">Naio Technologies </t>
  </si>
  <si>
    <t xml:space="preserve">350-480 euros/month </t>
  </si>
  <si>
    <t xml:space="preserve">6.500 euros </t>
  </si>
  <si>
    <r>
      <rPr>
        <rFont val="Arial"/>
        <color theme="1"/>
        <sz val="10.0"/>
      </rPr>
      <t>Initial cost of Investment (</t>
    </r>
    <r>
      <rPr>
        <rFont val="Calibri"/>
        <color theme="1"/>
        <sz val="10.0"/>
      </rPr>
      <t>€</t>
    </r>
    <r>
      <rPr>
        <rFont val="Arial"/>
        <color theme="1"/>
        <sz val="10.0"/>
      </rPr>
      <t>)</t>
    </r>
  </si>
  <si>
    <t>Current pesticide usage (kg or lt/ ha)</t>
  </si>
  <si>
    <t>180 euros/year for basic</t>
  </si>
  <si>
    <t>iFarma- Pro</t>
  </si>
  <si>
    <t>340/year for pro</t>
  </si>
  <si>
    <t xml:space="preserve">3.300 euros </t>
  </si>
  <si>
    <t xml:space="preserve">1000 euros/year </t>
  </si>
  <si>
    <t>AUtosteering</t>
  </si>
  <si>
    <t>Trimple</t>
  </si>
  <si>
    <t xml:space="preserve">10.000 euros </t>
  </si>
  <si>
    <t>Agribus</t>
  </si>
  <si>
    <t xml:space="preserve">Autosteering- VRA seed and fertilizer </t>
  </si>
  <si>
    <t xml:space="preserve">System 350 with X30 Control Console </t>
  </si>
  <si>
    <t xml:space="preserve">Teagle </t>
  </si>
  <si>
    <t xml:space="preserve">pesticide and fertilizer application </t>
  </si>
  <si>
    <t>7.000-12.000 euros</t>
  </si>
  <si>
    <t xml:space="preserve">'X30'' platform </t>
  </si>
  <si>
    <t xml:space="preserve">Altum-PT </t>
  </si>
  <si>
    <t xml:space="preserve">9.000-10.000 euros </t>
  </si>
  <si>
    <t>Sensoterra</t>
  </si>
  <si>
    <t xml:space="preserve">30.000 euros </t>
  </si>
  <si>
    <t>White Shark Olove Pickers</t>
  </si>
  <si>
    <t>19.000 euros + vat</t>
  </si>
  <si>
    <t xml:space="preserve">strawberry </t>
  </si>
  <si>
    <t xml:space="preserve">fruits </t>
  </si>
  <si>
    <t xml:space="preserve">14.000 euros </t>
  </si>
  <si>
    <r>
      <rPr>
        <rFont val="Arial"/>
        <color theme="1"/>
        <sz val="10.0"/>
      </rPr>
      <t>Initial cost of Investment (</t>
    </r>
    <r>
      <rPr>
        <rFont val="Calibri"/>
        <color theme="1"/>
        <sz val="10.0"/>
      </rPr>
      <t>€</t>
    </r>
    <r>
      <rPr>
        <rFont val="Arial"/>
        <color theme="1"/>
        <sz val="10.0"/>
      </rPr>
      <t>)</t>
    </r>
  </si>
  <si>
    <t>Agritask</t>
  </si>
  <si>
    <t xml:space="preserve">Multipurpose- DSS/FMIS </t>
  </si>
  <si>
    <t>340 euro/year</t>
  </si>
  <si>
    <t xml:space="preserve">GPS Guidance system </t>
  </si>
  <si>
    <t xml:space="preserve">Trimple </t>
  </si>
  <si>
    <t>Reacting or VRT</t>
  </si>
  <si>
    <t>Management zones</t>
  </si>
  <si>
    <t xml:space="preserve">RTK </t>
  </si>
  <si>
    <t xml:space="preserve">2,500 euros </t>
  </si>
  <si>
    <t>Robotic Systems or Smart Machines</t>
  </si>
  <si>
    <t xml:space="preserve">35.000 euros </t>
  </si>
  <si>
    <t xml:space="preserve">Naio technologies </t>
  </si>
  <si>
    <r>
      <rPr>
        <rFont val="Arial"/>
        <color theme="1"/>
        <sz val="10.0"/>
      </rPr>
      <t>Initial cost of Investment (</t>
    </r>
    <r>
      <rPr>
        <rFont val="Calibri"/>
        <color theme="1"/>
        <sz val="10.0"/>
      </rPr>
      <t>€</t>
    </r>
    <r>
      <rPr>
        <rFont val="Arial"/>
        <color theme="1"/>
        <sz val="10.0"/>
      </rPr>
      <t>)</t>
    </r>
  </si>
  <si>
    <t>180 euros/year</t>
  </si>
  <si>
    <t xml:space="preserve">340euros/year </t>
  </si>
  <si>
    <t>Multipurpose-DSS/FMIS</t>
  </si>
  <si>
    <t xml:space="preserve">Universidad de Almeria </t>
  </si>
  <si>
    <t xml:space="preserve">EOS Crop Monitoring </t>
  </si>
  <si>
    <t xml:space="preserve">TRUAS TrueAgriculturalSensing </t>
  </si>
  <si>
    <t xml:space="preserve">700 euros/year </t>
  </si>
  <si>
    <t xml:space="preserve">AgriTask </t>
  </si>
  <si>
    <t xml:space="preserve">20-30 euros/year </t>
  </si>
  <si>
    <t>12.500 euros</t>
  </si>
  <si>
    <t>arable, vegetables, row crops</t>
  </si>
  <si>
    <t xml:space="preserve">10.000-20.000 euros </t>
  </si>
  <si>
    <t xml:space="preserve">Altum- PT </t>
  </si>
  <si>
    <t>1.600-2000 euros</t>
  </si>
  <si>
    <t>12000 euros</t>
  </si>
  <si>
    <t>7000 euros</t>
  </si>
  <si>
    <t>2500 euros</t>
  </si>
  <si>
    <t xml:space="preserve">Tractor GPS </t>
  </si>
  <si>
    <t>weeding and thinning</t>
  </si>
  <si>
    <r>
      <rPr>
        <rFont val="Arial"/>
        <color theme="1"/>
        <sz val="10.0"/>
      </rPr>
      <t>Initial cost of Investment (</t>
    </r>
    <r>
      <rPr>
        <rFont val="Calibri"/>
        <color theme="1"/>
        <sz val="10.0"/>
      </rPr>
      <t>€</t>
    </r>
    <r>
      <rPr>
        <rFont val="Arial"/>
        <color theme="1"/>
        <sz val="10.0"/>
      </rPr>
      <t>)</t>
    </r>
  </si>
  <si>
    <t>700 euros/year</t>
  </si>
  <si>
    <t xml:space="preserve">340 euros/year </t>
  </si>
  <si>
    <t>Ag Leader</t>
  </si>
  <si>
    <t xml:space="preserve">Trimble Ag Software </t>
  </si>
  <si>
    <t xml:space="preserve">AutoTrac Controller </t>
  </si>
  <si>
    <t xml:space="preserve">GPS Guidance System </t>
  </si>
  <si>
    <t xml:space="preserve">Trimble </t>
  </si>
  <si>
    <t xml:space="preserve">Irrigation </t>
  </si>
  <si>
    <t xml:space="preserve">Mapping </t>
  </si>
  <si>
    <t xml:space="preserve">Toro Precision Soil Moisture Sensor </t>
  </si>
  <si>
    <t xml:space="preserve">Toro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</si>
</sst>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1]"/>
    <numFmt numFmtId="165" formatCode="d.m"/>
  </numFmts>
  <fonts count="19">
    <font>
      <sz val="10.0"/>
      <color rgb="FF000000"/>
      <name val="Arial"/>
      <scheme val="minor"/>
    </font>
    <font>
      <sz val="10.0"/>
      <color theme="1"/>
      <name val="Arial"/>
    </font>
    <font>
      <color theme="1"/>
      <name val="Arial"/>
    </font>
    <font>
      <u/>
      <color rgb="FF0000FF"/>
      <name val="Arial"/>
    </font>
    <font/>
    <font>
      <u/>
      <color rgb="FF1155CC"/>
      <name val="Arial"/>
    </font>
    <font>
      <u/>
      <color rgb="FF0000FF"/>
    </font>
    <font>
      <u/>
      <color rgb="FF0000FF"/>
      <name val="Arial"/>
    </font>
    <font>
      <u/>
      <color rgb="FF1155CC"/>
      <name val="Arial"/>
    </font>
    <font>
      <sz val="11.0"/>
      <color theme="1"/>
      <name val="Calibri"/>
    </font>
    <font>
      <u/>
      <sz val="11.0"/>
      <color rgb="FF0563C1"/>
      <name val="Arial"/>
    </font>
    <font>
      <u/>
      <color rgb="FF1155CC"/>
      <name val="Arial"/>
    </font>
    <font>
      <sz val="10.0"/>
      <color rgb="FF000000"/>
      <name val="Arial"/>
    </font>
    <font>
      <sz val="11.0"/>
      <color rgb="FF1F1F1F"/>
      <name val="Arial"/>
    </font>
    <font>
      <color theme="1"/>
      <name val="Arial"/>
      <scheme val="minor"/>
    </font>
    <font>
      <color rgb="FF000000"/>
      <name val="Arial"/>
    </font>
    <font>
      <b/>
      <color theme="1"/>
      <name val="Arial"/>
    </font>
    <font>
      <sz val="12.0"/>
      <color rgb="FF121212"/>
      <name val="Assistant"/>
    </font>
    <font>
      <sz val="10.0"/>
      <color rgb="FF000000"/>
      <name val="Roboto"/>
    </font>
  </fonts>
  <fills count="12">
    <fill>
      <patternFill patternType="none"/>
    </fill>
    <fill>
      <patternFill patternType="lightGray"/>
    </fill>
    <fill>
      <patternFill patternType="solid">
        <fgColor rgb="FFD2F1DA"/>
        <bgColor rgb="FFD2F1DA"/>
      </patternFill>
    </fill>
    <fill>
      <patternFill patternType="solid">
        <fgColor rgb="FFFFFF00"/>
        <bgColor rgb="FFFFFF00"/>
      </patternFill>
    </fill>
    <fill>
      <patternFill patternType="solid">
        <fgColor rgb="FF00FF00"/>
        <bgColor rgb="FF00FF00"/>
      </patternFill>
    </fill>
    <fill>
      <patternFill patternType="solid">
        <fgColor rgb="FF93C47D"/>
        <bgColor rgb="FF93C47D"/>
      </patternFill>
    </fill>
    <fill>
      <patternFill patternType="solid">
        <fgColor rgb="FFD9D2E9"/>
        <bgColor rgb="FFD9D2E9"/>
      </patternFill>
    </fill>
    <fill>
      <patternFill patternType="solid">
        <fgColor rgb="FFF4CCCC"/>
        <bgColor rgb="FFF4CCCC"/>
      </patternFill>
    </fill>
    <fill>
      <patternFill patternType="solid">
        <fgColor rgb="FFFF0000"/>
        <bgColor rgb="FFFF0000"/>
      </patternFill>
    </fill>
    <fill>
      <patternFill patternType="solid">
        <fgColor rgb="FFFFFFFF"/>
        <bgColor rgb="FFFFFFFF"/>
      </patternFill>
    </fill>
    <fill>
      <patternFill patternType="solid">
        <fgColor rgb="FFEA9999"/>
        <bgColor rgb="FFEA9999"/>
      </patternFill>
    </fill>
    <fill>
      <patternFill patternType="solid">
        <fgColor rgb="FFB4A7D6"/>
        <bgColor rgb="FFB4A7D6"/>
      </patternFill>
    </fill>
  </fills>
  <borders count="2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ttom/>
    </border>
    <border>
      <left/>
      <right/>
      <top style="thin">
        <color rgb="FF000000"/>
      </top>
      <bottom/>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xf>
    <xf borderId="0" fillId="2" fontId="1" numFmtId="164" xfId="0" applyAlignment="1" applyFont="1" applyNumberFormat="1">
      <alignment horizontal="center" shrinkToFit="0" wrapText="0"/>
    </xf>
    <xf borderId="0" fillId="3" fontId="1" numFmtId="164" xfId="0" applyAlignment="1" applyFill="1" applyFont="1" applyNumberFormat="1">
      <alignment horizontal="center"/>
    </xf>
    <xf borderId="0" fillId="4" fontId="1" numFmtId="164" xfId="0" applyAlignment="1" applyFill="1" applyFont="1" applyNumberFormat="1">
      <alignment horizontal="center"/>
    </xf>
    <xf borderId="0" fillId="5" fontId="1" numFmtId="164" xfId="0" applyAlignment="1" applyFill="1" applyFont="1" applyNumberFormat="1">
      <alignment horizontal="center"/>
    </xf>
    <xf borderId="0" fillId="0" fontId="1" numFmtId="0" xfId="0" applyFont="1"/>
    <xf borderId="1" fillId="0" fontId="1" numFmtId="0" xfId="0" applyAlignment="1" applyBorder="1" applyFont="1">
      <alignment shrinkToFit="0" vertical="center" wrapText="0"/>
    </xf>
    <xf borderId="2" fillId="0" fontId="2" numFmtId="0" xfId="0" applyBorder="1" applyFont="1"/>
    <xf borderId="2" fillId="6" fontId="3" numFmtId="0" xfId="0" applyAlignment="1" applyBorder="1" applyFill="1" applyFont="1">
      <alignment readingOrder="0" vertical="bottom"/>
    </xf>
    <xf borderId="2" fillId="0" fontId="2" numFmtId="0" xfId="0" applyAlignment="1" applyBorder="1" applyFont="1">
      <alignment shrinkToFit="0" wrapText="0"/>
    </xf>
    <xf borderId="3" fillId="0" fontId="2" numFmtId="0" xfId="0" applyBorder="1" applyFont="1"/>
    <xf borderId="0" fillId="0" fontId="2" numFmtId="0" xfId="0" applyFont="1"/>
    <xf borderId="4" fillId="0" fontId="4" numFmtId="0" xfId="0" applyBorder="1" applyFont="1"/>
    <xf borderId="0" fillId="6" fontId="5" numFmtId="0" xfId="0" applyAlignment="1" applyFont="1">
      <alignment vertical="bottom"/>
    </xf>
    <xf borderId="0" fillId="0" fontId="2" numFmtId="0" xfId="0" applyAlignment="1" applyFont="1">
      <alignment shrinkToFit="0" wrapText="0"/>
    </xf>
    <xf borderId="5" fillId="0" fontId="2" numFmtId="0" xfId="0" applyBorder="1" applyFont="1"/>
    <xf borderId="0" fillId="0" fontId="6" numFmtId="0" xfId="0" applyFont="1"/>
    <xf borderId="0" fillId="6" fontId="2" numFmtId="0" xfId="0" applyAlignment="1" applyFont="1">
      <alignment readingOrder="0"/>
    </xf>
    <xf borderId="0" fillId="6" fontId="7" numFmtId="0" xfId="0" applyAlignment="1" applyFont="1">
      <alignment vertical="bottom"/>
    </xf>
    <xf borderId="6" fillId="0" fontId="4" numFmtId="0" xfId="0" applyBorder="1" applyFont="1"/>
    <xf borderId="7" fillId="0" fontId="2" numFmtId="0" xfId="0" applyBorder="1" applyFont="1"/>
    <xf borderId="7" fillId="6" fontId="8" numFmtId="0" xfId="0" applyAlignment="1" applyBorder="1" applyFont="1">
      <alignment vertical="bottom"/>
    </xf>
    <xf borderId="7" fillId="0" fontId="2" numFmtId="0" xfId="0" applyAlignment="1" applyBorder="1" applyFont="1">
      <alignment shrinkToFit="0" wrapText="0"/>
    </xf>
    <xf borderId="8" fillId="0" fontId="2" numFmtId="0" xfId="0" applyBorder="1" applyFont="1"/>
    <xf borderId="0" fillId="0" fontId="9" numFmtId="0" xfId="0" applyAlignment="1" applyFont="1">
      <alignment horizontal="left"/>
    </xf>
    <xf borderId="0" fillId="0" fontId="9" numFmtId="0" xfId="0" applyAlignment="1" applyFont="1">
      <alignment vertical="bottom"/>
    </xf>
    <xf borderId="0" fillId="6" fontId="10" numFmtId="0" xfId="0" applyAlignment="1" applyFont="1">
      <alignment vertical="bottom"/>
    </xf>
    <xf borderId="0" fillId="0" fontId="9" numFmtId="0" xfId="0" applyFont="1"/>
    <xf borderId="0" fillId="6" fontId="11" numFmtId="0" xfId="0" applyAlignment="1" applyFont="1">
      <alignment shrinkToFit="0" vertical="bottom" wrapText="0"/>
    </xf>
    <xf borderId="0" fillId="0" fontId="1" numFmtId="0" xfId="0" applyAlignment="1" applyFont="1">
      <alignment shrinkToFit="0" vertical="center" wrapText="0"/>
    </xf>
    <xf borderId="0" fillId="0" fontId="1" numFmtId="0" xfId="0" applyAlignment="1" applyFont="1">
      <alignment shrinkToFit="0" wrapText="0"/>
    </xf>
    <xf borderId="0" fillId="0" fontId="1" numFmtId="0" xfId="0" applyAlignment="1" applyFont="1">
      <alignment shrinkToFit="0" vertical="center" wrapText="1"/>
    </xf>
    <xf borderId="9" fillId="2" fontId="1" numFmtId="0" xfId="0" applyAlignment="1" applyBorder="1" applyFont="1">
      <alignment shrinkToFit="0" vertical="center" wrapText="1"/>
    </xf>
    <xf borderId="9" fillId="2" fontId="1" numFmtId="0" xfId="0" applyAlignment="1" applyBorder="1" applyFont="1">
      <alignment vertical="center"/>
    </xf>
    <xf borderId="9" fillId="2" fontId="1" numFmtId="0" xfId="0" applyBorder="1" applyFont="1"/>
    <xf borderId="10" fillId="2" fontId="1" numFmtId="164" xfId="0" applyAlignment="1" applyBorder="1" applyFont="1" applyNumberFormat="1">
      <alignment horizontal="center"/>
    </xf>
    <xf borderId="11" fillId="0" fontId="4" numFmtId="0" xfId="0" applyBorder="1" applyFont="1"/>
    <xf borderId="12" fillId="0" fontId="4" numFmtId="0" xfId="0" applyBorder="1" applyFont="1"/>
    <xf borderId="13" fillId="7" fontId="1" numFmtId="0" xfId="0" applyAlignment="1" applyBorder="1" applyFill="1" applyFont="1">
      <alignment horizontal="center"/>
    </xf>
    <xf borderId="10" fillId="2" fontId="1" numFmtId="0" xfId="0" applyAlignment="1" applyBorder="1" applyFont="1">
      <alignment horizontal="center"/>
    </xf>
    <xf borderId="14" fillId="2" fontId="1" numFmtId="0" xfId="0" applyAlignment="1" applyBorder="1" applyFont="1">
      <alignment horizontal="center"/>
    </xf>
    <xf borderId="15" fillId="2" fontId="12" numFmtId="0" xfId="0" applyAlignment="1" applyBorder="1" applyFont="1">
      <alignment horizontal="center"/>
    </xf>
    <xf borderId="16" fillId="0" fontId="4" numFmtId="0" xfId="0" applyBorder="1" applyFont="1"/>
    <xf borderId="17" fillId="0" fontId="4" numFmtId="0" xfId="0" applyBorder="1" applyFont="1"/>
    <xf borderId="15" fillId="2" fontId="2" numFmtId="0" xfId="0" applyAlignment="1" applyBorder="1" applyFont="1">
      <alignment horizontal="center"/>
    </xf>
    <xf borderId="14" fillId="2" fontId="12" numFmtId="0" xfId="0" applyAlignment="1" applyBorder="1" applyFont="1">
      <alignment horizontal="center"/>
    </xf>
    <xf borderId="18" fillId="2" fontId="12" numFmtId="0" xfId="0" applyAlignment="1" applyBorder="1" applyFont="1">
      <alignment horizontal="center"/>
    </xf>
    <xf borderId="0" fillId="2" fontId="12" numFmtId="0" xfId="0" applyFont="1"/>
    <xf borderId="0" fillId="0" fontId="1" numFmtId="0" xfId="0" applyAlignment="1" applyFont="1">
      <alignment vertical="center"/>
    </xf>
    <xf borderId="4" fillId="0" fontId="1" numFmtId="0" xfId="0" applyBorder="1" applyFont="1"/>
    <xf borderId="0" fillId="7" fontId="1" numFmtId="164" xfId="0" applyFont="1" applyNumberFormat="1"/>
    <xf borderId="0" fillId="0" fontId="1" numFmtId="164" xfId="0" applyFont="1" applyNumberFormat="1"/>
    <xf borderId="0" fillId="0" fontId="12" numFmtId="0" xfId="0" applyFont="1"/>
    <xf borderId="0" fillId="7" fontId="1" numFmtId="0" xfId="0" applyFont="1"/>
    <xf borderId="5" fillId="8" fontId="1" numFmtId="0" xfId="0" applyBorder="1" applyFill="1" applyFont="1"/>
    <xf borderId="19" fillId="0" fontId="1" numFmtId="0" xfId="0" applyBorder="1" applyFont="1"/>
    <xf borderId="4" fillId="3" fontId="1" numFmtId="0" xfId="0" applyBorder="1" applyFont="1"/>
    <xf borderId="0" fillId="8" fontId="1" numFmtId="0" xfId="0" applyFont="1"/>
    <xf borderId="5" fillId="0" fontId="1" numFmtId="0" xfId="0" applyBorder="1" applyFont="1"/>
    <xf borderId="19" fillId="4" fontId="12" numFmtId="0" xfId="0" applyBorder="1" applyFont="1"/>
    <xf borderId="0" fillId="7" fontId="12" numFmtId="0" xfId="0" applyFont="1"/>
    <xf borderId="5" fillId="4" fontId="12" numFmtId="0" xfId="0" applyBorder="1" applyFont="1"/>
    <xf borderId="0" fillId="7" fontId="2" numFmtId="0" xfId="0" applyFont="1"/>
    <xf borderId="0" fillId="8" fontId="2" numFmtId="0" xfId="0" applyFont="1"/>
    <xf borderId="5" fillId="4" fontId="2" numFmtId="0" xfId="0" applyBorder="1" applyFont="1"/>
    <xf borderId="4" fillId="3" fontId="2" numFmtId="0" xfId="0" applyBorder="1" applyFont="1"/>
    <xf borderId="19" fillId="4" fontId="2" numFmtId="0" xfId="0" applyBorder="1" applyFont="1"/>
    <xf borderId="14" fillId="4" fontId="2" numFmtId="0" xfId="0" applyBorder="1" applyFont="1"/>
    <xf borderId="14" fillId="9" fontId="13" numFmtId="0" xfId="0" applyBorder="1" applyFill="1" applyFont="1"/>
    <xf borderId="1" fillId="0" fontId="1" numFmtId="0" xfId="0" applyAlignment="1" applyBorder="1" applyFont="1">
      <alignment shrinkToFit="0" vertical="center" wrapText="1"/>
    </xf>
    <xf borderId="2" fillId="0" fontId="1" numFmtId="0" xfId="0" applyAlignment="1" applyBorder="1" applyFont="1">
      <alignment shrinkToFit="0" vertical="center" wrapText="1"/>
    </xf>
    <xf borderId="2" fillId="0" fontId="1" numFmtId="0" xfId="0" applyAlignment="1" applyBorder="1" applyFont="1">
      <alignment vertical="center"/>
    </xf>
    <xf borderId="2" fillId="0" fontId="1" numFmtId="0" xfId="0" applyBorder="1" applyFont="1"/>
    <xf borderId="18" fillId="0" fontId="1" numFmtId="0" xfId="0" applyBorder="1" applyFont="1"/>
    <xf borderId="2" fillId="0" fontId="1" numFmtId="0" xfId="0" applyAlignment="1" applyBorder="1" applyFont="1">
      <alignment readingOrder="0"/>
    </xf>
    <xf borderId="2" fillId="0" fontId="14" numFmtId="0" xfId="0" applyBorder="1" applyFont="1"/>
    <xf borderId="3" fillId="0" fontId="1" numFmtId="0" xfId="0" applyBorder="1" applyFont="1"/>
    <xf borderId="1" fillId="6" fontId="1" numFmtId="0" xfId="0" applyBorder="1" applyFont="1"/>
    <xf borderId="18" fillId="0" fontId="12" numFmtId="0" xfId="0" applyBorder="1" applyFont="1"/>
    <xf borderId="3" fillId="0" fontId="12" numFmtId="0" xfId="0" applyBorder="1" applyFont="1"/>
    <xf borderId="1" fillId="6" fontId="2" numFmtId="0" xfId="0" applyBorder="1" applyFont="1"/>
    <xf borderId="2" fillId="0" fontId="12" numFmtId="0" xfId="0" applyAlignment="1" applyBorder="1" applyFont="1">
      <alignment readingOrder="0"/>
    </xf>
    <xf borderId="1" fillId="0" fontId="2" numFmtId="0" xfId="0" applyBorder="1" applyFont="1"/>
    <xf borderId="1" fillId="10" fontId="2" numFmtId="0" xfId="0" applyBorder="1" applyFill="1" applyFont="1"/>
    <xf borderId="18" fillId="0" fontId="2" numFmtId="0" xfId="0" applyBorder="1" applyFont="1"/>
    <xf borderId="18" fillId="6" fontId="2" numFmtId="0" xfId="0" applyBorder="1" applyFont="1"/>
    <xf borderId="0" fillId="0" fontId="1" numFmtId="0" xfId="0" applyAlignment="1" applyFont="1">
      <alignment readingOrder="0"/>
    </xf>
    <xf borderId="19" fillId="0" fontId="1" numFmtId="0" xfId="0" applyAlignment="1" applyBorder="1" applyFont="1">
      <alignment readingOrder="0"/>
    </xf>
    <xf borderId="4" fillId="6" fontId="1" numFmtId="0" xfId="0" applyBorder="1" applyFont="1"/>
    <xf borderId="4" fillId="0" fontId="12" numFmtId="0" xfId="0" applyBorder="1" applyFont="1"/>
    <xf borderId="4" fillId="10" fontId="1" numFmtId="0" xfId="0" applyBorder="1" applyFont="1"/>
    <xf borderId="5" fillId="0" fontId="12" numFmtId="0" xfId="0" applyBorder="1" applyFont="1"/>
    <xf borderId="4" fillId="6" fontId="2" numFmtId="0" xfId="0" applyAlignment="1" applyBorder="1" applyFont="1">
      <alignment readingOrder="0"/>
    </xf>
    <xf borderId="0" fillId="0" fontId="12" numFmtId="0" xfId="0" applyAlignment="1" applyFont="1">
      <alignment readingOrder="0"/>
    </xf>
    <xf borderId="4" fillId="0" fontId="2" numFmtId="0" xfId="0" applyBorder="1" applyFont="1"/>
    <xf borderId="4" fillId="10" fontId="2" numFmtId="0" xfId="0" applyBorder="1" applyFont="1"/>
    <xf borderId="19" fillId="0" fontId="2" numFmtId="0" xfId="0" applyBorder="1" applyFont="1"/>
    <xf borderId="19" fillId="6" fontId="2" numFmtId="0" xfId="0" applyBorder="1" applyFont="1"/>
    <xf borderId="4" fillId="6" fontId="2" numFmtId="0" xfId="0" applyBorder="1" applyFont="1"/>
    <xf borderId="4" fillId="6" fontId="1" numFmtId="0" xfId="0" applyAlignment="1" applyBorder="1" applyFont="1">
      <alignment readingOrder="0"/>
    </xf>
    <xf borderId="4" fillId="0" fontId="2" numFmtId="0" xfId="0" applyAlignment="1" applyBorder="1" applyFont="1">
      <alignment readingOrder="0"/>
    </xf>
    <xf borderId="0" fillId="0" fontId="15" numFmtId="0" xfId="0" applyFont="1"/>
    <xf borderId="7" fillId="0" fontId="1" numFmtId="0" xfId="0" applyAlignment="1" applyBorder="1" applyFont="1">
      <alignment shrinkToFit="0" vertical="center" wrapText="1"/>
    </xf>
    <xf borderId="7" fillId="0" fontId="1" numFmtId="0" xfId="0" applyAlignment="1" applyBorder="1" applyFont="1">
      <alignment vertical="center"/>
    </xf>
    <xf borderId="7" fillId="0" fontId="1" numFmtId="0" xfId="0" applyBorder="1" applyFont="1"/>
    <xf borderId="20" fillId="0" fontId="1" numFmtId="0" xfId="0" applyBorder="1" applyFont="1"/>
    <xf borderId="7" fillId="0" fontId="1" numFmtId="0" xfId="0" applyAlignment="1" applyBorder="1" applyFont="1">
      <alignment readingOrder="0"/>
    </xf>
    <xf borderId="7" fillId="0" fontId="14" numFmtId="0" xfId="0" applyBorder="1" applyFont="1"/>
    <xf borderId="8" fillId="0" fontId="1" numFmtId="0" xfId="0" applyBorder="1" applyFont="1"/>
    <xf borderId="20" fillId="0" fontId="1" numFmtId="0" xfId="0" applyAlignment="1" applyBorder="1" applyFont="1">
      <alignment readingOrder="0"/>
    </xf>
    <xf borderId="6" fillId="0" fontId="1" numFmtId="0" xfId="0" applyBorder="1" applyFont="1"/>
    <xf borderId="20" fillId="0" fontId="12" numFmtId="0" xfId="0" applyBorder="1" applyFont="1"/>
    <xf borderId="6" fillId="6" fontId="1" numFmtId="0" xfId="0" applyBorder="1" applyFont="1"/>
    <xf borderId="8" fillId="0" fontId="12" numFmtId="0" xfId="0" applyBorder="1" applyFont="1"/>
    <xf borderId="6" fillId="10" fontId="2" numFmtId="0" xfId="0" applyBorder="1" applyFont="1"/>
    <xf borderId="7" fillId="0" fontId="12" numFmtId="0" xfId="0" applyAlignment="1" applyBorder="1" applyFont="1">
      <alignment readingOrder="0"/>
    </xf>
    <xf borderId="6" fillId="0" fontId="2" numFmtId="0" xfId="0" applyBorder="1" applyFont="1"/>
    <xf borderId="20" fillId="0" fontId="2" numFmtId="0" xfId="0" applyBorder="1" applyFont="1"/>
    <xf borderId="20" fillId="6" fontId="2" numFmtId="0" xfId="0" applyBorder="1" applyFont="1"/>
    <xf borderId="18" fillId="0" fontId="1" numFmtId="0" xfId="0" applyAlignment="1" applyBorder="1" applyFont="1">
      <alignment readingOrder="0"/>
    </xf>
    <xf borderId="1" fillId="6" fontId="1" numFmtId="0" xfId="0" applyAlignment="1" applyBorder="1" applyFont="1">
      <alignment readingOrder="0"/>
    </xf>
    <xf borderId="1" fillId="6" fontId="2" numFmtId="0" xfId="0" applyAlignment="1" applyBorder="1" applyFont="1">
      <alignment readingOrder="0"/>
    </xf>
    <xf borderId="0" fillId="0" fontId="14" numFmtId="0" xfId="0" applyAlignment="1" applyFont="1">
      <alignment readingOrder="0"/>
    </xf>
    <xf borderId="19" fillId="0" fontId="12" numFmtId="0" xfId="0" applyBorder="1" applyFont="1"/>
    <xf borderId="0" fillId="0" fontId="9" numFmtId="0" xfId="0" applyAlignment="1" applyFont="1">
      <alignment horizontal="center"/>
    </xf>
    <xf borderId="0" fillId="6" fontId="1" numFmtId="0" xfId="0" applyAlignment="1" applyFont="1">
      <alignment readingOrder="0"/>
    </xf>
    <xf borderId="6" fillId="6" fontId="1" numFmtId="0" xfId="0" applyAlignment="1" applyBorder="1" applyFont="1">
      <alignment readingOrder="0"/>
    </xf>
    <xf borderId="7" fillId="0" fontId="14" numFmtId="0" xfId="0" applyAlignment="1" applyBorder="1" applyFont="1">
      <alignment readingOrder="0"/>
    </xf>
    <xf borderId="6" fillId="6" fontId="2" numFmtId="0" xfId="0" applyAlignment="1" applyBorder="1" applyFont="1">
      <alignment readingOrder="0"/>
    </xf>
    <xf borderId="2" fillId="0" fontId="14" numFmtId="0" xfId="0" applyAlignment="1" applyBorder="1" applyFont="1">
      <alignment readingOrder="0"/>
    </xf>
    <xf quotePrefix="1" borderId="0" fillId="0" fontId="1" numFmtId="0" xfId="0" applyFont="1"/>
    <xf borderId="19" fillId="6" fontId="2" numFmtId="0" xfId="0" applyAlignment="1" applyBorder="1" applyFont="1">
      <alignment horizontal="right" readingOrder="0"/>
    </xf>
    <xf borderId="1" fillId="10" fontId="2" numFmtId="0" xfId="0" applyAlignment="1" applyBorder="1" applyFont="1">
      <alignment readingOrder="0"/>
    </xf>
    <xf borderId="4" fillId="10" fontId="2" numFmtId="0" xfId="0" applyAlignment="1" applyBorder="1" applyFont="1">
      <alignment readingOrder="0"/>
    </xf>
    <xf borderId="7" fillId="0" fontId="2" numFmtId="0" xfId="0" applyAlignment="1" applyBorder="1" applyFont="1">
      <alignment readingOrder="0"/>
    </xf>
    <xf borderId="1" fillId="2" fontId="1" numFmtId="0" xfId="0" applyAlignment="1" applyBorder="1" applyFont="1">
      <alignment horizontal="center"/>
    </xf>
    <xf borderId="2" fillId="0" fontId="4" numFmtId="0" xfId="0" applyBorder="1" applyFont="1"/>
    <xf borderId="3" fillId="0" fontId="4" numFmtId="0" xfId="0" applyBorder="1" applyFont="1"/>
    <xf borderId="18" fillId="2" fontId="12" numFmtId="0" xfId="0" applyBorder="1" applyFont="1"/>
    <xf borderId="1" fillId="3" fontId="1" numFmtId="0" xfId="0" applyBorder="1" applyFont="1"/>
    <xf borderId="2" fillId="7" fontId="1" numFmtId="0" xfId="0" applyBorder="1" applyFont="1"/>
    <xf borderId="2" fillId="8" fontId="1" numFmtId="0" xfId="0" applyBorder="1" applyFont="1"/>
    <xf borderId="0" fillId="7" fontId="2" numFmtId="0" xfId="0" applyAlignment="1" applyFont="1">
      <alignment readingOrder="0"/>
    </xf>
    <xf borderId="1" fillId="0" fontId="1" numFmtId="0" xfId="0" applyAlignment="1" applyBorder="1" applyFont="1">
      <alignment shrinkToFit="0" wrapText="0"/>
    </xf>
    <xf borderId="2" fillId="0" fontId="12" numFmtId="0" xfId="0" applyBorder="1" applyFont="1"/>
    <xf borderId="4" fillId="0" fontId="1" numFmtId="0" xfId="0" applyAlignment="1" applyBorder="1" applyFont="1">
      <alignment shrinkToFit="0" wrapText="0"/>
    </xf>
    <xf borderId="6" fillId="0" fontId="1" numFmtId="0" xfId="0" applyAlignment="1" applyBorder="1" applyFont="1">
      <alignment shrinkToFit="0" wrapText="0"/>
    </xf>
    <xf borderId="7" fillId="6" fontId="1" numFmtId="0" xfId="0" applyAlignment="1" applyBorder="1" applyFont="1">
      <alignment readingOrder="0"/>
    </xf>
    <xf borderId="6" fillId="10" fontId="1" numFmtId="0" xfId="0" applyBorder="1" applyFont="1"/>
    <xf borderId="1" fillId="0" fontId="1" numFmtId="0" xfId="0" applyBorder="1" applyFont="1"/>
    <xf borderId="1" fillId="6" fontId="12" numFmtId="0" xfId="0" applyAlignment="1" applyBorder="1" applyFont="1">
      <alignment readingOrder="0"/>
    </xf>
    <xf borderId="1" fillId="0" fontId="12" numFmtId="0" xfId="0" applyBorder="1" applyFont="1"/>
    <xf borderId="4" fillId="6" fontId="12" numFmtId="0" xfId="0" applyAlignment="1" applyBorder="1" applyFont="1">
      <alignment readingOrder="0"/>
    </xf>
    <xf borderId="6" fillId="6" fontId="12" numFmtId="0" xfId="0" applyAlignment="1" applyBorder="1" applyFont="1">
      <alignment readingOrder="0"/>
    </xf>
    <xf borderId="6" fillId="0" fontId="12" numFmtId="0" xfId="0" applyBorder="1" applyFont="1"/>
    <xf borderId="6" fillId="0" fontId="2" numFmtId="0" xfId="0" applyAlignment="1" applyBorder="1" applyFont="1">
      <alignment shrinkToFit="0" wrapText="0"/>
    </xf>
    <xf borderId="2" fillId="10" fontId="2" numFmtId="0" xfId="0" applyBorder="1" applyFont="1"/>
    <xf borderId="0" fillId="10" fontId="2" numFmtId="0" xfId="0" applyFont="1"/>
    <xf borderId="19" fillId="6" fontId="16" numFmtId="0" xfId="0" applyAlignment="1" applyBorder="1" applyFont="1">
      <alignment horizontal="right" readingOrder="0"/>
    </xf>
    <xf borderId="7" fillId="10" fontId="2" numFmtId="0" xfId="0" applyBorder="1" applyFont="1"/>
    <xf borderId="4" fillId="6" fontId="1" numFmtId="165" xfId="0" applyAlignment="1" applyBorder="1" applyFont="1" applyNumberFormat="1">
      <alignment readingOrder="0"/>
    </xf>
    <xf borderId="21" fillId="2" fontId="1" numFmtId="0" xfId="0" applyAlignment="1" applyBorder="1" applyFont="1">
      <alignment shrinkToFit="0" vertical="center" wrapText="1"/>
    </xf>
    <xf borderId="22" fillId="2" fontId="1" numFmtId="0" xfId="0" applyAlignment="1" applyBorder="1" applyFont="1">
      <alignment shrinkToFit="0" vertical="center" wrapText="1"/>
    </xf>
    <xf borderId="22" fillId="2" fontId="1" numFmtId="0" xfId="0" applyAlignment="1" applyBorder="1" applyFont="1">
      <alignment vertical="center"/>
    </xf>
    <xf borderId="22" fillId="2" fontId="1" numFmtId="0" xfId="0" applyBorder="1" applyFont="1"/>
    <xf borderId="4" fillId="0" fontId="1" numFmtId="0" xfId="0" applyAlignment="1" applyBorder="1" applyFont="1">
      <alignment shrinkToFit="0" vertical="center" wrapText="0"/>
    </xf>
    <xf borderId="2" fillId="0" fontId="1" numFmtId="0" xfId="0" applyAlignment="1" applyBorder="1" applyFont="1">
      <alignment shrinkToFit="0" vertical="center" wrapText="0"/>
    </xf>
    <xf borderId="2" fillId="0" fontId="1" numFmtId="0" xfId="0" applyAlignment="1" applyBorder="1" applyFont="1">
      <alignment shrinkToFit="0" wrapText="0"/>
    </xf>
    <xf borderId="1" fillId="10" fontId="1" numFmtId="0" xfId="0" applyBorder="1" applyFont="1"/>
    <xf borderId="3" fillId="0" fontId="14" numFmtId="0" xfId="0" applyBorder="1" applyFont="1"/>
    <xf borderId="5" fillId="0" fontId="14" numFmtId="0" xfId="0" applyBorder="1" applyFont="1"/>
    <xf borderId="0" fillId="0" fontId="2" numFmtId="0" xfId="0" applyAlignment="1" applyFont="1">
      <alignment shrinkToFit="0" vertical="bottom" wrapText="0"/>
    </xf>
    <xf borderId="4" fillId="0" fontId="2" numFmtId="0" xfId="0" applyAlignment="1" applyBorder="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5" fillId="0" fontId="2" numFmtId="0" xfId="0" applyAlignment="1" applyBorder="1" applyFont="1">
      <alignment horizontal="right" vertical="bottom"/>
    </xf>
    <xf borderId="19" fillId="0" fontId="2" numFmtId="0" xfId="0" applyAlignment="1" applyBorder="1" applyFont="1">
      <alignment horizontal="right" vertical="bottom"/>
    </xf>
    <xf borderId="5" fillId="0" fontId="2" numFmtId="0" xfId="0" applyAlignment="1" applyBorder="1" applyFont="1">
      <alignment vertical="bottom"/>
    </xf>
    <xf borderId="7" fillId="0" fontId="1" numFmtId="0" xfId="0" applyAlignment="1" applyBorder="1" applyFont="1">
      <alignment shrinkToFit="0" vertical="center" wrapText="0"/>
    </xf>
    <xf borderId="7" fillId="0" fontId="1" numFmtId="0" xfId="0" applyAlignment="1" applyBorder="1" applyFont="1">
      <alignment shrinkToFit="0" wrapText="0"/>
    </xf>
    <xf borderId="8" fillId="0" fontId="14" numFmtId="0" xfId="0" applyBorder="1" applyFont="1"/>
    <xf borderId="1" fillId="0" fontId="1" numFmtId="0" xfId="0" applyAlignment="1" applyBorder="1" applyFont="1">
      <alignment readingOrder="0"/>
    </xf>
    <xf borderId="4" fillId="0" fontId="1" numFmtId="0" xfId="0" applyAlignment="1" applyBorder="1" applyFont="1">
      <alignment readingOrder="0"/>
    </xf>
    <xf borderId="6" fillId="0" fontId="1" numFmtId="0" xfId="0" applyAlignment="1" applyBorder="1" applyFont="1">
      <alignment readingOrder="0"/>
    </xf>
    <xf quotePrefix="1" borderId="0" fillId="0" fontId="1" numFmtId="0" xfId="0" applyAlignment="1" applyFont="1">
      <alignment shrinkToFit="0" wrapText="0"/>
    </xf>
    <xf borderId="20" fillId="0" fontId="2" numFmtId="0" xfId="0" applyAlignment="1" applyBorder="1" applyFont="1">
      <alignment readingOrder="0"/>
    </xf>
    <xf borderId="18" fillId="0" fontId="2" numFmtId="0" xfId="0" applyAlignment="1" applyBorder="1" applyFont="1">
      <alignment readingOrder="0"/>
    </xf>
    <xf borderId="19" fillId="0" fontId="2" numFmtId="0" xfId="0" applyAlignment="1" applyBorder="1" applyFont="1">
      <alignment readingOrder="0"/>
    </xf>
    <xf borderId="2" fillId="0" fontId="2" numFmtId="0" xfId="0" applyAlignment="1" applyBorder="1" applyFont="1">
      <alignment readingOrder="0"/>
    </xf>
    <xf borderId="0" fillId="0" fontId="2" numFmtId="0" xfId="0" applyAlignment="1" applyFont="1">
      <alignment readingOrder="0"/>
    </xf>
    <xf borderId="6" fillId="0" fontId="2" numFmtId="0" xfId="0" applyAlignment="1" applyBorder="1" applyFont="1">
      <alignment readingOrder="0"/>
    </xf>
    <xf borderId="1" fillId="2" fontId="1" numFmtId="0" xfId="0" applyAlignment="1" applyBorder="1" applyFont="1">
      <alignment shrinkToFit="0" vertical="center" wrapText="1"/>
    </xf>
    <xf borderId="2" fillId="2" fontId="1" numFmtId="0" xfId="0" applyAlignment="1" applyBorder="1" applyFont="1">
      <alignment shrinkToFit="0" vertical="center" wrapText="1"/>
    </xf>
    <xf borderId="2" fillId="2" fontId="1" numFmtId="0" xfId="0" applyAlignment="1" applyBorder="1" applyFont="1">
      <alignment vertical="center"/>
    </xf>
    <xf borderId="2" fillId="2" fontId="1" numFmtId="0" xfId="0" applyBorder="1" applyFont="1"/>
    <xf borderId="11" fillId="2" fontId="1" numFmtId="164" xfId="0" applyAlignment="1" applyBorder="1" applyFont="1" applyNumberFormat="1">
      <alignment horizontal="center"/>
    </xf>
    <xf borderId="4" fillId="0" fontId="1" numFmtId="0" xfId="0" applyAlignment="1" applyBorder="1" applyFont="1">
      <alignment shrinkToFit="0" vertical="center" wrapText="1"/>
    </xf>
    <xf borderId="18" fillId="11" fontId="2" numFmtId="0" xfId="0" applyBorder="1" applyFill="1" applyFont="1"/>
    <xf borderId="0" fillId="0" fontId="2" numFmtId="0" xfId="0" applyAlignment="1" applyFont="1">
      <alignment horizontal="right" readingOrder="0" vertical="bottom"/>
    </xf>
    <xf borderId="19" fillId="0" fontId="2" numFmtId="0" xfId="0" applyAlignment="1" applyBorder="1" applyFont="1">
      <alignment horizontal="right" readingOrder="0" vertical="bottom"/>
    </xf>
    <xf borderId="4" fillId="0" fontId="2" numFmtId="0" xfId="0" applyAlignment="1" applyBorder="1" applyFont="1">
      <alignment horizontal="right" vertical="bottom"/>
    </xf>
    <xf borderId="19" fillId="0" fontId="14" numFmtId="0" xfId="0" applyAlignment="1" applyBorder="1" applyFont="1">
      <alignment readingOrder="0"/>
    </xf>
    <xf borderId="19" fillId="11" fontId="2" numFmtId="0" xfId="0" applyBorder="1" applyFont="1"/>
    <xf borderId="19" fillId="11" fontId="16" numFmtId="0" xfId="0" applyAlignment="1" applyBorder="1" applyFont="1">
      <alignment horizontal="right" readingOrder="0"/>
    </xf>
    <xf borderId="20" fillId="0" fontId="14" numFmtId="0" xfId="0" applyAlignment="1" applyBorder="1" applyFont="1">
      <alignment readingOrder="0"/>
    </xf>
    <xf borderId="6" fillId="10" fontId="12" numFmtId="0" xfId="0" applyBorder="1" applyFont="1"/>
    <xf borderId="7" fillId="0" fontId="2" numFmtId="0" xfId="0" applyAlignment="1" applyBorder="1" applyFont="1">
      <alignment horizontal="right" readingOrder="0" vertical="bottom"/>
    </xf>
    <xf borderId="0" fillId="0" fontId="1" numFmtId="3" xfId="0" applyAlignment="1" applyFont="1" applyNumberFormat="1">
      <alignment readingOrder="0"/>
    </xf>
    <xf borderId="20" fillId="11" fontId="2" numFmtId="0" xfId="0" applyBorder="1" applyFont="1"/>
    <xf borderId="2" fillId="0" fontId="2" numFmtId="0" xfId="0" applyAlignment="1" applyBorder="1" applyFont="1">
      <alignment horizontal="right" readingOrder="0" vertical="bottom"/>
    </xf>
    <xf borderId="18" fillId="0" fontId="14" numFmtId="0" xfId="0" applyAlignment="1" applyBorder="1" applyFont="1">
      <alignment readingOrder="0"/>
    </xf>
    <xf borderId="18" fillId="2" fontId="1" numFmtId="0" xfId="0" applyAlignment="1" applyBorder="1" applyFont="1">
      <alignment shrinkToFit="0" vertical="center" wrapText="1"/>
    </xf>
    <xf borderId="18" fillId="2" fontId="1" numFmtId="0" xfId="0" applyAlignment="1" applyBorder="1" applyFont="1">
      <alignment vertical="center"/>
    </xf>
    <xf borderId="18" fillId="2" fontId="1" numFmtId="0" xfId="0" applyBorder="1" applyFont="1"/>
    <xf borderId="2" fillId="6" fontId="1" numFmtId="0" xfId="0" applyAlignment="1" applyBorder="1" applyFont="1">
      <alignment readingOrder="0"/>
    </xf>
    <xf borderId="0" fillId="0" fontId="2" numFmtId="0" xfId="0" applyAlignment="1" applyFont="1">
      <alignment shrinkToFit="0" wrapText="1"/>
    </xf>
    <xf borderId="4" fillId="10" fontId="2" numFmtId="0" xfId="0" applyAlignment="1" applyBorder="1" applyFont="1">
      <alignment horizontal="right" vertical="bottom"/>
    </xf>
    <xf borderId="0" fillId="9" fontId="17" numFmtId="0" xfId="0" applyFont="1"/>
    <xf borderId="0" fillId="0" fontId="2" numFmtId="3" xfId="0" applyFont="1" applyNumberFormat="1"/>
    <xf borderId="2" fillId="10" fontId="1" numFmtId="0" xfId="0" applyBorder="1" applyFont="1"/>
    <xf borderId="1" fillId="10" fontId="2" numFmtId="0" xfId="0" applyAlignment="1" applyBorder="1" applyFont="1">
      <alignment horizontal="right" vertical="bottom"/>
    </xf>
    <xf borderId="0" fillId="10" fontId="1" numFmtId="0" xfId="0" applyFont="1"/>
    <xf borderId="0" fillId="9" fontId="18" numFmtId="0" xfId="0" applyFont="1"/>
    <xf borderId="7" fillId="10" fontId="1" numFmtId="0" xfId="0" applyBorder="1" applyFont="1"/>
    <xf borderId="6" fillId="10" fontId="2"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nfrontag.com/trimble" TargetMode="External"/><Relationship Id="rId83" Type="http://schemas.openxmlformats.org/officeDocument/2006/relationships/drawing" Target="../drawings/drawing1.xml"/><Relationship Id="rId42" Type="http://schemas.openxmlformats.org/officeDocument/2006/relationships/hyperlink" Target="https://www.a2bguidance.com/guidance/outback-rebel/outback-rebel-row-crop.html" TargetMode="External"/><Relationship Id="rId41" Type="http://schemas.openxmlformats.org/officeDocument/2006/relationships/hyperlink" Target="https://infrontag.com/trimble" TargetMode="External"/><Relationship Id="rId44" Type="http://schemas.openxmlformats.org/officeDocument/2006/relationships/hyperlink" Target="https://agriculture.trimble.com/en" TargetMode="External"/><Relationship Id="rId43" Type="http://schemas.openxmlformats.org/officeDocument/2006/relationships/hyperlink" Target="https://www.topconagriculture.com/" TargetMode="External"/><Relationship Id="rId46" Type="http://schemas.openxmlformats.org/officeDocument/2006/relationships/hyperlink" Target="https://geopard.tech/management-zones-vra-maps/" TargetMode="External"/><Relationship Id="rId45" Type="http://schemas.openxmlformats.org/officeDocument/2006/relationships/hyperlink" Target="https://www.deere.gr/el/smart-farming-solutions/guidance-solutions/autotrac/" TargetMode="External"/><Relationship Id="rId80" Type="http://schemas.openxmlformats.org/officeDocument/2006/relationships/hyperlink" Target="https://www.weedit.com.au/" TargetMode="External"/><Relationship Id="rId82" Type="http://schemas.openxmlformats.org/officeDocument/2006/relationships/hyperlink" Target="https://agrointelli.com/" TargetMode="External"/><Relationship Id="rId81" Type="http://schemas.openxmlformats.org/officeDocument/2006/relationships/hyperlink" Target="http://agrotopo.eu/product?productid=2775" TargetMode="External"/><Relationship Id="rId1" Type="http://schemas.openxmlformats.org/officeDocument/2006/relationships/hyperlink" Target="https://plantae.garden/" TargetMode="External"/><Relationship Id="rId2" Type="http://schemas.openxmlformats.org/officeDocument/2006/relationships/hyperlink" Target="https://zenagropc.com/georgia-akriveias/" TargetMode="External"/><Relationship Id="rId3" Type="http://schemas.openxmlformats.org/officeDocument/2006/relationships/hyperlink" Target="https://zenagropc.com/georgia-akriveias/" TargetMode="External"/><Relationship Id="rId4" Type="http://schemas.openxmlformats.org/officeDocument/2006/relationships/hyperlink" Target="https://start.agritask.com/wp-content/uploads/2021/03/HZPC-case-study.pdf" TargetMode="External"/><Relationship Id="rId9" Type="http://schemas.openxmlformats.org/officeDocument/2006/relationships/hyperlink" Target="https://www.wisecrop.com/en/apps" TargetMode="External"/><Relationship Id="rId48" Type="http://schemas.openxmlformats.org/officeDocument/2006/relationships/hyperlink" Target="https://ugmo.com/solutions/" TargetMode="External"/><Relationship Id="rId47" Type="http://schemas.openxmlformats.org/officeDocument/2006/relationships/hyperlink" Target="https://www.teagle.co.uk/en-GB/" TargetMode="External"/><Relationship Id="rId49" Type="http://schemas.openxmlformats.org/officeDocument/2006/relationships/hyperlink" Target="https://smart-akis.com/SFCPPortal/" TargetMode="External"/><Relationship Id="rId5" Type="http://schemas.openxmlformats.org/officeDocument/2006/relationships/hyperlink" Target="https://w3.ual.es/GruposInv/nitrogeno/VegSyst-DSS.shtml" TargetMode="External"/><Relationship Id="rId6" Type="http://schemas.openxmlformats.org/officeDocument/2006/relationships/hyperlink" Target="https://fairshare-pnf.eu/tool-details?id=5e33213450aeb3490a24f3a8&amp;flag=true&amp;name=VegSyst-DSS" TargetMode="External"/><Relationship Id="rId7" Type="http://schemas.openxmlformats.org/officeDocument/2006/relationships/hyperlink" Target="http://www.netsensors.pt/ps.html" TargetMode="External"/><Relationship Id="rId8" Type="http://schemas.openxmlformats.org/officeDocument/2006/relationships/hyperlink" Target="https://fairshare-pnf.eu/tool-details?id=5f6cc0961f68f325af42e155&amp;flag=true&amp;name=N3tSensors%20Agro%20Plus" TargetMode="External"/><Relationship Id="rId73" Type="http://schemas.openxmlformats.org/officeDocument/2006/relationships/hyperlink" Target="https://www.agrobot.com/" TargetMode="External"/><Relationship Id="rId72" Type="http://schemas.openxmlformats.org/officeDocument/2006/relationships/hyperlink" Target="http://wall-ye.com/index.html" TargetMode="External"/><Relationship Id="rId31" Type="http://schemas.openxmlformats.org/officeDocument/2006/relationships/hyperlink" Targe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 TargetMode="External"/><Relationship Id="rId75" Type="http://schemas.openxmlformats.org/officeDocument/2006/relationships/hyperlink" Target="https://www.visionweeding.com/" TargetMode="External"/><Relationship Id="rId30"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74" Type="http://schemas.openxmlformats.org/officeDocument/2006/relationships/hyperlink" Target="https://ecorobotix.com/fr/" TargetMode="External"/><Relationship Id="rId33" Type="http://schemas.openxmlformats.org/officeDocument/2006/relationships/hyperlink" Target="https://shop.agri-info-design.com/en-eu" TargetMode="External"/><Relationship Id="rId77" Type="http://schemas.openxmlformats.org/officeDocument/2006/relationships/hyperlink" Target="https://www.mascus.co.uk/agriculture/used-olive-harvesting-machines/white-shark-dgf80/oglotoxh.html" TargetMode="External"/><Relationship Id="rId32" Type="http://schemas.openxmlformats.org/officeDocument/2006/relationships/hyperlink" Target="https://www.smajayu.com/" TargetMode="External"/><Relationship Id="rId76" Type="http://schemas.openxmlformats.org/officeDocument/2006/relationships/hyperlink" Target="http://www.naio-technologies.com/en/home/" TargetMode="External"/><Relationship Id="rId35" Type="http://schemas.openxmlformats.org/officeDocument/2006/relationships/hyperlink" Target="https://www.smart-akis.com/wp-content/uploads/techhtmpdf/1118.htm" TargetMode="External"/><Relationship Id="rId79" Type="http://schemas.openxmlformats.org/officeDocument/2006/relationships/hyperlink" Target="https://tractorgps.gr/en/" TargetMode="External"/><Relationship Id="rId34" Type="http://schemas.openxmlformats.org/officeDocument/2006/relationships/hyperlink" Target="https://www.deere.com/en/technology-products/precision-ag-technology/guidance/auto-trac-controller/" TargetMode="External"/><Relationship Id="rId78" Type="http://schemas.openxmlformats.org/officeDocument/2006/relationships/hyperlink" Target="https://www.mascus.co.uk/agriculture/used-olive-harvesting-machines/white-shark-dgf80/oglotoxh.html" TargetMode="External"/><Relationship Id="rId71" Type="http://schemas.openxmlformats.org/officeDocument/2006/relationships/hyperlink" Target="https://rootwave.com/" TargetMode="External"/><Relationship Id="rId70" Type="http://schemas.openxmlformats.org/officeDocument/2006/relationships/hyperlink" Target="https://rootwave.com/" TargetMode="External"/><Relationship Id="rId37" Type="http://schemas.openxmlformats.org/officeDocument/2006/relationships/hyperlink" Target="https://shop.agri-info-design.com/en-eu" TargetMode="External"/><Relationship Id="rId36" Type="http://schemas.openxmlformats.org/officeDocument/2006/relationships/hyperlink" Target="https://www.deere.co.uk/en/precision-agriculture/automation-systems/tractor-implement-automation/" TargetMode="External"/><Relationship Id="rId39" Type="http://schemas.openxmlformats.org/officeDocument/2006/relationships/hyperlink" Target="https://tractorgps.gr/en/" TargetMode="External"/><Relationship Id="rId38" Type="http://schemas.openxmlformats.org/officeDocument/2006/relationships/hyperlink" Target="https://tractorgps.gr/en/" TargetMode="External"/><Relationship Id="rId62" Type="http://schemas.openxmlformats.org/officeDocument/2006/relationships/hyperlink" Target="https://www.dji.com/gr/p4-multispectral" TargetMode="External"/><Relationship Id="rId61" Type="http://schemas.openxmlformats.org/officeDocument/2006/relationships/hyperlink" Target="https://www.toro.com/en" TargetMode="External"/><Relationship Id="rId20" Type="http://schemas.openxmlformats.org/officeDocument/2006/relationships/hyperlink" Target="https://ifarma.agrostis.gr/" TargetMode="External"/><Relationship Id="rId64" Type="http://schemas.openxmlformats.org/officeDocument/2006/relationships/hyperlink" Target="https://www.premium-positioning.com/" TargetMode="External"/><Relationship Id="rId63" Type="http://schemas.openxmlformats.org/officeDocument/2006/relationships/hyperlink" Target="https://ageagle.com/drones/ebee-ag/" TargetMode="External"/><Relationship Id="rId22" Type="http://schemas.openxmlformats.org/officeDocument/2006/relationships/hyperlink" Target="https://www.corteva.gr/content/dam/dpagco/corteva/eu/gr/el/files/granular-club/GRANULAR%20CLUB%20-%20%CE%A6%CE%A5%CE%9B%CE%9B%CE%91%CE%94%CE%99%CE%9F.PDF" TargetMode="External"/><Relationship Id="rId66" Type="http://schemas.openxmlformats.org/officeDocument/2006/relationships/hyperlink" Target="https://www.sensoterra.com/en/product/single-depth-sensor/" TargetMode="External"/><Relationship Id="rId21" Type="http://schemas.openxmlformats.org/officeDocument/2006/relationships/hyperlink" Target="https://www.navfarm.com/" TargetMode="External"/><Relationship Id="rId65" Type="http://schemas.openxmlformats.org/officeDocument/2006/relationships/hyperlink" Target="https://www.farmtrx.com/" TargetMode="External"/><Relationship Id="rId24" Type="http://schemas.openxmlformats.org/officeDocument/2006/relationships/hyperlink" Target="https://www.agleader.com/" TargetMode="External"/><Relationship Id="rId68" Type="http://schemas.openxmlformats.org/officeDocument/2006/relationships/hyperlink" Target="https://shop.dragino.com/index.php?rt=product/product&amp;product_id=134" TargetMode="External"/><Relationship Id="rId23" Type="http://schemas.openxmlformats.org/officeDocument/2006/relationships/hyperlink" Target="https://www.agleader.com/farm-management/displays/incommand/" TargetMode="External"/><Relationship Id="rId67" Type="http://schemas.openxmlformats.org/officeDocument/2006/relationships/hyperlink" Target="https://www.sensoterra.com/en/product/multi-depth-sensor/" TargetMode="External"/><Relationship Id="rId60" Type="http://schemas.openxmlformats.org/officeDocument/2006/relationships/hyperlink" Target="https://fairshare-pnf.eu/tool-details?id=60bf16c52e2a4b141eb3b3b1&amp;flag=true&amp;name=eFarmer" TargetMode="External"/><Relationship Id="rId26" Type="http://schemas.openxmlformats.org/officeDocument/2006/relationships/hyperlink" Target="https://cropx.com/" TargetMode="External"/><Relationship Id="rId25" Type="http://schemas.openxmlformats.org/officeDocument/2006/relationships/hyperlink" Target="https://www.evineyardapp.com/vineyard_information_management" TargetMode="External"/><Relationship Id="rId69" Type="http://schemas.openxmlformats.org/officeDocument/2006/relationships/hyperlink" Target="https://rootwave.com/pro/" TargetMode="External"/><Relationship Id="rId28" Type="http://schemas.openxmlformats.org/officeDocument/2006/relationships/hyperlink" Target="https://agriculture.trimble.com/en/products/software/trimble-agriculture-software" TargetMode="External"/><Relationship Id="rId27" Type="http://schemas.openxmlformats.org/officeDocument/2006/relationships/hyperlink" Target="https://www.hawkeye.farm/" TargetMode="External"/><Relationship Id="rId29" Type="http://schemas.openxmlformats.org/officeDocument/2006/relationships/hyperlink" Target="https://www.fjdynamics.com/product/fjd-at2-auto-steer-system" TargetMode="External"/><Relationship Id="rId51" Type="http://schemas.openxmlformats.org/officeDocument/2006/relationships/hyperlink" Target="https://www.tecomec.com/en/agriculture" TargetMode="External"/><Relationship Id="rId50" Type="http://schemas.openxmlformats.org/officeDocument/2006/relationships/hyperlink" Target="https://tractorgps.gr/en/" TargetMode="External"/><Relationship Id="rId53" Type="http://schemas.openxmlformats.org/officeDocument/2006/relationships/hyperlink" Target="https://lemken.com/de-de/landmaschinen/cropcare" TargetMode="External"/><Relationship Id="rId52" Type="http://schemas.openxmlformats.org/officeDocument/2006/relationships/hyperlink" Target="https://salesmanual.deere.com/sales/salesmanual/en_AU/seeding/2021/feature/monitor_system/seedstar_xp_monitoringsystem.html" TargetMode="External"/><Relationship Id="rId11" Type="http://schemas.openxmlformats.org/officeDocument/2006/relationships/hyperlink" Target="https://www.teagasc.ie/about/our-organisation/connected/pricing--plans/" TargetMode="External"/><Relationship Id="rId55" Type="http://schemas.openxmlformats.org/officeDocument/2006/relationships/hyperlink" Target="https://www.topconagriculture.com/" TargetMode="External"/><Relationship Id="rId10" Type="http://schemas.openxmlformats.org/officeDocument/2006/relationships/hyperlink" Target="https://fairshare-pnf.eu/tool-details?id=5f310bfc1f68f325af42e12b&amp;flag=true&amp;name=Wisecrop" TargetMode="External"/><Relationship Id="rId54" Type="http://schemas.openxmlformats.org/officeDocument/2006/relationships/hyperlink" Target="https://www.deere.com/en/technology-products/precision-ag-technology/precision-upgrades/sprayer-upgrades/exactapply-precision-upgrades/" TargetMode="External"/><Relationship Id="rId13" Type="http://schemas.openxmlformats.org/officeDocument/2006/relationships/hyperlink" Target="https://eos.com/" TargetMode="External"/><Relationship Id="rId57" Type="http://schemas.openxmlformats.org/officeDocument/2006/relationships/hyperlink" Target="https://support.micasense.com/hc/en-us" TargetMode="External"/><Relationship Id="rId12" Type="http://schemas.openxmlformats.org/officeDocument/2006/relationships/hyperlink" Target="https://fairshare-pnf.eu/tool-details?id=5e79e03ef72ec11a927e1f06&amp;flag=true&amp;name=NMP%20Online" TargetMode="External"/><Relationship Id="rId56" Type="http://schemas.openxmlformats.org/officeDocument/2006/relationships/hyperlink" Target="https://support.micasense.com/hc/en-us" TargetMode="External"/><Relationship Id="rId15" Type="http://schemas.openxmlformats.org/officeDocument/2006/relationships/hyperlink" Target="https://www.aquagri.eu/myirrigation?lang=en" TargetMode="External"/><Relationship Id="rId59" Type="http://schemas.openxmlformats.org/officeDocument/2006/relationships/hyperlink" Target="https://www.efarmer.nl/" TargetMode="External"/><Relationship Id="rId14" Type="http://schemas.openxmlformats.org/officeDocument/2006/relationships/hyperlink" Target="https://fairshare-pnf.eu/tool-details?id=5e331b3d50aeb3490a24f3a7&amp;flag=true&amp;name=EOS%20Crop%20Monitoring" TargetMode="External"/><Relationship Id="rId58" Type="http://schemas.openxmlformats.org/officeDocument/2006/relationships/hyperlink" Target="https://www.autelpilot.eu/?gclid=CjwKCAiA_vKeBhAdEiwAFb_nrW4D4YCiPQYxIaRSBIifhwWtHpSJ6qNXuiNRkYwTVFfW3H_P7cPPFBoCEfUQAvD_BwE" TargetMode="External"/><Relationship Id="rId17" Type="http://schemas.openxmlformats.org/officeDocument/2006/relationships/hyperlink" Target="https://agrotechnology.pl/" TargetMode="External"/><Relationship Id="rId16" Type="http://schemas.openxmlformats.org/officeDocument/2006/relationships/hyperlink" Target="https://fairshare-pnf.eu/tool-details?id=611f775ab96c330883d4d254&amp;flag=true&amp;name=MyIrrigation" TargetMode="External"/><Relationship Id="rId19" Type="http://schemas.openxmlformats.org/officeDocument/2006/relationships/hyperlink" Target="https://www.irrigationpro.mk/" TargetMode="External"/><Relationship Id="rId18" Type="http://schemas.openxmlformats.org/officeDocument/2006/relationships/hyperlink" Target="https://smart-akis.com/SFCPPorta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63"/>
    <col customWidth="1" min="2" max="3" width="18.5"/>
    <col customWidth="1" min="4" max="4" width="32.38"/>
    <col customWidth="1" min="5" max="5" width="18.38"/>
    <col customWidth="1" min="6" max="6" width="44.63"/>
    <col customWidth="1" min="7" max="7" width="17.25"/>
    <col customWidth="1" min="8" max="8" width="10.75"/>
    <col customWidth="1" min="9" max="9" width="36.63"/>
    <col customWidth="1" min="10" max="10" width="25.88"/>
    <col customWidth="1" min="11" max="11" width="33.25"/>
    <col customWidth="1" min="12" max="12" width="32.25"/>
    <col customWidth="1" min="13" max="13" width="37.5"/>
    <col customWidth="1" min="14" max="14" width="15.25"/>
    <col customWidth="1" min="15" max="15" width="19.88"/>
    <col customWidth="1" min="16" max="16" width="17.0"/>
    <col customWidth="1" min="17" max="17" width="16.38"/>
    <col customWidth="1" min="18" max="18" width="15.75"/>
  </cols>
  <sheetData>
    <row r="1" ht="15.75" customHeight="1">
      <c r="A1" s="1" t="s">
        <v>0</v>
      </c>
      <c r="B1" s="2" t="s">
        <v>1</v>
      </c>
      <c r="C1" s="2" t="s">
        <v>2</v>
      </c>
      <c r="D1" s="2" t="s">
        <v>3</v>
      </c>
      <c r="E1" s="2" t="s">
        <v>4</v>
      </c>
      <c r="F1" s="2" t="s">
        <v>5</v>
      </c>
      <c r="G1" s="2" t="s">
        <v>6</v>
      </c>
      <c r="H1" s="2" t="s">
        <v>7</v>
      </c>
      <c r="I1" s="2" t="s">
        <v>8</v>
      </c>
      <c r="J1" s="3" t="s">
        <v>9</v>
      </c>
      <c r="K1" s="4" t="s">
        <v>10</v>
      </c>
      <c r="L1" s="5" t="s">
        <v>11</v>
      </c>
      <c r="M1" s="6" t="s">
        <v>12</v>
      </c>
      <c r="N1" s="7"/>
      <c r="O1" s="7"/>
      <c r="P1" s="7"/>
      <c r="Q1" s="7"/>
      <c r="R1" s="7"/>
      <c r="S1" s="7"/>
    </row>
    <row r="2" ht="15.75" customHeight="1">
      <c r="A2" s="8" t="s">
        <v>13</v>
      </c>
      <c r="B2" s="9" t="s">
        <v>14</v>
      </c>
      <c r="C2" s="9" t="s">
        <v>15</v>
      </c>
      <c r="D2" s="9" t="s">
        <v>16</v>
      </c>
      <c r="E2" s="9" t="s">
        <v>17</v>
      </c>
      <c r="F2" s="9" t="s">
        <v>18</v>
      </c>
      <c r="G2" s="10" t="s">
        <v>19</v>
      </c>
      <c r="H2" s="9" t="s">
        <v>14</v>
      </c>
      <c r="I2" s="9" t="s">
        <v>20</v>
      </c>
      <c r="J2" s="11" t="s">
        <v>21</v>
      </c>
      <c r="K2" s="9"/>
      <c r="L2" s="9"/>
      <c r="M2" s="12"/>
      <c r="N2" s="13"/>
      <c r="O2" s="13"/>
      <c r="P2" s="13"/>
      <c r="Q2" s="13"/>
      <c r="R2" s="13"/>
      <c r="S2" s="13"/>
    </row>
    <row r="3" ht="15.75" customHeight="1">
      <c r="A3" s="14"/>
      <c r="B3" s="13" t="s">
        <v>14</v>
      </c>
      <c r="C3" s="13" t="s">
        <v>15</v>
      </c>
      <c r="D3" s="13" t="s">
        <v>22</v>
      </c>
      <c r="E3" s="13" t="s">
        <v>23</v>
      </c>
      <c r="F3" s="13" t="s">
        <v>24</v>
      </c>
      <c r="G3" s="15" t="s">
        <v>25</v>
      </c>
      <c r="H3" s="13" t="s">
        <v>14</v>
      </c>
      <c r="I3" s="13" t="s">
        <v>26</v>
      </c>
      <c r="J3" s="16" t="s">
        <v>27</v>
      </c>
      <c r="K3" s="13" t="s">
        <v>28</v>
      </c>
      <c r="L3" s="13"/>
      <c r="M3" s="17"/>
      <c r="N3" s="13"/>
      <c r="O3" s="13"/>
      <c r="P3" s="13"/>
      <c r="Q3" s="13"/>
      <c r="R3" s="13"/>
    </row>
    <row r="4" ht="15.75" customHeight="1">
      <c r="A4" s="14"/>
      <c r="B4" s="13" t="s">
        <v>14</v>
      </c>
      <c r="C4" s="13" t="s">
        <v>15</v>
      </c>
      <c r="D4" s="13" t="s">
        <v>29</v>
      </c>
      <c r="E4" s="13" t="s">
        <v>23</v>
      </c>
      <c r="F4" s="13" t="s">
        <v>24</v>
      </c>
      <c r="G4" s="15" t="s">
        <v>25</v>
      </c>
      <c r="H4" s="13" t="s">
        <v>14</v>
      </c>
      <c r="I4" s="13" t="s">
        <v>26</v>
      </c>
      <c r="J4" s="16" t="s">
        <v>27</v>
      </c>
      <c r="K4" s="13"/>
      <c r="L4" s="13"/>
      <c r="M4" s="17"/>
      <c r="N4" s="13"/>
      <c r="O4" s="13"/>
      <c r="P4" s="13"/>
      <c r="Q4" s="13"/>
      <c r="R4" s="13"/>
    </row>
    <row r="5" ht="15.75" customHeight="1">
      <c r="A5" s="14"/>
      <c r="B5" s="13" t="s">
        <v>14</v>
      </c>
      <c r="C5" s="13" t="s">
        <v>30</v>
      </c>
      <c r="D5" s="13" t="s">
        <v>31</v>
      </c>
      <c r="E5" s="13" t="s">
        <v>23</v>
      </c>
      <c r="F5" s="13" t="s">
        <v>32</v>
      </c>
      <c r="G5" s="15" t="s">
        <v>33</v>
      </c>
      <c r="H5" s="13" t="s">
        <v>14</v>
      </c>
      <c r="I5" s="13" t="s">
        <v>34</v>
      </c>
      <c r="J5" s="16" t="s">
        <v>35</v>
      </c>
      <c r="K5" s="13"/>
      <c r="L5" s="13"/>
      <c r="M5" s="17"/>
      <c r="N5" s="13"/>
      <c r="O5" s="13"/>
      <c r="P5" s="13"/>
      <c r="Q5" s="13"/>
      <c r="R5" s="13"/>
    </row>
    <row r="6" ht="15.75" customHeight="1">
      <c r="A6" s="14"/>
      <c r="B6" s="13" t="s">
        <v>36</v>
      </c>
      <c r="C6" s="13" t="s">
        <v>37</v>
      </c>
      <c r="D6" s="13" t="s">
        <v>38</v>
      </c>
      <c r="E6" s="13" t="s">
        <v>39</v>
      </c>
      <c r="F6" s="13" t="s">
        <v>40</v>
      </c>
      <c r="G6" s="15" t="s">
        <v>41</v>
      </c>
      <c r="H6" s="18" t="s">
        <v>42</v>
      </c>
      <c r="I6" s="13" t="s">
        <v>43</v>
      </c>
      <c r="J6" s="16" t="s">
        <v>44</v>
      </c>
      <c r="K6" s="13"/>
      <c r="L6" s="13"/>
      <c r="M6" s="17"/>
      <c r="N6" s="13"/>
      <c r="O6" s="13"/>
      <c r="P6" s="13"/>
      <c r="Q6" s="13"/>
      <c r="R6" s="13"/>
    </row>
    <row r="7" ht="12.0" customHeight="1">
      <c r="A7" s="14"/>
      <c r="B7" s="13" t="s">
        <v>36</v>
      </c>
      <c r="C7" s="13" t="s">
        <v>45</v>
      </c>
      <c r="D7" s="13" t="s">
        <v>46</v>
      </c>
      <c r="E7" s="13" t="s">
        <v>47</v>
      </c>
      <c r="F7" s="13" t="s">
        <v>48</v>
      </c>
      <c r="G7" s="15" t="s">
        <v>49</v>
      </c>
      <c r="H7" s="18" t="s">
        <v>50</v>
      </c>
      <c r="I7" s="13" t="s">
        <v>51</v>
      </c>
      <c r="J7" s="16" t="s">
        <v>52</v>
      </c>
      <c r="K7" s="13"/>
      <c r="L7" s="13"/>
      <c r="M7" s="17"/>
      <c r="N7" s="13"/>
      <c r="O7" s="13"/>
      <c r="P7" s="13"/>
      <c r="Q7" s="13"/>
      <c r="R7" s="13"/>
    </row>
    <row r="8" ht="15.0" customHeight="1">
      <c r="A8" s="14"/>
      <c r="B8" s="13" t="s">
        <v>36</v>
      </c>
      <c r="C8" s="13" t="s">
        <v>45</v>
      </c>
      <c r="D8" s="13" t="s">
        <v>53</v>
      </c>
      <c r="E8" s="13" t="s">
        <v>54</v>
      </c>
      <c r="F8" s="13" t="s">
        <v>55</v>
      </c>
      <c r="G8" s="15" t="s">
        <v>56</v>
      </c>
      <c r="H8" s="18" t="s">
        <v>57</v>
      </c>
      <c r="I8" s="13" t="s">
        <v>51</v>
      </c>
      <c r="J8" s="16" t="s">
        <v>58</v>
      </c>
      <c r="K8" s="13"/>
      <c r="L8" s="13"/>
      <c r="M8" s="17"/>
      <c r="N8" s="13"/>
      <c r="O8" s="13"/>
      <c r="P8" s="13"/>
      <c r="Q8" s="13"/>
      <c r="R8" s="13"/>
    </row>
    <row r="9" ht="12.75" customHeight="1">
      <c r="A9" s="14"/>
      <c r="B9" s="13" t="s">
        <v>36</v>
      </c>
      <c r="C9" s="13" t="s">
        <v>45</v>
      </c>
      <c r="D9" s="13" t="s">
        <v>59</v>
      </c>
      <c r="E9" s="13" t="s">
        <v>60</v>
      </c>
      <c r="F9" s="13" t="s">
        <v>61</v>
      </c>
      <c r="G9" s="15" t="s">
        <v>62</v>
      </c>
      <c r="H9" s="18" t="s">
        <v>63</v>
      </c>
      <c r="I9" s="13" t="s">
        <v>51</v>
      </c>
      <c r="J9" s="16" t="s">
        <v>64</v>
      </c>
      <c r="K9" s="13"/>
      <c r="L9" s="13"/>
      <c r="M9" s="17"/>
      <c r="N9" s="13"/>
      <c r="O9" s="13"/>
      <c r="P9" s="13"/>
      <c r="Q9" s="13"/>
      <c r="R9" s="13"/>
    </row>
    <row r="10" ht="15.75" customHeight="1">
      <c r="A10" s="14"/>
      <c r="B10" s="13" t="s">
        <v>36</v>
      </c>
      <c r="C10" s="13" t="s">
        <v>45</v>
      </c>
      <c r="D10" s="19" t="s">
        <v>65</v>
      </c>
      <c r="E10" s="13" t="s">
        <v>66</v>
      </c>
      <c r="F10" s="19" t="s">
        <v>67</v>
      </c>
      <c r="G10" s="15" t="s">
        <v>68</v>
      </c>
      <c r="H10" s="18" t="s">
        <v>69</v>
      </c>
      <c r="I10" s="13" t="s">
        <v>51</v>
      </c>
      <c r="J10" s="16" t="s">
        <v>70</v>
      </c>
      <c r="K10" s="13"/>
      <c r="L10" s="13"/>
      <c r="M10" s="17"/>
      <c r="N10" s="13"/>
      <c r="O10" s="13"/>
      <c r="P10" s="13"/>
      <c r="Q10" s="13"/>
      <c r="R10" s="13"/>
    </row>
    <row r="11" ht="12.75" customHeight="1">
      <c r="A11" s="14"/>
      <c r="B11" s="13" t="s">
        <v>36</v>
      </c>
      <c r="C11" s="13" t="s">
        <v>45</v>
      </c>
      <c r="D11" s="13" t="s">
        <v>71</v>
      </c>
      <c r="E11" s="13" t="s">
        <v>72</v>
      </c>
      <c r="F11" s="13" t="s">
        <v>73</v>
      </c>
      <c r="G11" s="15" t="s">
        <v>74</v>
      </c>
      <c r="H11" s="18" t="s">
        <v>75</v>
      </c>
      <c r="I11" s="13" t="s">
        <v>51</v>
      </c>
      <c r="J11" s="16" t="s">
        <v>76</v>
      </c>
      <c r="K11" s="13"/>
      <c r="L11" s="13"/>
      <c r="M11" s="17"/>
      <c r="N11" s="13"/>
      <c r="O11" s="13"/>
      <c r="P11" s="13"/>
      <c r="Q11" s="13"/>
      <c r="R11" s="13"/>
    </row>
    <row r="12" ht="15.75" customHeight="1">
      <c r="A12" s="14"/>
      <c r="B12" s="13" t="s">
        <v>77</v>
      </c>
      <c r="C12" s="13" t="s">
        <v>78</v>
      </c>
      <c r="D12" s="13" t="s">
        <v>79</v>
      </c>
      <c r="E12" s="13" t="s">
        <v>80</v>
      </c>
      <c r="F12" s="13" t="s">
        <v>81</v>
      </c>
      <c r="G12" s="15" t="s">
        <v>82</v>
      </c>
      <c r="H12" s="18" t="s">
        <v>83</v>
      </c>
      <c r="I12" s="13" t="s">
        <v>51</v>
      </c>
      <c r="J12" s="16" t="s">
        <v>84</v>
      </c>
      <c r="K12" s="13"/>
      <c r="L12" s="13"/>
      <c r="M12" s="17"/>
      <c r="N12" s="13"/>
      <c r="O12" s="13"/>
      <c r="P12" s="13"/>
      <c r="Q12" s="13"/>
      <c r="R12" s="13"/>
    </row>
    <row r="13" ht="15.75" customHeight="1">
      <c r="A13" s="14"/>
      <c r="B13" s="13" t="s">
        <v>14</v>
      </c>
      <c r="C13" s="13" t="s">
        <v>15</v>
      </c>
      <c r="D13" s="13" t="s">
        <v>85</v>
      </c>
      <c r="E13" s="13" t="s">
        <v>86</v>
      </c>
      <c r="F13" s="13" t="s">
        <v>87</v>
      </c>
      <c r="G13" s="15" t="s">
        <v>88</v>
      </c>
      <c r="H13" s="13" t="s">
        <v>14</v>
      </c>
      <c r="I13" s="13" t="s">
        <v>89</v>
      </c>
      <c r="J13" s="16" t="s">
        <v>90</v>
      </c>
      <c r="K13" s="13"/>
      <c r="L13" s="13"/>
      <c r="M13" s="17"/>
      <c r="N13" s="13"/>
      <c r="O13" s="13"/>
      <c r="P13" s="13"/>
      <c r="Q13" s="13"/>
      <c r="R13" s="13"/>
    </row>
    <row r="14" ht="15.75" customHeight="1">
      <c r="A14" s="14"/>
      <c r="B14" s="13" t="s">
        <v>14</v>
      </c>
      <c r="C14" s="13" t="s">
        <v>91</v>
      </c>
      <c r="D14" s="13" t="s">
        <v>92</v>
      </c>
      <c r="E14" s="13" t="s">
        <v>93</v>
      </c>
      <c r="F14" s="13" t="s">
        <v>94</v>
      </c>
      <c r="G14" s="15" t="s">
        <v>95</v>
      </c>
      <c r="H14" s="13" t="s">
        <v>14</v>
      </c>
      <c r="I14" s="13" t="s">
        <v>51</v>
      </c>
      <c r="J14" s="16" t="s">
        <v>96</v>
      </c>
      <c r="K14" s="13"/>
      <c r="L14" s="13"/>
      <c r="M14" s="17"/>
      <c r="N14" s="13"/>
      <c r="O14" s="13"/>
      <c r="P14" s="13"/>
      <c r="Q14" s="13"/>
      <c r="R14" s="13"/>
    </row>
    <row r="15" ht="15.75" customHeight="1">
      <c r="A15" s="14"/>
      <c r="B15" s="13" t="s">
        <v>14</v>
      </c>
      <c r="C15" s="13" t="s">
        <v>91</v>
      </c>
      <c r="D15" s="13" t="s">
        <v>97</v>
      </c>
      <c r="E15" s="13" t="s">
        <v>98</v>
      </c>
      <c r="F15" s="13" t="s">
        <v>99</v>
      </c>
      <c r="G15" s="15" t="s">
        <v>100</v>
      </c>
      <c r="H15" s="13" t="s">
        <v>14</v>
      </c>
      <c r="I15" s="13" t="s">
        <v>51</v>
      </c>
      <c r="J15" s="16" t="s">
        <v>101</v>
      </c>
      <c r="K15" s="13"/>
      <c r="L15" s="13"/>
      <c r="M15" s="17"/>
      <c r="N15" s="13"/>
      <c r="O15" s="13"/>
      <c r="P15" s="13"/>
      <c r="Q15" s="13"/>
      <c r="R15" s="13"/>
    </row>
    <row r="16" ht="15.75" customHeight="1">
      <c r="A16" s="14"/>
      <c r="B16" s="13" t="s">
        <v>14</v>
      </c>
      <c r="C16" s="13" t="s">
        <v>91</v>
      </c>
      <c r="D16" s="13" t="s">
        <v>102</v>
      </c>
      <c r="E16" s="13" t="s">
        <v>103</v>
      </c>
      <c r="F16" s="13" t="s">
        <v>104</v>
      </c>
      <c r="G16" s="20" t="s">
        <v>105</v>
      </c>
      <c r="H16" s="13" t="s">
        <v>14</v>
      </c>
      <c r="I16" s="13" t="s">
        <v>106</v>
      </c>
      <c r="J16" s="16" t="s">
        <v>107</v>
      </c>
      <c r="K16" s="13"/>
      <c r="L16" s="13"/>
      <c r="M16" s="17"/>
      <c r="N16" s="13"/>
      <c r="O16" s="13"/>
      <c r="P16" s="13"/>
      <c r="Q16" s="13"/>
      <c r="R16" s="13"/>
    </row>
    <row r="17" ht="15.75" customHeight="1">
      <c r="A17" s="14"/>
      <c r="B17" s="13" t="s">
        <v>14</v>
      </c>
      <c r="C17" s="13" t="s">
        <v>91</v>
      </c>
      <c r="D17" s="13" t="s">
        <v>108</v>
      </c>
      <c r="E17" s="13" t="s">
        <v>109</v>
      </c>
      <c r="F17" s="13" t="s">
        <v>110</v>
      </c>
      <c r="G17" s="15" t="s">
        <v>111</v>
      </c>
      <c r="H17" s="13" t="s">
        <v>14</v>
      </c>
      <c r="I17" s="13" t="s">
        <v>51</v>
      </c>
      <c r="J17" s="16" t="s">
        <v>112</v>
      </c>
      <c r="K17" s="13"/>
      <c r="L17" s="13"/>
      <c r="M17" s="17"/>
      <c r="N17" s="13"/>
      <c r="O17" s="13"/>
      <c r="P17" s="13"/>
      <c r="Q17" s="13"/>
      <c r="R17" s="13"/>
    </row>
    <row r="18" ht="15.75" customHeight="1">
      <c r="A18" s="14"/>
      <c r="B18" s="13" t="s">
        <v>14</v>
      </c>
      <c r="C18" s="13" t="s">
        <v>91</v>
      </c>
      <c r="D18" s="13" t="s">
        <v>113</v>
      </c>
      <c r="E18" s="13" t="s">
        <v>109</v>
      </c>
      <c r="F18" s="13" t="s">
        <v>114</v>
      </c>
      <c r="G18" s="15" t="s">
        <v>115</v>
      </c>
      <c r="H18" s="13" t="s">
        <v>14</v>
      </c>
      <c r="I18" s="13" t="s">
        <v>51</v>
      </c>
      <c r="J18" s="16" t="s">
        <v>116</v>
      </c>
      <c r="K18" s="13"/>
      <c r="L18" s="13"/>
      <c r="M18" s="17"/>
      <c r="N18" s="13"/>
      <c r="O18" s="13"/>
      <c r="P18" s="13"/>
      <c r="Q18" s="13"/>
      <c r="R18" s="13"/>
    </row>
    <row r="19" ht="15.75" customHeight="1">
      <c r="A19" s="14"/>
      <c r="B19" s="13" t="s">
        <v>14</v>
      </c>
      <c r="C19" s="13" t="s">
        <v>91</v>
      </c>
      <c r="D19" s="13" t="s">
        <v>117</v>
      </c>
      <c r="E19" s="13" t="s">
        <v>118</v>
      </c>
      <c r="F19" s="13" t="s">
        <v>119</v>
      </c>
      <c r="G19" s="15" t="s">
        <v>120</v>
      </c>
      <c r="H19" s="13" t="s">
        <v>14</v>
      </c>
      <c r="I19" s="13" t="s">
        <v>121</v>
      </c>
      <c r="J19" s="16" t="s">
        <v>122</v>
      </c>
      <c r="K19" s="13" t="s">
        <v>123</v>
      </c>
      <c r="L19" s="13"/>
      <c r="M19" s="17"/>
      <c r="N19" s="13"/>
      <c r="O19" s="13"/>
      <c r="P19" s="13"/>
      <c r="Q19" s="13"/>
      <c r="R19" s="13"/>
    </row>
    <row r="20" ht="15.75" customHeight="1">
      <c r="A20" s="14"/>
      <c r="B20" s="13" t="s">
        <v>14</v>
      </c>
      <c r="C20" s="13" t="s">
        <v>15</v>
      </c>
      <c r="D20" s="13" t="s">
        <v>124</v>
      </c>
      <c r="E20" s="13" t="s">
        <v>125</v>
      </c>
      <c r="F20" s="13" t="s">
        <v>126</v>
      </c>
      <c r="G20" s="15" t="s">
        <v>127</v>
      </c>
      <c r="H20" s="13" t="s">
        <v>14</v>
      </c>
      <c r="I20" s="13" t="s">
        <v>51</v>
      </c>
      <c r="J20" s="16" t="s">
        <v>128</v>
      </c>
      <c r="K20" s="13" t="s">
        <v>129</v>
      </c>
      <c r="L20" s="13"/>
      <c r="M20" s="17"/>
      <c r="N20" s="13"/>
      <c r="O20" s="13"/>
      <c r="P20" s="13"/>
      <c r="Q20" s="13"/>
      <c r="R20" s="13"/>
    </row>
    <row r="21" ht="15.75" customHeight="1">
      <c r="A21" s="14"/>
      <c r="B21" s="13" t="s">
        <v>14</v>
      </c>
      <c r="C21" s="13" t="s">
        <v>30</v>
      </c>
      <c r="D21" s="13" t="s">
        <v>130</v>
      </c>
      <c r="E21" s="13" t="s">
        <v>130</v>
      </c>
      <c r="F21" s="13" t="s">
        <v>131</v>
      </c>
      <c r="G21" s="15" t="s">
        <v>132</v>
      </c>
      <c r="H21" s="13" t="s">
        <v>14</v>
      </c>
      <c r="I21" s="13" t="s">
        <v>51</v>
      </c>
      <c r="J21" s="16" t="s">
        <v>133</v>
      </c>
      <c r="K21" s="13"/>
      <c r="L21" s="13"/>
      <c r="M21" s="17"/>
      <c r="N21" s="13"/>
      <c r="O21" s="13"/>
      <c r="P21" s="13"/>
      <c r="Q21" s="13"/>
      <c r="R21" s="13"/>
    </row>
    <row r="22" ht="15.75" customHeight="1">
      <c r="A22" s="21"/>
      <c r="B22" s="22" t="s">
        <v>14</v>
      </c>
      <c r="C22" s="22" t="s">
        <v>134</v>
      </c>
      <c r="D22" s="22" t="s">
        <v>135</v>
      </c>
      <c r="E22" s="22" t="s">
        <v>136</v>
      </c>
      <c r="F22" s="22" t="s">
        <v>137</v>
      </c>
      <c r="G22" s="23" t="s">
        <v>138</v>
      </c>
      <c r="H22" s="22" t="s">
        <v>14</v>
      </c>
      <c r="I22" s="22" t="s">
        <v>51</v>
      </c>
      <c r="J22" s="24" t="s">
        <v>139</v>
      </c>
      <c r="K22" s="22"/>
      <c r="L22" s="22"/>
      <c r="M22" s="25"/>
      <c r="N22" s="13"/>
      <c r="O22" s="13"/>
      <c r="P22" s="13"/>
      <c r="Q22" s="13"/>
      <c r="R22" s="13"/>
    </row>
    <row r="23" ht="15.75" customHeight="1">
      <c r="A23" s="8" t="s">
        <v>140</v>
      </c>
      <c r="B23" s="9" t="s">
        <v>14</v>
      </c>
      <c r="C23" s="9" t="s">
        <v>141</v>
      </c>
      <c r="D23" s="9" t="s">
        <v>142</v>
      </c>
      <c r="E23" s="9" t="s">
        <v>143</v>
      </c>
      <c r="F23" s="9" t="s">
        <v>144</v>
      </c>
      <c r="G23" s="15" t="s">
        <v>145</v>
      </c>
      <c r="H23" s="9" t="s">
        <v>14</v>
      </c>
      <c r="I23" s="9" t="s">
        <v>51</v>
      </c>
      <c r="J23" s="11" t="s">
        <v>146</v>
      </c>
      <c r="K23" s="9"/>
      <c r="L23" s="9"/>
      <c r="M23" s="12"/>
      <c r="N23" s="13"/>
      <c r="O23" s="13"/>
      <c r="P23" s="13"/>
      <c r="Q23" s="13"/>
      <c r="R23" s="13"/>
    </row>
    <row r="24" ht="15.75" customHeight="1">
      <c r="A24" s="14"/>
      <c r="B24" s="13" t="s">
        <v>14</v>
      </c>
      <c r="C24" s="13" t="s">
        <v>141</v>
      </c>
      <c r="D24" s="13" t="s">
        <v>147</v>
      </c>
      <c r="E24" s="13" t="s">
        <v>148</v>
      </c>
      <c r="F24" s="13" t="s">
        <v>149</v>
      </c>
      <c r="G24" s="15" t="s">
        <v>150</v>
      </c>
      <c r="H24" s="13" t="s">
        <v>14</v>
      </c>
      <c r="I24" s="13" t="s">
        <v>51</v>
      </c>
      <c r="J24" s="16" t="s">
        <v>151</v>
      </c>
      <c r="K24" s="13"/>
      <c r="L24" s="13"/>
      <c r="M24" s="17"/>
      <c r="N24" s="13"/>
      <c r="O24" s="13"/>
      <c r="P24" s="13"/>
      <c r="Q24" s="13"/>
      <c r="R24" s="13"/>
    </row>
    <row r="25" ht="15.75" customHeight="1">
      <c r="A25" s="14"/>
      <c r="B25" s="13" t="s">
        <v>14</v>
      </c>
      <c r="C25" s="13" t="s">
        <v>141</v>
      </c>
      <c r="D25" s="26" t="s">
        <v>152</v>
      </c>
      <c r="E25" s="27" t="s">
        <v>153</v>
      </c>
      <c r="F25" s="27" t="s">
        <v>154</v>
      </c>
      <c r="G25" s="28" t="s">
        <v>155</v>
      </c>
      <c r="H25" s="29"/>
      <c r="I25" s="29" t="s">
        <v>156</v>
      </c>
      <c r="J25" s="29" t="s">
        <v>157</v>
      </c>
      <c r="K25" s="29" t="s">
        <v>158</v>
      </c>
      <c r="L25" s="13"/>
      <c r="M25" s="17"/>
      <c r="N25" s="13"/>
      <c r="O25" s="13"/>
      <c r="P25" s="13"/>
      <c r="Q25" s="13"/>
      <c r="R25" s="13"/>
    </row>
    <row r="26" ht="15.75" customHeight="1">
      <c r="A26" s="14"/>
      <c r="B26" s="13" t="s">
        <v>14</v>
      </c>
      <c r="C26" s="13" t="s">
        <v>159</v>
      </c>
      <c r="D26" s="13" t="s">
        <v>160</v>
      </c>
      <c r="E26" s="13" t="s">
        <v>161</v>
      </c>
      <c r="F26" s="13" t="s">
        <v>162</v>
      </c>
      <c r="G26" s="15" t="s">
        <v>163</v>
      </c>
      <c r="H26" s="13" t="s">
        <v>14</v>
      </c>
      <c r="I26" s="13" t="s">
        <v>51</v>
      </c>
      <c r="J26" s="16" t="s">
        <v>164</v>
      </c>
      <c r="K26" s="13"/>
      <c r="L26" s="13"/>
      <c r="M26" s="17"/>
      <c r="N26" s="13"/>
      <c r="O26" s="13"/>
      <c r="P26" s="13"/>
      <c r="Q26" s="13"/>
      <c r="R26" s="13"/>
    </row>
    <row r="27" ht="15.75" customHeight="1">
      <c r="A27" s="14"/>
      <c r="B27" s="13" t="s">
        <v>14</v>
      </c>
      <c r="C27" s="13" t="s">
        <v>165</v>
      </c>
      <c r="D27" s="13" t="s">
        <v>166</v>
      </c>
      <c r="E27" s="13" t="s">
        <v>167</v>
      </c>
      <c r="F27" s="13" t="s">
        <v>168</v>
      </c>
      <c r="G27" s="15" t="s">
        <v>169</v>
      </c>
      <c r="H27" s="13" t="s">
        <v>14</v>
      </c>
      <c r="I27" s="13" t="s">
        <v>51</v>
      </c>
      <c r="J27" s="16" t="s">
        <v>170</v>
      </c>
      <c r="K27" s="13"/>
      <c r="L27" s="13"/>
      <c r="M27" s="17"/>
      <c r="N27" s="13"/>
      <c r="O27" s="13"/>
      <c r="P27" s="13"/>
      <c r="Q27" s="13"/>
      <c r="R27" s="13"/>
    </row>
    <row r="28" ht="15.75" customHeight="1">
      <c r="A28" s="14"/>
      <c r="B28" s="13" t="s">
        <v>77</v>
      </c>
      <c r="C28" s="13" t="s">
        <v>159</v>
      </c>
      <c r="D28" s="13" t="s">
        <v>171</v>
      </c>
      <c r="E28" s="13" t="s">
        <v>172</v>
      </c>
      <c r="F28" s="13" t="s">
        <v>173</v>
      </c>
      <c r="G28" s="15" t="s">
        <v>174</v>
      </c>
      <c r="H28" s="18" t="s">
        <v>175</v>
      </c>
      <c r="I28" s="13" t="s">
        <v>51</v>
      </c>
      <c r="J28" s="16" t="s">
        <v>176</v>
      </c>
      <c r="K28" s="13"/>
      <c r="L28" s="13"/>
      <c r="M28" s="17"/>
      <c r="N28" s="13"/>
      <c r="O28" s="13"/>
      <c r="P28" s="13"/>
      <c r="Q28" s="13"/>
      <c r="R28" s="13"/>
    </row>
    <row r="29" ht="12.75" customHeight="1">
      <c r="A29" s="14"/>
      <c r="B29" s="13" t="s">
        <v>77</v>
      </c>
      <c r="C29" s="13" t="s">
        <v>177</v>
      </c>
      <c r="D29" s="13" t="s">
        <v>178</v>
      </c>
      <c r="E29" s="13" t="s">
        <v>172</v>
      </c>
      <c r="F29" s="13" t="s">
        <v>179</v>
      </c>
      <c r="G29" s="30" t="s">
        <v>180</v>
      </c>
      <c r="H29" s="13"/>
      <c r="I29" s="13" t="s">
        <v>51</v>
      </c>
      <c r="J29" s="16" t="s">
        <v>181</v>
      </c>
      <c r="K29" s="13"/>
      <c r="L29" s="13"/>
      <c r="M29" s="17"/>
      <c r="N29" s="13"/>
      <c r="O29" s="13"/>
      <c r="P29" s="13"/>
      <c r="Q29" s="13"/>
      <c r="R29" s="13"/>
    </row>
    <row r="30" ht="12.75" customHeight="1">
      <c r="A30" s="14"/>
      <c r="B30" s="13" t="s">
        <v>14</v>
      </c>
      <c r="C30" s="13" t="s">
        <v>141</v>
      </c>
      <c r="D30" s="13" t="s">
        <v>182</v>
      </c>
      <c r="E30" s="13" t="s">
        <v>167</v>
      </c>
      <c r="F30" s="13" t="s">
        <v>183</v>
      </c>
      <c r="G30" s="15" t="s">
        <v>184</v>
      </c>
      <c r="H30" s="13" t="s">
        <v>14</v>
      </c>
      <c r="I30" s="13" t="s">
        <v>51</v>
      </c>
      <c r="J30" s="16" t="s">
        <v>185</v>
      </c>
      <c r="K30" s="13"/>
      <c r="L30" s="13"/>
      <c r="M30" s="17"/>
      <c r="N30" s="13"/>
      <c r="O30" s="13"/>
      <c r="P30" s="13"/>
      <c r="Q30" s="13"/>
      <c r="R30" s="13"/>
    </row>
    <row r="31" ht="15.75" customHeight="1">
      <c r="A31" s="14"/>
      <c r="B31" s="13" t="s">
        <v>14</v>
      </c>
      <c r="C31" s="13" t="s">
        <v>177</v>
      </c>
      <c r="D31" s="13" t="s">
        <v>186</v>
      </c>
      <c r="E31" s="13" t="s">
        <v>187</v>
      </c>
      <c r="F31" s="13" t="s">
        <v>188</v>
      </c>
      <c r="G31" s="15" t="s">
        <v>189</v>
      </c>
      <c r="H31" s="13" t="s">
        <v>14</v>
      </c>
      <c r="I31" s="13" t="s">
        <v>51</v>
      </c>
      <c r="J31" s="16" t="s">
        <v>190</v>
      </c>
      <c r="K31" s="13"/>
      <c r="L31" s="13"/>
      <c r="M31" s="17"/>
      <c r="N31" s="13"/>
      <c r="O31" s="13"/>
      <c r="P31" s="13"/>
      <c r="Q31" s="13"/>
      <c r="R31" s="13"/>
    </row>
    <row r="32" ht="18.75" customHeight="1">
      <c r="A32" s="14"/>
      <c r="B32" s="13" t="s">
        <v>14</v>
      </c>
      <c r="C32" s="13" t="s">
        <v>141</v>
      </c>
      <c r="D32" s="13" t="s">
        <v>191</v>
      </c>
      <c r="E32" s="13" t="s">
        <v>187</v>
      </c>
      <c r="F32" s="13" t="s">
        <v>192</v>
      </c>
      <c r="G32" s="15" t="s">
        <v>189</v>
      </c>
      <c r="H32" s="13" t="s">
        <v>14</v>
      </c>
      <c r="I32" s="13" t="s">
        <v>51</v>
      </c>
      <c r="J32" s="16" t="s">
        <v>193</v>
      </c>
      <c r="K32" s="13"/>
      <c r="L32" s="13"/>
      <c r="M32" s="17"/>
      <c r="N32" s="13"/>
      <c r="O32" s="13"/>
      <c r="P32" s="13"/>
      <c r="Q32" s="13"/>
      <c r="R32" s="13"/>
    </row>
    <row r="33" ht="15.75" customHeight="1">
      <c r="A33" s="14"/>
      <c r="B33" s="13" t="s">
        <v>14</v>
      </c>
      <c r="C33" s="13" t="s">
        <v>141</v>
      </c>
      <c r="D33" s="13" t="s">
        <v>194</v>
      </c>
      <c r="E33" s="13" t="s">
        <v>136</v>
      </c>
      <c r="F33" s="13" t="s">
        <v>195</v>
      </c>
      <c r="G33" s="15" t="s">
        <v>196</v>
      </c>
      <c r="H33" s="13" t="s">
        <v>14</v>
      </c>
      <c r="I33" s="13" t="s">
        <v>51</v>
      </c>
      <c r="J33" s="16" t="s">
        <v>197</v>
      </c>
      <c r="K33" s="13"/>
      <c r="L33" s="13"/>
      <c r="M33" s="17"/>
      <c r="N33" s="13"/>
      <c r="O33" s="13"/>
      <c r="P33" s="13"/>
      <c r="Q33" s="13"/>
      <c r="R33" s="13"/>
    </row>
    <row r="34" ht="17.25" customHeight="1">
      <c r="A34" s="14"/>
      <c r="B34" s="13" t="s">
        <v>14</v>
      </c>
      <c r="C34" s="13" t="s">
        <v>141</v>
      </c>
      <c r="D34" s="13" t="s">
        <v>198</v>
      </c>
      <c r="E34" s="13" t="s">
        <v>136</v>
      </c>
      <c r="F34" s="13" t="s">
        <v>199</v>
      </c>
      <c r="G34" s="15" t="s">
        <v>196</v>
      </c>
      <c r="H34" s="13" t="s">
        <v>14</v>
      </c>
      <c r="I34" s="13" t="s">
        <v>51</v>
      </c>
      <c r="J34" s="16" t="s">
        <v>200</v>
      </c>
      <c r="K34" s="13"/>
      <c r="L34" s="13"/>
      <c r="M34" s="17"/>
      <c r="N34" s="13"/>
      <c r="O34" s="13"/>
      <c r="P34" s="13"/>
      <c r="Q34" s="13"/>
      <c r="R34" s="13"/>
    </row>
    <row r="35" ht="15.75" customHeight="1">
      <c r="A35" s="14"/>
      <c r="B35" s="13" t="s">
        <v>14</v>
      </c>
      <c r="C35" s="13" t="s">
        <v>141</v>
      </c>
      <c r="D35" s="13" t="s">
        <v>201</v>
      </c>
      <c r="E35" s="13" t="s">
        <v>202</v>
      </c>
      <c r="F35" s="13" t="s">
        <v>203</v>
      </c>
      <c r="G35" s="15" t="s">
        <v>204</v>
      </c>
      <c r="H35" s="13" t="s">
        <v>14</v>
      </c>
      <c r="I35" s="13" t="s">
        <v>51</v>
      </c>
      <c r="J35" s="16" t="s">
        <v>205</v>
      </c>
      <c r="K35" s="13"/>
      <c r="L35" s="13"/>
      <c r="M35" s="17"/>
      <c r="N35" s="13"/>
      <c r="O35" s="13"/>
      <c r="P35" s="13"/>
      <c r="Q35" s="13"/>
      <c r="R35" s="13"/>
    </row>
    <row r="36" ht="15.75" customHeight="1">
      <c r="A36" s="14"/>
      <c r="B36" s="13" t="s">
        <v>14</v>
      </c>
      <c r="C36" s="13" t="s">
        <v>206</v>
      </c>
      <c r="D36" s="13" t="s">
        <v>207</v>
      </c>
      <c r="E36" s="13" t="s">
        <v>208</v>
      </c>
      <c r="F36" s="13" t="s">
        <v>209</v>
      </c>
      <c r="G36" s="15" t="s">
        <v>210</v>
      </c>
      <c r="H36" s="13" t="s">
        <v>14</v>
      </c>
      <c r="I36" s="13" t="s">
        <v>51</v>
      </c>
      <c r="J36" s="16" t="s">
        <v>211</v>
      </c>
      <c r="K36" s="13"/>
      <c r="L36" s="13"/>
      <c r="M36" s="17"/>
      <c r="N36" s="13"/>
      <c r="O36" s="13"/>
      <c r="P36" s="13"/>
      <c r="Q36" s="13"/>
      <c r="R36" s="13"/>
    </row>
    <row r="37" ht="15.75" customHeight="1">
      <c r="A37" s="14"/>
      <c r="B37" s="13" t="s">
        <v>14</v>
      </c>
      <c r="C37" s="13" t="s">
        <v>141</v>
      </c>
      <c r="D37" s="13" t="s">
        <v>212</v>
      </c>
      <c r="E37" s="13" t="s">
        <v>136</v>
      </c>
      <c r="F37" s="13" t="s">
        <v>213</v>
      </c>
      <c r="G37" s="15" t="s">
        <v>214</v>
      </c>
      <c r="H37" s="13" t="s">
        <v>14</v>
      </c>
      <c r="I37" s="13" t="s">
        <v>51</v>
      </c>
      <c r="J37" s="16" t="s">
        <v>215</v>
      </c>
      <c r="K37" s="13"/>
      <c r="L37" s="13"/>
      <c r="M37" s="17"/>
      <c r="N37" s="13"/>
      <c r="O37" s="13"/>
      <c r="P37" s="13"/>
      <c r="Q37" s="13"/>
      <c r="R37" s="13"/>
    </row>
    <row r="38" ht="15.75" customHeight="1">
      <c r="A38" s="21"/>
      <c r="B38" s="22" t="s">
        <v>14</v>
      </c>
      <c r="C38" s="22" t="s">
        <v>141</v>
      </c>
      <c r="D38" s="22" t="s">
        <v>216</v>
      </c>
      <c r="E38" s="22" t="s">
        <v>172</v>
      </c>
      <c r="F38" s="22" t="s">
        <v>217</v>
      </c>
      <c r="G38" s="23" t="s">
        <v>218</v>
      </c>
      <c r="H38" s="22" t="s">
        <v>14</v>
      </c>
      <c r="I38" s="22" t="s">
        <v>51</v>
      </c>
      <c r="J38" s="24" t="s">
        <v>215</v>
      </c>
      <c r="K38" s="22"/>
      <c r="L38" s="22"/>
      <c r="M38" s="25"/>
      <c r="N38" s="13"/>
      <c r="O38" s="13"/>
      <c r="P38" s="13"/>
      <c r="Q38" s="13"/>
      <c r="R38" s="13"/>
    </row>
    <row r="39" ht="15.75" customHeight="1">
      <c r="A39" s="8" t="s">
        <v>219</v>
      </c>
      <c r="B39" s="9" t="s">
        <v>14</v>
      </c>
      <c r="C39" s="9" t="s">
        <v>220</v>
      </c>
      <c r="D39" s="9" t="s">
        <v>220</v>
      </c>
      <c r="E39" s="9" t="s">
        <v>221</v>
      </c>
      <c r="F39" s="9" t="s">
        <v>222</v>
      </c>
      <c r="G39" s="15" t="s">
        <v>223</v>
      </c>
      <c r="H39" s="9" t="s">
        <v>14</v>
      </c>
      <c r="I39" s="9" t="s">
        <v>51</v>
      </c>
      <c r="J39" s="11" t="s">
        <v>224</v>
      </c>
      <c r="K39" s="9"/>
      <c r="L39" s="9"/>
      <c r="M39" s="12"/>
      <c r="N39" s="13"/>
      <c r="O39" s="13"/>
      <c r="P39" s="13"/>
      <c r="Q39" s="13"/>
      <c r="R39" s="13"/>
    </row>
    <row r="40" ht="15.75" customHeight="1">
      <c r="A40" s="14"/>
      <c r="B40" s="13" t="s">
        <v>14</v>
      </c>
      <c r="C40" s="13" t="s">
        <v>225</v>
      </c>
      <c r="D40" s="13" t="s">
        <v>226</v>
      </c>
      <c r="E40" s="13" t="s">
        <v>227</v>
      </c>
      <c r="F40" s="13" t="s">
        <v>228</v>
      </c>
      <c r="G40" s="15" t="s">
        <v>229</v>
      </c>
      <c r="H40" s="13" t="s">
        <v>14</v>
      </c>
      <c r="I40" s="13" t="s">
        <v>51</v>
      </c>
      <c r="J40" s="16" t="s">
        <v>230</v>
      </c>
      <c r="K40" s="13"/>
      <c r="L40" s="13"/>
      <c r="M40" s="17"/>
      <c r="N40" s="13"/>
      <c r="O40" s="13"/>
      <c r="P40" s="13"/>
      <c r="Q40" s="13"/>
      <c r="R40" s="13"/>
    </row>
    <row r="41" ht="15.75" customHeight="1">
      <c r="A41" s="14"/>
      <c r="B41" s="13" t="s">
        <v>77</v>
      </c>
      <c r="C41" s="13" t="s">
        <v>231</v>
      </c>
      <c r="D41" s="13" t="s">
        <v>232</v>
      </c>
      <c r="E41" s="13" t="s">
        <v>233</v>
      </c>
      <c r="F41" s="13" t="s">
        <v>234</v>
      </c>
      <c r="G41" s="15" t="s">
        <v>235</v>
      </c>
      <c r="H41" s="18" t="s">
        <v>236</v>
      </c>
      <c r="I41" s="13" t="s">
        <v>51</v>
      </c>
      <c r="J41" s="16" t="s">
        <v>237</v>
      </c>
      <c r="K41" s="13"/>
      <c r="L41" s="13"/>
      <c r="M41" s="17"/>
      <c r="N41" s="13"/>
      <c r="O41" s="13"/>
      <c r="P41" s="13"/>
      <c r="Q41" s="13"/>
      <c r="R41" s="13"/>
    </row>
    <row r="42" ht="15.75" customHeight="1">
      <c r="A42" s="14"/>
      <c r="B42" s="13" t="s">
        <v>14</v>
      </c>
      <c r="C42" s="13" t="s">
        <v>238</v>
      </c>
      <c r="D42" s="13" t="s">
        <v>239</v>
      </c>
      <c r="E42" s="13" t="s">
        <v>187</v>
      </c>
      <c r="F42" s="13" t="s">
        <v>240</v>
      </c>
      <c r="G42" s="15" t="s">
        <v>241</v>
      </c>
      <c r="H42" s="13" t="s">
        <v>14</v>
      </c>
      <c r="I42" s="13" t="s">
        <v>51</v>
      </c>
      <c r="J42" s="16" t="s">
        <v>242</v>
      </c>
      <c r="K42" s="13"/>
      <c r="L42" s="13"/>
      <c r="M42" s="17"/>
      <c r="N42" s="13"/>
      <c r="O42" s="13"/>
      <c r="P42" s="13"/>
      <c r="Q42" s="13"/>
      <c r="R42" s="13"/>
    </row>
    <row r="43" ht="15.75" customHeight="1">
      <c r="A43" s="14"/>
      <c r="B43" s="13" t="s">
        <v>14</v>
      </c>
      <c r="C43" s="13" t="s">
        <v>238</v>
      </c>
      <c r="D43" s="13" t="s">
        <v>243</v>
      </c>
      <c r="E43" s="13" t="s">
        <v>244</v>
      </c>
      <c r="F43" s="13" t="s">
        <v>245</v>
      </c>
      <c r="G43" s="15" t="s">
        <v>246</v>
      </c>
      <c r="H43" s="13" t="s">
        <v>14</v>
      </c>
      <c r="I43" s="13" t="s">
        <v>51</v>
      </c>
      <c r="J43" s="16" t="s">
        <v>247</v>
      </c>
      <c r="K43" s="13"/>
      <c r="L43" s="13"/>
      <c r="M43" s="17"/>
      <c r="N43" s="13"/>
      <c r="O43" s="13"/>
      <c r="P43" s="13"/>
      <c r="Q43" s="13"/>
      <c r="R43" s="13"/>
    </row>
    <row r="44" ht="15.75" customHeight="1">
      <c r="A44" s="14"/>
      <c r="B44" s="13" t="s">
        <v>14</v>
      </c>
      <c r="C44" s="13" t="s">
        <v>248</v>
      </c>
      <c r="D44" s="13" t="s">
        <v>249</v>
      </c>
      <c r="E44" s="13" t="s">
        <v>172</v>
      </c>
      <c r="F44" s="13" t="s">
        <v>250</v>
      </c>
      <c r="G44" s="15" t="s">
        <v>251</v>
      </c>
      <c r="H44" s="13" t="s">
        <v>14</v>
      </c>
      <c r="I44" s="13" t="s">
        <v>252</v>
      </c>
      <c r="J44" s="16" t="s">
        <v>253</v>
      </c>
      <c r="K44" s="13"/>
      <c r="L44" s="13"/>
      <c r="M44" s="17"/>
      <c r="N44" s="13"/>
      <c r="O44" s="13"/>
      <c r="P44" s="13"/>
      <c r="Q44" s="13"/>
      <c r="R44" s="13"/>
    </row>
    <row r="45" ht="15.75" customHeight="1">
      <c r="A45" s="14"/>
      <c r="B45" s="13" t="s">
        <v>14</v>
      </c>
      <c r="C45" s="13" t="s">
        <v>254</v>
      </c>
      <c r="D45" s="13" t="s">
        <v>255</v>
      </c>
      <c r="E45" s="13" t="s">
        <v>256</v>
      </c>
      <c r="F45" s="13" t="s">
        <v>257</v>
      </c>
      <c r="G45" s="15" t="s">
        <v>258</v>
      </c>
      <c r="H45" s="13" t="s">
        <v>14</v>
      </c>
      <c r="I45" s="13" t="s">
        <v>259</v>
      </c>
      <c r="J45" s="16" t="s">
        <v>260</v>
      </c>
      <c r="K45" s="13"/>
      <c r="L45" s="13"/>
      <c r="M45" s="17"/>
      <c r="N45" s="13"/>
      <c r="O45" s="13"/>
      <c r="P45" s="13"/>
      <c r="Q45" s="13"/>
      <c r="R45" s="13"/>
    </row>
    <row r="46" ht="15.75" customHeight="1">
      <c r="A46" s="14"/>
      <c r="B46" s="13" t="s">
        <v>14</v>
      </c>
      <c r="C46" s="13" t="s">
        <v>261</v>
      </c>
      <c r="D46" s="13" t="s">
        <v>262</v>
      </c>
      <c r="E46" s="13" t="s">
        <v>172</v>
      </c>
      <c r="F46" s="13" t="s">
        <v>263</v>
      </c>
      <c r="G46" s="15" t="s">
        <v>264</v>
      </c>
      <c r="H46" s="13" t="s">
        <v>14</v>
      </c>
      <c r="I46" s="13" t="s">
        <v>51</v>
      </c>
      <c r="J46" s="16" t="s">
        <v>265</v>
      </c>
      <c r="K46" s="13"/>
      <c r="L46" s="13"/>
      <c r="M46" s="17"/>
      <c r="N46" s="13"/>
      <c r="O46" s="13"/>
      <c r="P46" s="13"/>
      <c r="Q46" s="13"/>
      <c r="R46" s="13"/>
    </row>
    <row r="47" ht="15.75" customHeight="1">
      <c r="A47" s="21"/>
      <c r="B47" s="22" t="s">
        <v>14</v>
      </c>
      <c r="C47" s="22" t="s">
        <v>266</v>
      </c>
      <c r="D47" s="22" t="s">
        <v>267</v>
      </c>
      <c r="E47" s="22" t="s">
        <v>208</v>
      </c>
      <c r="F47" s="22" t="s">
        <v>268</v>
      </c>
      <c r="G47" s="23" t="s">
        <v>210</v>
      </c>
      <c r="H47" s="22" t="s">
        <v>14</v>
      </c>
      <c r="I47" s="22" t="s">
        <v>51</v>
      </c>
      <c r="J47" s="24" t="s">
        <v>269</v>
      </c>
      <c r="K47" s="22"/>
      <c r="L47" s="22"/>
      <c r="M47" s="25"/>
      <c r="N47" s="13"/>
      <c r="O47" s="13"/>
      <c r="P47" s="13"/>
      <c r="Q47" s="13"/>
      <c r="R47" s="13"/>
    </row>
    <row r="48" ht="15.75" customHeight="1">
      <c r="A48" s="8" t="s">
        <v>270</v>
      </c>
      <c r="B48" s="9" t="s">
        <v>14</v>
      </c>
      <c r="C48" s="9" t="s">
        <v>271</v>
      </c>
      <c r="D48" s="9" t="s">
        <v>272</v>
      </c>
      <c r="E48" s="9" t="s">
        <v>273</v>
      </c>
      <c r="F48" s="9" t="s">
        <v>274</v>
      </c>
      <c r="G48" s="15" t="s">
        <v>275</v>
      </c>
      <c r="H48" s="9" t="s">
        <v>14</v>
      </c>
      <c r="I48" s="9" t="s">
        <v>51</v>
      </c>
      <c r="J48" s="11" t="s">
        <v>276</v>
      </c>
      <c r="K48" s="9"/>
      <c r="L48" s="9"/>
      <c r="M48" s="12"/>
      <c r="N48" s="13"/>
      <c r="O48" s="13"/>
      <c r="P48" s="13"/>
      <c r="Q48" s="13"/>
      <c r="R48" s="13"/>
    </row>
    <row r="49" ht="15.75" customHeight="1">
      <c r="A49" s="14"/>
      <c r="B49" s="13" t="s">
        <v>14</v>
      </c>
      <c r="C49" s="13" t="s">
        <v>271</v>
      </c>
      <c r="D49" s="13" t="s">
        <v>277</v>
      </c>
      <c r="E49" s="13" t="s">
        <v>273</v>
      </c>
      <c r="F49" s="13" t="s">
        <v>278</v>
      </c>
      <c r="G49" s="15" t="s">
        <v>275</v>
      </c>
      <c r="H49" s="13" t="s">
        <v>14</v>
      </c>
      <c r="I49" s="13" t="s">
        <v>51</v>
      </c>
      <c r="J49" s="16" t="s">
        <v>279</v>
      </c>
      <c r="K49" s="13"/>
      <c r="L49" s="13"/>
      <c r="M49" s="17"/>
      <c r="N49" s="13"/>
      <c r="O49" s="13"/>
      <c r="P49" s="13"/>
      <c r="Q49" s="13"/>
      <c r="R49" s="13"/>
    </row>
    <row r="50" ht="15.75" customHeight="1">
      <c r="A50" s="14"/>
      <c r="B50" s="13" t="s">
        <v>14</v>
      </c>
      <c r="C50" s="13" t="s">
        <v>271</v>
      </c>
      <c r="D50" s="13" t="s">
        <v>280</v>
      </c>
      <c r="E50" s="13" t="s">
        <v>281</v>
      </c>
      <c r="F50" s="13" t="s">
        <v>282</v>
      </c>
      <c r="G50" s="15" t="s">
        <v>283</v>
      </c>
      <c r="H50" s="13" t="s">
        <v>14</v>
      </c>
      <c r="I50" s="13" t="s">
        <v>51</v>
      </c>
      <c r="J50" s="16" t="s">
        <v>284</v>
      </c>
      <c r="K50" s="13"/>
      <c r="L50" s="13"/>
      <c r="M50" s="17"/>
      <c r="N50" s="13"/>
      <c r="O50" s="13"/>
      <c r="P50" s="13"/>
      <c r="Q50" s="13"/>
      <c r="R50" s="13"/>
    </row>
    <row r="51" ht="12.75" customHeight="1">
      <c r="A51" s="14"/>
      <c r="B51" s="13" t="s">
        <v>36</v>
      </c>
      <c r="C51" s="13" t="s">
        <v>271</v>
      </c>
      <c r="D51" s="13" t="s">
        <v>285</v>
      </c>
      <c r="E51" s="13" t="s">
        <v>285</v>
      </c>
      <c r="F51" s="13" t="s">
        <v>286</v>
      </c>
      <c r="G51" s="15" t="s">
        <v>287</v>
      </c>
      <c r="H51" s="18" t="s">
        <v>288</v>
      </c>
      <c r="I51" s="13" t="s">
        <v>51</v>
      </c>
      <c r="J51" s="16" t="s">
        <v>44</v>
      </c>
      <c r="K51" s="13"/>
      <c r="L51" s="13"/>
      <c r="M51" s="17"/>
      <c r="N51" s="13"/>
      <c r="O51" s="13"/>
      <c r="P51" s="13"/>
      <c r="Q51" s="13"/>
      <c r="R51" s="13"/>
    </row>
    <row r="52" ht="15.75" customHeight="1">
      <c r="A52" s="14"/>
      <c r="B52" s="13" t="s">
        <v>14</v>
      </c>
      <c r="C52" s="13" t="s">
        <v>289</v>
      </c>
      <c r="D52" s="13" t="s">
        <v>290</v>
      </c>
      <c r="E52" s="13" t="s">
        <v>291</v>
      </c>
      <c r="F52" s="13" t="s">
        <v>292</v>
      </c>
      <c r="G52" s="15" t="s">
        <v>293</v>
      </c>
      <c r="H52" s="13" t="s">
        <v>14</v>
      </c>
      <c r="I52" s="13"/>
      <c r="J52" s="16" t="s">
        <v>294</v>
      </c>
      <c r="K52" s="13"/>
      <c r="L52" s="13"/>
      <c r="M52" s="17"/>
      <c r="N52" s="13"/>
      <c r="O52" s="13"/>
      <c r="P52" s="13"/>
      <c r="Q52" s="13"/>
      <c r="R52" s="13"/>
    </row>
    <row r="53" ht="15.75" customHeight="1">
      <c r="A53" s="14"/>
      <c r="B53" s="13" t="s">
        <v>14</v>
      </c>
      <c r="C53" s="13" t="s">
        <v>271</v>
      </c>
      <c r="D53" s="13" t="s">
        <v>295</v>
      </c>
      <c r="E53" s="13" t="s">
        <v>296</v>
      </c>
      <c r="F53" s="13" t="s">
        <v>297</v>
      </c>
      <c r="G53" s="15" t="s">
        <v>298</v>
      </c>
      <c r="H53" s="13" t="s">
        <v>14</v>
      </c>
      <c r="I53" s="13" t="s">
        <v>51</v>
      </c>
      <c r="J53" s="16" t="s">
        <v>299</v>
      </c>
      <c r="K53" s="13"/>
      <c r="L53" s="13"/>
      <c r="M53" s="17"/>
      <c r="N53" s="13"/>
      <c r="O53" s="13"/>
      <c r="P53" s="13"/>
      <c r="Q53" s="13"/>
      <c r="R53" s="13"/>
    </row>
    <row r="54" ht="15.75" customHeight="1">
      <c r="A54" s="14"/>
      <c r="B54" s="13" t="s">
        <v>14</v>
      </c>
      <c r="C54" s="13" t="s">
        <v>300</v>
      </c>
      <c r="D54" s="13" t="s">
        <v>301</v>
      </c>
      <c r="E54" s="13" t="s">
        <v>302</v>
      </c>
      <c r="F54" s="13" t="s">
        <v>303</v>
      </c>
      <c r="G54" s="15" t="s">
        <v>304</v>
      </c>
      <c r="H54" s="13" t="s">
        <v>14</v>
      </c>
      <c r="I54" s="13" t="s">
        <v>51</v>
      </c>
      <c r="J54" s="16" t="s">
        <v>305</v>
      </c>
      <c r="K54" s="13"/>
      <c r="L54" s="13"/>
      <c r="M54" s="17"/>
      <c r="N54" s="13"/>
      <c r="O54" s="13"/>
      <c r="P54" s="13"/>
      <c r="Q54" s="13"/>
      <c r="R54" s="13"/>
    </row>
    <row r="55" ht="15.75" customHeight="1">
      <c r="A55" s="14"/>
      <c r="B55" s="13" t="s">
        <v>14</v>
      </c>
      <c r="C55" s="13" t="s">
        <v>289</v>
      </c>
      <c r="D55" s="13" t="s">
        <v>306</v>
      </c>
      <c r="E55" s="13" t="s">
        <v>307</v>
      </c>
      <c r="F55" s="13" t="s">
        <v>308</v>
      </c>
      <c r="G55" s="15" t="s">
        <v>309</v>
      </c>
      <c r="H55" s="13" t="s">
        <v>14</v>
      </c>
      <c r="I55" s="13" t="s">
        <v>51</v>
      </c>
      <c r="J55" s="16" t="s">
        <v>200</v>
      </c>
      <c r="K55" s="13"/>
      <c r="L55" s="13"/>
      <c r="M55" s="17"/>
      <c r="N55" s="13"/>
      <c r="O55" s="13"/>
      <c r="P55" s="13"/>
      <c r="Q55" s="13"/>
      <c r="R55" s="13"/>
    </row>
    <row r="56" ht="15.75" customHeight="1">
      <c r="A56" s="14"/>
      <c r="B56" s="13" t="s">
        <v>14</v>
      </c>
      <c r="C56" s="13" t="s">
        <v>289</v>
      </c>
      <c r="D56" s="13" t="s">
        <v>310</v>
      </c>
      <c r="E56" s="13" t="s">
        <v>311</v>
      </c>
      <c r="F56" s="13" t="s">
        <v>312</v>
      </c>
      <c r="G56" s="15" t="s">
        <v>313</v>
      </c>
      <c r="H56" s="13" t="s">
        <v>14</v>
      </c>
      <c r="I56" s="13" t="s">
        <v>51</v>
      </c>
      <c r="J56" s="16" t="s">
        <v>247</v>
      </c>
      <c r="K56" s="13"/>
      <c r="L56" s="13"/>
      <c r="M56" s="17"/>
      <c r="N56" s="13"/>
      <c r="O56" s="13"/>
      <c r="P56" s="13"/>
      <c r="Q56" s="13"/>
      <c r="R56" s="13"/>
    </row>
    <row r="57" ht="15.75" customHeight="1">
      <c r="A57" s="14"/>
      <c r="B57" s="13" t="s">
        <v>14</v>
      </c>
      <c r="C57" s="13" t="s">
        <v>271</v>
      </c>
      <c r="D57" s="13" t="s">
        <v>314</v>
      </c>
      <c r="E57" s="13" t="s">
        <v>315</v>
      </c>
      <c r="F57" s="13" t="s">
        <v>316</v>
      </c>
      <c r="G57" s="15" t="s">
        <v>317</v>
      </c>
      <c r="H57" s="13" t="s">
        <v>14</v>
      </c>
      <c r="I57" s="13" t="s">
        <v>51</v>
      </c>
      <c r="J57" s="16" t="s">
        <v>318</v>
      </c>
      <c r="K57" s="13"/>
      <c r="L57" s="13"/>
      <c r="M57" s="17"/>
      <c r="N57" s="13"/>
      <c r="O57" s="13"/>
      <c r="P57" s="13"/>
      <c r="Q57" s="13"/>
      <c r="R57" s="13"/>
    </row>
    <row r="58" ht="15.75" customHeight="1">
      <c r="A58" s="14"/>
      <c r="B58" s="13" t="s">
        <v>14</v>
      </c>
      <c r="C58" s="13" t="s">
        <v>271</v>
      </c>
      <c r="D58" s="13" t="s">
        <v>319</v>
      </c>
      <c r="E58" s="13" t="s">
        <v>315</v>
      </c>
      <c r="F58" s="13" t="s">
        <v>320</v>
      </c>
      <c r="G58" s="15" t="s">
        <v>321</v>
      </c>
      <c r="H58" s="13" t="s">
        <v>14</v>
      </c>
      <c r="I58" s="13" t="s">
        <v>51</v>
      </c>
      <c r="J58" s="16" t="s">
        <v>322</v>
      </c>
      <c r="K58" s="13"/>
      <c r="L58" s="13"/>
      <c r="M58" s="17"/>
      <c r="N58" s="13"/>
      <c r="O58" s="13"/>
      <c r="P58" s="13"/>
      <c r="Q58" s="13"/>
      <c r="R58" s="13"/>
    </row>
    <row r="59" ht="15.75" customHeight="1">
      <c r="A59" s="21"/>
      <c r="B59" s="22" t="s">
        <v>14</v>
      </c>
      <c r="C59" s="22" t="s">
        <v>271</v>
      </c>
      <c r="D59" s="22" t="s">
        <v>323</v>
      </c>
      <c r="E59" s="22" t="s">
        <v>324</v>
      </c>
      <c r="F59" s="22" t="s">
        <v>325</v>
      </c>
      <c r="G59" s="23" t="s">
        <v>326</v>
      </c>
      <c r="H59" s="22" t="s">
        <v>14</v>
      </c>
      <c r="I59" s="22" t="s">
        <v>51</v>
      </c>
      <c r="J59" s="24" t="s">
        <v>327</v>
      </c>
      <c r="K59" s="22"/>
      <c r="L59" s="22"/>
      <c r="M59" s="25"/>
      <c r="N59" s="13"/>
      <c r="O59" s="13"/>
      <c r="P59" s="13"/>
      <c r="Q59" s="13"/>
      <c r="R59" s="13"/>
    </row>
    <row r="60" ht="15.75" customHeight="1">
      <c r="A60" s="8" t="s">
        <v>328</v>
      </c>
      <c r="B60" s="9" t="s">
        <v>14</v>
      </c>
      <c r="C60" s="9" t="s">
        <v>329</v>
      </c>
      <c r="D60" s="9" t="s">
        <v>330</v>
      </c>
      <c r="E60" s="9" t="s">
        <v>331</v>
      </c>
      <c r="F60" s="9" t="s">
        <v>332</v>
      </c>
      <c r="G60" s="15" t="s">
        <v>333</v>
      </c>
      <c r="H60" s="9" t="s">
        <v>14</v>
      </c>
      <c r="I60" s="9" t="s">
        <v>51</v>
      </c>
      <c r="J60" s="11" t="s">
        <v>334</v>
      </c>
      <c r="K60" s="9"/>
      <c r="L60" s="9"/>
      <c r="M60" s="12"/>
      <c r="N60" s="13"/>
      <c r="O60" s="13"/>
      <c r="P60" s="13"/>
      <c r="Q60" s="13"/>
      <c r="R60" s="13"/>
    </row>
    <row r="61" ht="15.75" customHeight="1">
      <c r="A61" s="14"/>
      <c r="B61" s="13" t="s">
        <v>14</v>
      </c>
      <c r="C61" s="13" t="s">
        <v>329</v>
      </c>
      <c r="D61" s="13" t="s">
        <v>335</v>
      </c>
      <c r="E61" s="13" t="s">
        <v>331</v>
      </c>
      <c r="F61" s="13" t="s">
        <v>336</v>
      </c>
      <c r="G61" s="15" t="s">
        <v>337</v>
      </c>
      <c r="H61" s="13" t="s">
        <v>14</v>
      </c>
      <c r="I61" s="13" t="s">
        <v>338</v>
      </c>
      <c r="J61" s="16" t="s">
        <v>339</v>
      </c>
      <c r="K61" s="13"/>
      <c r="L61" s="13"/>
      <c r="M61" s="17"/>
      <c r="N61" s="13"/>
      <c r="O61" s="13"/>
      <c r="P61" s="13"/>
      <c r="Q61" s="13"/>
      <c r="R61" s="13"/>
    </row>
    <row r="62" ht="15.75" customHeight="1">
      <c r="A62" s="14"/>
      <c r="B62" s="13" t="s">
        <v>14</v>
      </c>
      <c r="C62" s="13" t="s">
        <v>329</v>
      </c>
      <c r="D62" s="13" t="s">
        <v>340</v>
      </c>
      <c r="E62" s="13" t="s">
        <v>331</v>
      </c>
      <c r="F62" s="13" t="s">
        <v>341</v>
      </c>
      <c r="G62" s="15" t="s">
        <v>337</v>
      </c>
      <c r="H62" s="13" t="s">
        <v>14</v>
      </c>
      <c r="I62" s="13" t="s">
        <v>259</v>
      </c>
      <c r="J62" s="16" t="s">
        <v>342</v>
      </c>
      <c r="K62" s="13"/>
      <c r="L62" s="13"/>
      <c r="M62" s="17"/>
      <c r="N62" s="13"/>
      <c r="O62" s="13"/>
      <c r="P62" s="13"/>
      <c r="Q62" s="13"/>
      <c r="R62" s="13"/>
    </row>
    <row r="63" ht="15.75" customHeight="1">
      <c r="A63" s="14"/>
      <c r="B63" s="13" t="s">
        <v>14</v>
      </c>
      <c r="C63" s="13" t="s">
        <v>343</v>
      </c>
      <c r="D63" s="13" t="s">
        <v>344</v>
      </c>
      <c r="E63" s="13" t="s">
        <v>345</v>
      </c>
      <c r="F63" s="13" t="s">
        <v>346</v>
      </c>
      <c r="G63" s="15" t="s">
        <v>347</v>
      </c>
      <c r="H63" s="13" t="s">
        <v>14</v>
      </c>
      <c r="I63" s="13" t="s">
        <v>348</v>
      </c>
      <c r="J63" s="16" t="s">
        <v>349</v>
      </c>
      <c r="K63" s="13"/>
      <c r="L63" s="13"/>
      <c r="M63" s="17"/>
      <c r="N63" s="13"/>
      <c r="O63" s="13"/>
      <c r="P63" s="13"/>
      <c r="Q63" s="13"/>
      <c r="R63" s="13"/>
    </row>
    <row r="64" ht="15.75" customHeight="1">
      <c r="A64" s="14"/>
      <c r="B64" s="13" t="s">
        <v>14</v>
      </c>
      <c r="C64" s="13" t="s">
        <v>350</v>
      </c>
      <c r="D64" s="13" t="s">
        <v>351</v>
      </c>
      <c r="E64" s="13" t="s">
        <v>352</v>
      </c>
      <c r="F64" s="13" t="s">
        <v>353</v>
      </c>
      <c r="G64" s="15" t="s">
        <v>354</v>
      </c>
      <c r="H64" s="13" t="s">
        <v>14</v>
      </c>
      <c r="I64" s="13" t="s">
        <v>355</v>
      </c>
      <c r="J64" s="16" t="s">
        <v>356</v>
      </c>
      <c r="K64" s="13"/>
      <c r="L64" s="13"/>
      <c r="M64" s="17"/>
      <c r="N64" s="13"/>
      <c r="O64" s="13"/>
      <c r="P64" s="13"/>
      <c r="Q64" s="13"/>
      <c r="R64" s="13"/>
    </row>
    <row r="65" ht="15.75" customHeight="1">
      <c r="A65" s="14"/>
      <c r="B65" s="13" t="s">
        <v>14</v>
      </c>
      <c r="C65" s="13" t="s">
        <v>329</v>
      </c>
      <c r="D65" s="13" t="s">
        <v>357</v>
      </c>
      <c r="E65" s="13" t="s">
        <v>358</v>
      </c>
      <c r="F65" s="13" t="s">
        <v>357</v>
      </c>
      <c r="G65" s="15" t="s">
        <v>359</v>
      </c>
      <c r="H65" s="13" t="s">
        <v>14</v>
      </c>
      <c r="I65" s="13" t="s">
        <v>259</v>
      </c>
      <c r="J65" s="16" t="s">
        <v>193</v>
      </c>
      <c r="K65" s="13"/>
      <c r="L65" s="13"/>
      <c r="M65" s="17"/>
      <c r="N65" s="13"/>
      <c r="O65" s="13"/>
      <c r="P65" s="13"/>
      <c r="Q65" s="13"/>
      <c r="R65" s="13"/>
    </row>
    <row r="66" ht="15.75" customHeight="1">
      <c r="A66" s="14"/>
      <c r="B66" s="13" t="s">
        <v>14</v>
      </c>
      <c r="C66" s="13" t="s">
        <v>360</v>
      </c>
      <c r="D66" s="13" t="s">
        <v>361</v>
      </c>
      <c r="E66" s="13" t="s">
        <v>362</v>
      </c>
      <c r="F66" s="13" t="s">
        <v>363</v>
      </c>
      <c r="G66" s="15" t="s">
        <v>364</v>
      </c>
      <c r="H66" s="13" t="s">
        <v>14</v>
      </c>
      <c r="I66" s="13" t="s">
        <v>365</v>
      </c>
      <c r="J66" s="16" t="s">
        <v>366</v>
      </c>
      <c r="K66" s="13"/>
      <c r="L66" s="13"/>
      <c r="M66" s="17"/>
      <c r="N66" s="13"/>
      <c r="O66" s="13"/>
      <c r="P66" s="13"/>
      <c r="Q66" s="13"/>
      <c r="R66" s="13"/>
    </row>
    <row r="67" ht="15.75" customHeight="1">
      <c r="A67" s="14"/>
      <c r="B67" s="13" t="s">
        <v>14</v>
      </c>
      <c r="C67" s="13" t="s">
        <v>329</v>
      </c>
      <c r="D67" s="13" t="s">
        <v>367</v>
      </c>
      <c r="E67" s="13" t="s">
        <v>368</v>
      </c>
      <c r="F67" s="13" t="s">
        <v>369</v>
      </c>
      <c r="G67" s="15" t="s">
        <v>370</v>
      </c>
      <c r="H67" s="13" t="s">
        <v>14</v>
      </c>
      <c r="I67" s="13" t="s">
        <v>51</v>
      </c>
      <c r="J67" s="16" t="s">
        <v>371</v>
      </c>
      <c r="K67" s="13"/>
      <c r="L67" s="13"/>
      <c r="M67" s="17"/>
      <c r="N67" s="13"/>
      <c r="O67" s="13"/>
      <c r="P67" s="13"/>
      <c r="Q67" s="13"/>
      <c r="R67" s="13"/>
    </row>
    <row r="68" ht="15.75" customHeight="1">
      <c r="A68" s="14"/>
      <c r="B68" s="13" t="s">
        <v>14</v>
      </c>
      <c r="C68" s="13" t="s">
        <v>350</v>
      </c>
      <c r="D68" s="13" t="s">
        <v>372</v>
      </c>
      <c r="E68" s="13" t="s">
        <v>373</v>
      </c>
      <c r="F68" s="13" t="s">
        <v>374</v>
      </c>
      <c r="G68" s="15" t="s">
        <v>375</v>
      </c>
      <c r="H68" s="13" t="s">
        <v>14</v>
      </c>
      <c r="I68" s="13" t="s">
        <v>376</v>
      </c>
      <c r="J68" s="16" t="s">
        <v>377</v>
      </c>
      <c r="K68" s="13"/>
      <c r="L68" s="13"/>
      <c r="M68" s="17"/>
      <c r="N68" s="13"/>
      <c r="O68" s="13"/>
      <c r="P68" s="13"/>
      <c r="Q68" s="13"/>
      <c r="R68" s="13"/>
    </row>
    <row r="69" ht="15.75" customHeight="1">
      <c r="A69" s="14"/>
      <c r="B69" s="13" t="s">
        <v>14</v>
      </c>
      <c r="C69" s="13" t="s">
        <v>350</v>
      </c>
      <c r="D69" s="13" t="s">
        <v>378</v>
      </c>
      <c r="E69" s="13" t="s">
        <v>373</v>
      </c>
      <c r="F69" s="13" t="s">
        <v>379</v>
      </c>
      <c r="G69" s="15" t="s">
        <v>375</v>
      </c>
      <c r="H69" s="13" t="s">
        <v>14</v>
      </c>
      <c r="I69" s="13" t="s">
        <v>380</v>
      </c>
      <c r="J69" s="16" t="s">
        <v>381</v>
      </c>
      <c r="K69" s="13"/>
      <c r="L69" s="13"/>
      <c r="M69" s="17"/>
      <c r="N69" s="13"/>
      <c r="O69" s="13"/>
      <c r="P69" s="13"/>
      <c r="Q69" s="13"/>
      <c r="R69" s="13"/>
    </row>
    <row r="70" ht="15.75" customHeight="1">
      <c r="A70" s="14"/>
      <c r="B70" s="13" t="s">
        <v>14</v>
      </c>
      <c r="C70" s="13" t="s">
        <v>238</v>
      </c>
      <c r="D70" s="13" t="s">
        <v>382</v>
      </c>
      <c r="E70" s="13" t="s">
        <v>187</v>
      </c>
      <c r="F70" s="13" t="s">
        <v>383</v>
      </c>
      <c r="G70" s="15" t="s">
        <v>189</v>
      </c>
      <c r="H70" s="13" t="s">
        <v>14</v>
      </c>
      <c r="I70" s="13" t="s">
        <v>51</v>
      </c>
      <c r="J70" s="16" t="s">
        <v>384</v>
      </c>
      <c r="K70" s="13"/>
      <c r="L70" s="13"/>
      <c r="M70" s="17"/>
      <c r="N70" s="13"/>
      <c r="O70" s="13"/>
      <c r="P70" s="13"/>
      <c r="Q70" s="13"/>
      <c r="R70" s="13"/>
    </row>
    <row r="71" ht="15.75" customHeight="1">
      <c r="A71" s="14"/>
      <c r="B71" s="13" t="s">
        <v>14</v>
      </c>
      <c r="C71" s="13" t="s">
        <v>238</v>
      </c>
      <c r="D71" s="13" t="s">
        <v>385</v>
      </c>
      <c r="E71" s="13" t="s">
        <v>386</v>
      </c>
      <c r="F71" s="13" t="s">
        <v>387</v>
      </c>
      <c r="G71" s="15" t="s">
        <v>388</v>
      </c>
      <c r="H71" s="13" t="s">
        <v>14</v>
      </c>
      <c r="I71" s="13" t="s">
        <v>389</v>
      </c>
      <c r="J71" s="16" t="s">
        <v>390</v>
      </c>
      <c r="K71" s="13" t="s">
        <v>391</v>
      </c>
      <c r="L71" s="13"/>
      <c r="M71" s="17"/>
      <c r="N71" s="13"/>
      <c r="O71" s="13"/>
      <c r="P71" s="13"/>
      <c r="Q71" s="13"/>
      <c r="R71" s="13"/>
    </row>
    <row r="72" ht="15.75" customHeight="1">
      <c r="A72" s="14"/>
      <c r="B72" s="13" t="s">
        <v>14</v>
      </c>
      <c r="C72" s="13" t="s">
        <v>392</v>
      </c>
      <c r="D72" s="13" t="s">
        <v>393</v>
      </c>
      <c r="E72" s="13" t="s">
        <v>394</v>
      </c>
      <c r="F72" s="13" t="s">
        <v>395</v>
      </c>
      <c r="G72" s="15" t="s">
        <v>396</v>
      </c>
      <c r="H72" s="13" t="s">
        <v>14</v>
      </c>
      <c r="I72" s="13" t="s">
        <v>51</v>
      </c>
      <c r="J72" s="16" t="s">
        <v>397</v>
      </c>
      <c r="K72" s="13"/>
      <c r="L72" s="13"/>
      <c r="M72" s="17"/>
      <c r="N72" s="13"/>
      <c r="O72" s="13"/>
      <c r="P72" s="13"/>
      <c r="Q72" s="13"/>
      <c r="R72" s="13"/>
    </row>
    <row r="73" ht="15.75" customHeight="1">
      <c r="A73" s="21"/>
      <c r="B73" s="22" t="s">
        <v>14</v>
      </c>
      <c r="C73" s="22" t="s">
        <v>398</v>
      </c>
      <c r="D73" s="22" t="s">
        <v>399</v>
      </c>
      <c r="E73" s="22" t="s">
        <v>400</v>
      </c>
      <c r="F73" s="22" t="s">
        <v>401</v>
      </c>
      <c r="G73" s="23" t="s">
        <v>402</v>
      </c>
      <c r="H73" s="22" t="s">
        <v>14</v>
      </c>
      <c r="I73" s="22" t="s">
        <v>403</v>
      </c>
      <c r="J73" s="24" t="s">
        <v>404</v>
      </c>
      <c r="K73" s="22"/>
      <c r="L73" s="22"/>
      <c r="M73" s="25"/>
      <c r="N73" s="13"/>
      <c r="O73" s="13"/>
      <c r="P73" s="13"/>
      <c r="Q73" s="13"/>
      <c r="R73" s="13"/>
    </row>
    <row r="74" ht="15.75" customHeight="1">
      <c r="A74" s="31"/>
      <c r="D74" s="13"/>
      <c r="E74" s="13"/>
      <c r="F74" s="13"/>
      <c r="G74" s="13"/>
      <c r="H74" s="13"/>
      <c r="I74" s="13"/>
      <c r="J74" s="16"/>
      <c r="K74" s="13"/>
      <c r="L74" s="13"/>
      <c r="M74" s="13"/>
      <c r="N74" s="13"/>
      <c r="O74" s="13"/>
      <c r="P74" s="13"/>
      <c r="Q74" s="13"/>
      <c r="R74" s="13"/>
    </row>
    <row r="75" ht="15.75" customHeight="1">
      <c r="A75" s="31"/>
      <c r="D75" s="13"/>
      <c r="E75" s="13"/>
      <c r="F75" s="13"/>
      <c r="G75" s="13"/>
      <c r="H75" s="13"/>
      <c r="I75" s="13"/>
      <c r="J75" s="16"/>
      <c r="K75" s="7"/>
      <c r="L75" s="7"/>
      <c r="M75" s="7"/>
      <c r="N75" s="7"/>
      <c r="O75" s="7"/>
      <c r="P75" s="7"/>
      <c r="Q75" s="7"/>
      <c r="R75" s="7"/>
    </row>
    <row r="76" ht="15.75" customHeight="1">
      <c r="A76" s="31"/>
      <c r="D76" s="13"/>
      <c r="E76" s="13"/>
      <c r="F76" s="13"/>
      <c r="G76" s="13"/>
      <c r="H76" s="13"/>
      <c r="I76" s="13"/>
      <c r="J76" s="16"/>
      <c r="K76" s="7"/>
      <c r="L76" s="7"/>
      <c r="M76" s="7"/>
      <c r="N76" s="7"/>
      <c r="O76" s="7"/>
      <c r="P76" s="7"/>
      <c r="Q76" s="7"/>
      <c r="R76" s="7"/>
    </row>
    <row r="77" ht="15.75" customHeight="1">
      <c r="A77" s="31"/>
      <c r="B77" s="16"/>
      <c r="C77" s="16"/>
      <c r="D77" s="32"/>
      <c r="E77" s="32"/>
      <c r="F77" s="32"/>
      <c r="G77" s="32"/>
      <c r="H77" s="32"/>
      <c r="I77" s="32"/>
      <c r="J77" s="32"/>
      <c r="K77" s="7"/>
      <c r="L77" s="7"/>
      <c r="M77" s="7"/>
      <c r="N77" s="7"/>
      <c r="O77" s="7"/>
      <c r="P77" s="7"/>
      <c r="Q77" s="7"/>
      <c r="R77" s="7"/>
    </row>
    <row r="78" ht="15.75" customHeight="1">
      <c r="A78" s="31"/>
      <c r="B78" s="16"/>
      <c r="C78" s="16"/>
      <c r="D78" s="32"/>
      <c r="E78" s="32"/>
      <c r="F78" s="32"/>
      <c r="G78" s="32"/>
      <c r="H78" s="32"/>
      <c r="I78" s="32"/>
      <c r="J78" s="32"/>
      <c r="K78" s="7"/>
      <c r="L78" s="7"/>
      <c r="M78" s="7"/>
      <c r="N78" s="7"/>
      <c r="O78" s="7"/>
      <c r="P78" s="7"/>
      <c r="Q78" s="7"/>
      <c r="R78" s="7"/>
    </row>
    <row r="79" ht="15.75" customHeight="1">
      <c r="A79" s="31"/>
      <c r="B79" s="16"/>
      <c r="C79" s="16"/>
      <c r="D79" s="32"/>
      <c r="E79" s="32"/>
      <c r="F79" s="32"/>
      <c r="G79" s="32"/>
      <c r="H79" s="32"/>
      <c r="I79" s="32"/>
      <c r="J79" s="32"/>
      <c r="K79" s="7"/>
      <c r="L79" s="7"/>
      <c r="M79" s="7"/>
      <c r="N79" s="7"/>
      <c r="O79" s="7"/>
      <c r="P79" s="7"/>
      <c r="Q79" s="7"/>
      <c r="R79" s="7"/>
    </row>
    <row r="80" ht="15.75" customHeight="1">
      <c r="A80" s="33"/>
      <c r="D80" s="7"/>
      <c r="E80" s="7"/>
      <c r="F80" s="7"/>
      <c r="G80" s="7"/>
      <c r="H80" s="7"/>
      <c r="I80" s="7"/>
      <c r="J80" s="32"/>
      <c r="K80" s="7"/>
      <c r="L80" s="7"/>
      <c r="M80" s="7"/>
      <c r="N80" s="7"/>
      <c r="O80" s="7"/>
      <c r="P80" s="7"/>
      <c r="Q80" s="7"/>
      <c r="R80" s="7"/>
    </row>
    <row r="81" ht="15.75" customHeight="1">
      <c r="A81" s="33"/>
      <c r="D81" s="7"/>
      <c r="E81" s="7"/>
      <c r="F81" s="7"/>
      <c r="G81" s="7"/>
      <c r="H81" s="7"/>
      <c r="I81" s="7"/>
      <c r="J81" s="32"/>
      <c r="K81" s="7"/>
      <c r="L81" s="7"/>
      <c r="M81" s="7"/>
      <c r="N81" s="7"/>
      <c r="O81" s="7"/>
      <c r="P81" s="7"/>
      <c r="Q81" s="7"/>
      <c r="R81" s="7"/>
    </row>
    <row r="82" ht="15.75" customHeight="1">
      <c r="A82" s="33"/>
      <c r="D82" s="7"/>
      <c r="E82" s="7"/>
      <c r="F82" s="7"/>
      <c r="G82" s="7"/>
      <c r="H82" s="7"/>
      <c r="I82" s="7"/>
      <c r="J82" s="32"/>
      <c r="K82" s="7"/>
      <c r="L82" s="7"/>
      <c r="M82" s="7"/>
      <c r="N82" s="7"/>
      <c r="O82" s="7"/>
      <c r="P82" s="7"/>
      <c r="Q82" s="7"/>
      <c r="R82" s="7"/>
    </row>
    <row r="83" ht="15.75" customHeight="1">
      <c r="A83" s="33"/>
      <c r="D83" s="7"/>
      <c r="E83" s="7"/>
      <c r="F83" s="7"/>
      <c r="G83" s="7"/>
      <c r="H83" s="7"/>
      <c r="I83" s="7"/>
      <c r="J83" s="32"/>
      <c r="K83" s="7"/>
      <c r="L83" s="7"/>
      <c r="M83" s="7"/>
      <c r="N83" s="7"/>
      <c r="O83" s="7"/>
      <c r="P83" s="7"/>
      <c r="Q83" s="7"/>
      <c r="R83" s="7"/>
    </row>
    <row r="84" ht="15.75" customHeight="1">
      <c r="A84" s="33"/>
      <c r="D84" s="7"/>
      <c r="E84" s="7"/>
      <c r="F84" s="7"/>
      <c r="G84" s="7"/>
      <c r="H84" s="7"/>
      <c r="I84" s="7"/>
      <c r="J84" s="32"/>
      <c r="K84" s="7"/>
      <c r="L84" s="7"/>
      <c r="M84" s="7"/>
      <c r="N84" s="7"/>
      <c r="O84" s="7"/>
      <c r="P84" s="7"/>
      <c r="Q84" s="7"/>
      <c r="R84" s="7"/>
    </row>
    <row r="85" ht="15.75" customHeight="1">
      <c r="A85" s="33"/>
      <c r="D85" s="7"/>
      <c r="E85" s="7"/>
      <c r="F85" s="7"/>
      <c r="G85" s="7"/>
      <c r="H85" s="7"/>
      <c r="I85" s="7"/>
      <c r="J85" s="32"/>
      <c r="K85" s="7"/>
      <c r="L85" s="7"/>
      <c r="M85" s="7"/>
      <c r="N85" s="7"/>
      <c r="O85" s="7"/>
      <c r="P85" s="7"/>
      <c r="Q85" s="7"/>
      <c r="R85" s="7"/>
    </row>
    <row r="86" ht="15.75" customHeight="1">
      <c r="A86" s="33"/>
      <c r="D86" s="7"/>
      <c r="E86" s="7"/>
      <c r="F86" s="7"/>
      <c r="G86" s="7"/>
      <c r="H86" s="7"/>
      <c r="I86" s="7"/>
      <c r="J86" s="32"/>
      <c r="K86" s="7"/>
      <c r="L86" s="7"/>
      <c r="M86" s="7"/>
      <c r="N86" s="7"/>
      <c r="O86" s="7"/>
      <c r="P86" s="7"/>
      <c r="Q86" s="7"/>
      <c r="R86" s="7"/>
    </row>
    <row r="87" ht="15.75" customHeight="1">
      <c r="A87" s="33"/>
      <c r="D87" s="7"/>
      <c r="E87" s="7"/>
      <c r="F87" s="7"/>
      <c r="G87" s="7"/>
      <c r="H87" s="7"/>
      <c r="I87" s="7"/>
      <c r="J87" s="32"/>
      <c r="K87" s="7"/>
      <c r="L87" s="7"/>
      <c r="M87" s="7"/>
      <c r="N87" s="7"/>
      <c r="O87" s="7"/>
      <c r="P87" s="7"/>
      <c r="Q87" s="7"/>
      <c r="R87" s="7"/>
    </row>
    <row r="88" ht="15.75" customHeight="1">
      <c r="A88" s="33"/>
      <c r="D88" s="7"/>
      <c r="E88" s="7"/>
      <c r="F88" s="7"/>
      <c r="G88" s="7"/>
      <c r="H88" s="7"/>
      <c r="I88" s="7"/>
      <c r="J88" s="32"/>
      <c r="K88" s="7"/>
      <c r="L88" s="7"/>
      <c r="M88" s="7"/>
      <c r="N88" s="7"/>
      <c r="O88" s="7"/>
      <c r="P88" s="7"/>
      <c r="Q88" s="7"/>
      <c r="R88" s="7"/>
    </row>
    <row r="89" ht="15.75" customHeight="1">
      <c r="A89" s="33"/>
      <c r="D89" s="7"/>
      <c r="E89" s="7"/>
      <c r="F89" s="7"/>
      <c r="G89" s="7"/>
      <c r="H89" s="7"/>
      <c r="I89" s="7"/>
      <c r="J89" s="32"/>
      <c r="K89" s="7"/>
      <c r="L89" s="7"/>
      <c r="M89" s="7"/>
      <c r="N89" s="7"/>
      <c r="O89" s="7"/>
      <c r="P89" s="7"/>
      <c r="Q89" s="7"/>
      <c r="R89" s="7"/>
    </row>
    <row r="90" ht="15.75" customHeight="1">
      <c r="A90" s="33"/>
      <c r="D90" s="7"/>
      <c r="E90" s="7"/>
      <c r="F90" s="7"/>
      <c r="G90" s="7"/>
      <c r="H90" s="7"/>
      <c r="I90" s="7"/>
      <c r="J90" s="32"/>
      <c r="K90" s="7"/>
      <c r="L90" s="7"/>
      <c r="M90" s="7"/>
      <c r="N90" s="7"/>
      <c r="O90" s="7"/>
      <c r="P90" s="7"/>
      <c r="Q90" s="7"/>
      <c r="R90" s="7"/>
    </row>
    <row r="91" ht="15.75" customHeight="1">
      <c r="A91" s="33"/>
      <c r="D91" s="7"/>
      <c r="E91" s="7"/>
      <c r="F91" s="7"/>
      <c r="G91" s="7"/>
      <c r="H91" s="7"/>
      <c r="I91" s="7"/>
      <c r="J91" s="32"/>
      <c r="K91" s="7"/>
      <c r="L91" s="7"/>
      <c r="M91" s="7"/>
      <c r="N91" s="7"/>
      <c r="O91" s="7"/>
      <c r="P91" s="7"/>
      <c r="Q91" s="7"/>
      <c r="R91" s="7"/>
    </row>
    <row r="92" ht="15.75" customHeight="1">
      <c r="A92" s="33"/>
      <c r="D92" s="7"/>
      <c r="E92" s="7"/>
      <c r="F92" s="7"/>
      <c r="G92" s="7"/>
      <c r="H92" s="7"/>
      <c r="I92" s="7"/>
      <c r="J92" s="32"/>
      <c r="K92" s="7"/>
      <c r="L92" s="7"/>
      <c r="M92" s="7"/>
      <c r="N92" s="7"/>
      <c r="O92" s="7"/>
      <c r="P92" s="7"/>
      <c r="Q92" s="7"/>
      <c r="R92" s="7"/>
    </row>
    <row r="93" ht="15.75" customHeight="1">
      <c r="A93" s="33"/>
      <c r="D93" s="7"/>
      <c r="E93" s="7"/>
      <c r="F93" s="7"/>
      <c r="G93" s="7"/>
      <c r="H93" s="7"/>
      <c r="I93" s="7"/>
      <c r="J93" s="32"/>
      <c r="K93" s="7"/>
      <c r="L93" s="7"/>
      <c r="M93" s="7"/>
      <c r="N93" s="7"/>
      <c r="O93" s="7"/>
      <c r="P93" s="7"/>
      <c r="Q93" s="7"/>
      <c r="R93" s="7"/>
    </row>
    <row r="94" ht="15.75" customHeight="1">
      <c r="A94" s="33"/>
      <c r="D94" s="7"/>
      <c r="E94" s="7"/>
      <c r="F94" s="7"/>
      <c r="G94" s="7"/>
      <c r="H94" s="7"/>
      <c r="I94" s="7"/>
      <c r="J94" s="32"/>
      <c r="K94" s="7"/>
      <c r="L94" s="7"/>
      <c r="M94" s="7"/>
      <c r="N94" s="7"/>
      <c r="O94" s="7"/>
      <c r="P94" s="7"/>
      <c r="Q94" s="7"/>
      <c r="R94" s="7"/>
    </row>
    <row r="95" ht="15.75" customHeight="1">
      <c r="A95" s="33"/>
      <c r="D95" s="7"/>
      <c r="E95" s="7"/>
      <c r="F95" s="7"/>
      <c r="G95" s="7"/>
      <c r="H95" s="7"/>
      <c r="I95" s="7"/>
      <c r="J95" s="32"/>
      <c r="K95" s="7"/>
      <c r="L95" s="7"/>
      <c r="M95" s="7"/>
      <c r="N95" s="7"/>
      <c r="O95" s="7"/>
      <c r="P95" s="7"/>
      <c r="Q95" s="7"/>
      <c r="R95" s="7"/>
    </row>
    <row r="96" ht="15.75" customHeight="1">
      <c r="A96" s="33"/>
      <c r="D96" s="7"/>
      <c r="E96" s="7"/>
      <c r="F96" s="7"/>
      <c r="G96" s="7"/>
      <c r="H96" s="7"/>
      <c r="I96" s="7"/>
      <c r="J96" s="32"/>
      <c r="K96" s="7"/>
      <c r="L96" s="7"/>
      <c r="M96" s="7"/>
      <c r="N96" s="7"/>
      <c r="O96" s="7"/>
      <c r="P96" s="7"/>
      <c r="Q96" s="7"/>
      <c r="R96" s="7"/>
    </row>
    <row r="97" ht="15.75" customHeight="1">
      <c r="A97" s="33"/>
      <c r="D97" s="7"/>
      <c r="E97" s="7"/>
      <c r="F97" s="7"/>
      <c r="G97" s="7"/>
      <c r="H97" s="7"/>
      <c r="I97" s="7"/>
      <c r="J97" s="32"/>
      <c r="K97" s="7"/>
      <c r="L97" s="7"/>
      <c r="M97" s="7"/>
      <c r="N97" s="7"/>
      <c r="O97" s="7"/>
      <c r="P97" s="7"/>
      <c r="Q97" s="7"/>
      <c r="R97" s="7"/>
    </row>
    <row r="98" ht="15.75" customHeight="1">
      <c r="A98" s="33"/>
      <c r="D98" s="7"/>
      <c r="E98" s="7"/>
      <c r="F98" s="7"/>
      <c r="G98" s="7"/>
      <c r="H98" s="7"/>
      <c r="I98" s="7"/>
      <c r="J98" s="32"/>
      <c r="K98" s="7"/>
      <c r="L98" s="7"/>
      <c r="M98" s="7"/>
      <c r="N98" s="7"/>
      <c r="O98" s="7"/>
      <c r="P98" s="7"/>
      <c r="Q98" s="7"/>
      <c r="R98" s="7"/>
    </row>
    <row r="99" ht="15.75" customHeight="1">
      <c r="A99" s="33"/>
      <c r="D99" s="7"/>
      <c r="E99" s="7"/>
      <c r="F99" s="7"/>
      <c r="G99" s="7"/>
      <c r="H99" s="7"/>
      <c r="I99" s="7"/>
      <c r="J99" s="32"/>
      <c r="K99" s="7"/>
      <c r="L99" s="7"/>
      <c r="M99" s="7"/>
      <c r="N99" s="7"/>
      <c r="O99" s="7"/>
      <c r="P99" s="7"/>
      <c r="Q99" s="7"/>
      <c r="R99" s="7"/>
    </row>
    <row r="100" ht="15.75" customHeight="1">
      <c r="A100" s="33"/>
      <c r="D100" s="7"/>
      <c r="E100" s="7"/>
      <c r="F100" s="7"/>
      <c r="G100" s="7"/>
      <c r="H100" s="7"/>
      <c r="I100" s="7"/>
      <c r="J100" s="32"/>
      <c r="K100" s="7"/>
      <c r="L100" s="7"/>
      <c r="M100" s="7"/>
      <c r="N100" s="7"/>
      <c r="O100" s="7"/>
      <c r="P100" s="7"/>
      <c r="Q100" s="7"/>
      <c r="R100" s="7"/>
    </row>
    <row r="101" ht="15.75" customHeight="1">
      <c r="A101" s="33"/>
      <c r="D101" s="7"/>
      <c r="E101" s="7"/>
      <c r="F101" s="7"/>
      <c r="G101" s="7"/>
      <c r="H101" s="7"/>
      <c r="I101" s="7"/>
      <c r="J101" s="32"/>
      <c r="K101" s="7"/>
      <c r="L101" s="7"/>
      <c r="M101" s="7"/>
      <c r="N101" s="7"/>
      <c r="O101" s="7"/>
      <c r="P101" s="7"/>
      <c r="Q101" s="7"/>
      <c r="R101" s="7"/>
    </row>
    <row r="102" ht="15.75" customHeight="1">
      <c r="A102" s="33"/>
      <c r="D102" s="7"/>
      <c r="E102" s="7"/>
      <c r="F102" s="7"/>
      <c r="G102" s="7"/>
      <c r="H102" s="7"/>
      <c r="I102" s="7"/>
      <c r="J102" s="32"/>
      <c r="K102" s="7"/>
      <c r="L102" s="7"/>
      <c r="M102" s="7"/>
      <c r="N102" s="7"/>
      <c r="O102" s="7"/>
      <c r="P102" s="7"/>
      <c r="Q102" s="7"/>
      <c r="R102" s="7"/>
    </row>
    <row r="103" ht="15.75" customHeight="1">
      <c r="A103" s="33"/>
      <c r="D103" s="7"/>
      <c r="E103" s="7"/>
      <c r="F103" s="7"/>
      <c r="G103" s="7"/>
      <c r="H103" s="7"/>
      <c r="I103" s="7"/>
      <c r="J103" s="32"/>
      <c r="K103" s="7"/>
      <c r="L103" s="7"/>
      <c r="M103" s="7"/>
      <c r="N103" s="7"/>
      <c r="O103" s="7"/>
      <c r="P103" s="7"/>
      <c r="Q103" s="7"/>
      <c r="R103" s="7"/>
    </row>
    <row r="104" ht="15.75" customHeight="1">
      <c r="A104" s="33"/>
      <c r="D104" s="7"/>
      <c r="E104" s="7"/>
      <c r="F104" s="7"/>
      <c r="G104" s="7"/>
      <c r="H104" s="7"/>
      <c r="I104" s="7"/>
      <c r="J104" s="32"/>
      <c r="K104" s="7"/>
      <c r="L104" s="7"/>
      <c r="M104" s="7"/>
      <c r="N104" s="7"/>
      <c r="O104" s="7"/>
      <c r="P104" s="7"/>
      <c r="Q104" s="7"/>
      <c r="R104" s="7"/>
    </row>
    <row r="105" ht="15.75" customHeight="1">
      <c r="A105" s="33"/>
      <c r="D105" s="7"/>
      <c r="E105" s="7"/>
      <c r="F105" s="7"/>
      <c r="G105" s="7"/>
      <c r="H105" s="7"/>
      <c r="I105" s="7"/>
      <c r="J105" s="32"/>
      <c r="K105" s="7"/>
      <c r="L105" s="7"/>
      <c r="M105" s="7"/>
      <c r="N105" s="7"/>
      <c r="O105" s="7"/>
      <c r="P105" s="7"/>
      <c r="Q105" s="7"/>
      <c r="R105" s="7"/>
    </row>
    <row r="106" ht="15.75" customHeight="1">
      <c r="A106" s="33"/>
      <c r="D106" s="7"/>
      <c r="E106" s="7"/>
      <c r="F106" s="7"/>
      <c r="G106" s="7"/>
      <c r="H106" s="7"/>
      <c r="I106" s="7"/>
      <c r="J106" s="32"/>
      <c r="K106" s="7"/>
      <c r="L106" s="7"/>
      <c r="M106" s="7"/>
      <c r="N106" s="7"/>
      <c r="O106" s="7"/>
      <c r="P106" s="7"/>
      <c r="Q106" s="7"/>
      <c r="R106" s="7"/>
    </row>
    <row r="107" ht="15.75" customHeight="1">
      <c r="A107" s="33"/>
      <c r="D107" s="7"/>
      <c r="E107" s="7"/>
      <c r="F107" s="7"/>
      <c r="G107" s="7"/>
      <c r="H107" s="7"/>
      <c r="I107" s="7"/>
      <c r="J107" s="32"/>
      <c r="K107" s="7"/>
      <c r="L107" s="7"/>
      <c r="M107" s="7"/>
      <c r="N107" s="7"/>
      <c r="O107" s="7"/>
      <c r="P107" s="7"/>
      <c r="Q107" s="7"/>
      <c r="R107" s="7"/>
    </row>
    <row r="108" ht="15.75" customHeight="1">
      <c r="A108" s="33"/>
      <c r="D108" s="7"/>
      <c r="E108" s="7"/>
      <c r="F108" s="7"/>
      <c r="G108" s="7"/>
      <c r="H108" s="7"/>
      <c r="I108" s="7"/>
      <c r="J108" s="32"/>
      <c r="K108" s="7"/>
      <c r="L108" s="7"/>
      <c r="M108" s="7"/>
      <c r="N108" s="7"/>
      <c r="O108" s="7"/>
      <c r="P108" s="7"/>
      <c r="Q108" s="7"/>
      <c r="R108" s="7"/>
    </row>
    <row r="109" ht="15.75" customHeight="1">
      <c r="A109" s="33"/>
      <c r="D109" s="7"/>
      <c r="E109" s="7"/>
      <c r="F109" s="7"/>
      <c r="G109" s="7"/>
      <c r="H109" s="7"/>
      <c r="I109" s="7"/>
      <c r="J109" s="32"/>
      <c r="K109" s="7"/>
      <c r="L109" s="7"/>
      <c r="M109" s="7"/>
      <c r="N109" s="7"/>
      <c r="O109" s="7"/>
      <c r="P109" s="7"/>
      <c r="Q109" s="7"/>
      <c r="R109" s="7"/>
    </row>
    <row r="110" ht="15.75" customHeight="1">
      <c r="A110" s="33"/>
      <c r="D110" s="7"/>
      <c r="E110" s="7"/>
      <c r="F110" s="7"/>
      <c r="G110" s="7"/>
      <c r="H110" s="7"/>
      <c r="I110" s="7"/>
      <c r="J110" s="32"/>
      <c r="K110" s="7"/>
      <c r="L110" s="7"/>
      <c r="M110" s="7"/>
      <c r="N110" s="7"/>
      <c r="O110" s="7"/>
      <c r="P110" s="7"/>
      <c r="Q110" s="7"/>
      <c r="R110" s="7"/>
    </row>
    <row r="111" ht="15.75" customHeight="1">
      <c r="A111" s="33"/>
      <c r="D111" s="7"/>
      <c r="E111" s="7"/>
      <c r="F111" s="7"/>
      <c r="G111" s="7"/>
      <c r="H111" s="7"/>
      <c r="I111" s="7"/>
      <c r="J111" s="32"/>
      <c r="K111" s="7"/>
      <c r="L111" s="7"/>
      <c r="M111" s="7"/>
      <c r="N111" s="7"/>
      <c r="O111" s="7"/>
      <c r="P111" s="7"/>
      <c r="Q111" s="7"/>
      <c r="R111" s="7"/>
    </row>
    <row r="112" ht="15.75" customHeight="1">
      <c r="A112" s="33"/>
      <c r="D112" s="7"/>
      <c r="E112" s="7"/>
      <c r="F112" s="7"/>
      <c r="G112" s="7"/>
      <c r="H112" s="7"/>
      <c r="I112" s="7"/>
      <c r="J112" s="32"/>
      <c r="K112" s="7"/>
      <c r="L112" s="7"/>
      <c r="M112" s="7"/>
      <c r="N112" s="7"/>
      <c r="O112" s="7"/>
      <c r="P112" s="7"/>
      <c r="Q112" s="7"/>
      <c r="R112" s="7"/>
    </row>
    <row r="113" ht="15.75" customHeight="1">
      <c r="A113" s="33"/>
      <c r="D113" s="7"/>
      <c r="E113" s="7"/>
      <c r="F113" s="7"/>
      <c r="G113" s="7"/>
      <c r="H113" s="7"/>
      <c r="I113" s="7"/>
      <c r="J113" s="32"/>
      <c r="K113" s="7"/>
      <c r="L113" s="7"/>
      <c r="M113" s="7"/>
      <c r="N113" s="7"/>
      <c r="O113" s="7"/>
      <c r="P113" s="7"/>
      <c r="Q113" s="7"/>
      <c r="R113" s="7"/>
    </row>
    <row r="114" ht="15.75" customHeight="1">
      <c r="A114" s="33"/>
      <c r="D114" s="7"/>
      <c r="E114" s="7"/>
      <c r="F114" s="7"/>
      <c r="G114" s="7"/>
      <c r="H114" s="7"/>
      <c r="I114" s="7"/>
      <c r="J114" s="32"/>
      <c r="K114" s="7"/>
      <c r="L114" s="7"/>
      <c r="M114" s="7"/>
      <c r="N114" s="7"/>
      <c r="O114" s="7"/>
      <c r="P114" s="7"/>
      <c r="Q114" s="7"/>
      <c r="R114" s="7"/>
    </row>
    <row r="115" ht="15.75" customHeight="1">
      <c r="A115" s="33"/>
      <c r="D115" s="7"/>
      <c r="E115" s="7"/>
      <c r="F115" s="7"/>
      <c r="G115" s="7"/>
      <c r="H115" s="7"/>
      <c r="I115" s="7"/>
      <c r="J115" s="32"/>
      <c r="K115" s="7"/>
      <c r="L115" s="7"/>
      <c r="M115" s="7"/>
      <c r="N115" s="7"/>
      <c r="O115" s="7"/>
      <c r="P115" s="7"/>
      <c r="Q115" s="7"/>
      <c r="R115" s="7"/>
    </row>
    <row r="116" ht="15.75" customHeight="1">
      <c r="A116" s="33"/>
      <c r="D116" s="7"/>
      <c r="E116" s="7"/>
      <c r="F116" s="7"/>
      <c r="G116" s="7"/>
      <c r="H116" s="7"/>
      <c r="I116" s="7"/>
      <c r="J116" s="32"/>
      <c r="K116" s="7"/>
      <c r="L116" s="7"/>
      <c r="M116" s="7"/>
      <c r="N116" s="7"/>
      <c r="O116" s="7"/>
      <c r="P116" s="7"/>
      <c r="Q116" s="7"/>
      <c r="R116" s="7"/>
    </row>
    <row r="117" ht="15.75" customHeight="1">
      <c r="A117" s="33"/>
      <c r="D117" s="7"/>
      <c r="E117" s="7"/>
      <c r="F117" s="7"/>
      <c r="G117" s="7"/>
      <c r="H117" s="7"/>
      <c r="I117" s="7"/>
      <c r="J117" s="32"/>
      <c r="K117" s="7"/>
      <c r="L117" s="7"/>
      <c r="M117" s="7"/>
      <c r="N117" s="7"/>
      <c r="O117" s="7"/>
      <c r="P117" s="7"/>
      <c r="Q117" s="7"/>
      <c r="R117" s="7"/>
    </row>
    <row r="118" ht="15.75" customHeight="1">
      <c r="A118" s="33"/>
      <c r="D118" s="7"/>
      <c r="E118" s="7"/>
      <c r="F118" s="7"/>
      <c r="G118" s="7"/>
      <c r="H118" s="7"/>
      <c r="I118" s="7"/>
      <c r="J118" s="32"/>
      <c r="K118" s="7"/>
      <c r="L118" s="7"/>
      <c r="M118" s="7"/>
      <c r="N118" s="7"/>
      <c r="O118" s="7"/>
      <c r="P118" s="7"/>
      <c r="Q118" s="7"/>
      <c r="R118" s="7"/>
    </row>
    <row r="119" ht="15.75" customHeight="1">
      <c r="A119" s="33"/>
      <c r="D119" s="7"/>
      <c r="E119" s="7"/>
      <c r="F119" s="7"/>
      <c r="G119" s="7"/>
      <c r="H119" s="7"/>
      <c r="I119" s="7"/>
      <c r="J119" s="32"/>
      <c r="K119" s="7"/>
      <c r="L119" s="7"/>
      <c r="M119" s="7"/>
      <c r="N119" s="7"/>
      <c r="O119" s="7"/>
      <c r="P119" s="7"/>
      <c r="Q119" s="7"/>
      <c r="R119" s="7"/>
    </row>
    <row r="120" ht="15.75" customHeight="1">
      <c r="A120" s="33"/>
      <c r="D120" s="7"/>
      <c r="E120" s="7"/>
      <c r="F120" s="7"/>
      <c r="G120" s="7"/>
      <c r="H120" s="7"/>
      <c r="I120" s="7"/>
      <c r="J120" s="32"/>
      <c r="K120" s="7"/>
      <c r="L120" s="7"/>
      <c r="M120" s="7"/>
      <c r="N120" s="7"/>
      <c r="O120" s="7"/>
      <c r="P120" s="7"/>
      <c r="Q120" s="7"/>
      <c r="R120" s="7"/>
    </row>
    <row r="121" ht="15.75" customHeight="1">
      <c r="A121" s="33"/>
      <c r="D121" s="7"/>
      <c r="E121" s="7"/>
      <c r="F121" s="7"/>
      <c r="G121" s="7"/>
      <c r="H121" s="7"/>
      <c r="I121" s="7"/>
      <c r="J121" s="32"/>
      <c r="K121" s="7"/>
      <c r="L121" s="7"/>
      <c r="M121" s="7"/>
      <c r="N121" s="7"/>
      <c r="O121" s="7"/>
      <c r="P121" s="7"/>
      <c r="Q121" s="7"/>
      <c r="R121" s="7"/>
    </row>
    <row r="122" ht="15.75" customHeight="1">
      <c r="A122" s="33"/>
      <c r="D122" s="7"/>
      <c r="E122" s="7"/>
      <c r="F122" s="7"/>
      <c r="G122" s="7"/>
      <c r="H122" s="7"/>
      <c r="I122" s="7"/>
      <c r="J122" s="32"/>
      <c r="K122" s="7"/>
      <c r="L122" s="7"/>
      <c r="M122" s="7"/>
      <c r="N122" s="7"/>
      <c r="O122" s="7"/>
      <c r="P122" s="7"/>
      <c r="Q122" s="7"/>
      <c r="R122" s="7"/>
    </row>
    <row r="123" ht="15.75" customHeight="1">
      <c r="A123" s="33"/>
      <c r="D123" s="7"/>
      <c r="E123" s="7"/>
      <c r="F123" s="7"/>
      <c r="G123" s="7"/>
      <c r="H123" s="7"/>
      <c r="I123" s="7"/>
      <c r="J123" s="32"/>
      <c r="K123" s="7"/>
      <c r="L123" s="7"/>
      <c r="M123" s="7"/>
      <c r="N123" s="7"/>
      <c r="O123" s="7"/>
      <c r="P123" s="7"/>
      <c r="Q123" s="7"/>
      <c r="R123" s="7"/>
    </row>
    <row r="124" ht="15.75" customHeight="1">
      <c r="A124" s="33"/>
      <c r="D124" s="7"/>
      <c r="E124" s="7"/>
      <c r="F124" s="7"/>
      <c r="G124" s="7"/>
      <c r="H124" s="7"/>
      <c r="I124" s="7"/>
      <c r="J124" s="32"/>
      <c r="K124" s="7"/>
      <c r="L124" s="7"/>
      <c r="M124" s="7"/>
      <c r="N124" s="7"/>
      <c r="O124" s="7"/>
      <c r="P124" s="7"/>
      <c r="Q124" s="7"/>
      <c r="R124" s="7"/>
    </row>
    <row r="125" ht="15.75" customHeight="1">
      <c r="A125" s="33"/>
      <c r="D125" s="7"/>
      <c r="E125" s="7"/>
      <c r="F125" s="7"/>
      <c r="G125" s="7"/>
      <c r="H125" s="7"/>
      <c r="I125" s="7"/>
      <c r="J125" s="32"/>
      <c r="K125" s="7"/>
      <c r="L125" s="7"/>
      <c r="M125" s="7"/>
      <c r="N125" s="7"/>
      <c r="O125" s="7"/>
      <c r="P125" s="7"/>
      <c r="Q125" s="7"/>
      <c r="R125" s="7"/>
    </row>
    <row r="126" ht="15.75" customHeight="1">
      <c r="A126" s="33"/>
      <c r="D126" s="7"/>
      <c r="E126" s="7"/>
      <c r="F126" s="7"/>
      <c r="G126" s="7"/>
      <c r="H126" s="7"/>
      <c r="I126" s="7"/>
      <c r="J126" s="32"/>
      <c r="K126" s="7"/>
      <c r="L126" s="7"/>
      <c r="M126" s="7"/>
      <c r="N126" s="7"/>
      <c r="O126" s="7"/>
      <c r="P126" s="7"/>
      <c r="Q126" s="7"/>
      <c r="R126" s="7"/>
    </row>
    <row r="127" ht="15.75" customHeight="1">
      <c r="A127" s="33"/>
      <c r="D127" s="7"/>
      <c r="E127" s="7"/>
      <c r="F127" s="7"/>
      <c r="G127" s="7"/>
      <c r="H127" s="7"/>
      <c r="I127" s="7"/>
      <c r="J127" s="32"/>
      <c r="K127" s="7"/>
      <c r="L127" s="7"/>
      <c r="M127" s="7"/>
      <c r="N127" s="7"/>
      <c r="O127" s="7"/>
      <c r="P127" s="7"/>
      <c r="Q127" s="7"/>
      <c r="R127" s="7"/>
    </row>
    <row r="128" ht="15.75" customHeight="1">
      <c r="A128" s="33"/>
      <c r="D128" s="7"/>
      <c r="E128" s="7"/>
      <c r="F128" s="7"/>
      <c r="G128" s="7"/>
      <c r="H128" s="7"/>
      <c r="I128" s="7"/>
      <c r="J128" s="32"/>
      <c r="K128" s="7"/>
      <c r="L128" s="7"/>
      <c r="M128" s="7"/>
      <c r="N128" s="7"/>
      <c r="O128" s="7"/>
      <c r="P128" s="7"/>
      <c r="Q128" s="7"/>
      <c r="R128" s="7"/>
    </row>
    <row r="129" ht="15.75" customHeight="1">
      <c r="A129" s="33"/>
      <c r="D129" s="7"/>
      <c r="E129" s="7"/>
      <c r="F129" s="7"/>
      <c r="G129" s="7"/>
      <c r="H129" s="7"/>
      <c r="I129" s="7"/>
      <c r="J129" s="32"/>
      <c r="K129" s="7"/>
      <c r="L129" s="7"/>
      <c r="M129" s="7"/>
      <c r="N129" s="7"/>
      <c r="O129" s="7"/>
      <c r="P129" s="7"/>
      <c r="Q129" s="7"/>
      <c r="R129" s="7"/>
    </row>
    <row r="130" ht="15.75" customHeight="1">
      <c r="A130" s="33"/>
      <c r="D130" s="7"/>
      <c r="E130" s="7"/>
      <c r="F130" s="7"/>
      <c r="G130" s="7"/>
      <c r="H130" s="7"/>
      <c r="I130" s="7"/>
      <c r="J130" s="32"/>
      <c r="K130" s="7"/>
      <c r="L130" s="7"/>
      <c r="M130" s="7"/>
      <c r="N130" s="7"/>
      <c r="O130" s="7"/>
      <c r="P130" s="7"/>
      <c r="Q130" s="7"/>
      <c r="R130" s="7"/>
    </row>
    <row r="131" ht="15.75" customHeight="1">
      <c r="A131" s="33"/>
      <c r="D131" s="7"/>
      <c r="E131" s="7"/>
      <c r="F131" s="7"/>
      <c r="G131" s="7"/>
      <c r="H131" s="7"/>
      <c r="I131" s="7"/>
      <c r="J131" s="32"/>
      <c r="K131" s="7"/>
      <c r="L131" s="7"/>
      <c r="M131" s="7"/>
      <c r="N131" s="7"/>
      <c r="O131" s="7"/>
      <c r="P131" s="7"/>
      <c r="Q131" s="7"/>
      <c r="R131" s="7"/>
    </row>
    <row r="132" ht="15.75" customHeight="1">
      <c r="A132" s="33"/>
      <c r="D132" s="7"/>
      <c r="E132" s="7"/>
      <c r="F132" s="7"/>
      <c r="G132" s="7"/>
      <c r="H132" s="7"/>
      <c r="I132" s="7"/>
      <c r="J132" s="32"/>
      <c r="K132" s="7"/>
      <c r="L132" s="7"/>
      <c r="M132" s="7"/>
      <c r="N132" s="7"/>
      <c r="O132" s="7"/>
      <c r="P132" s="7"/>
      <c r="Q132" s="7"/>
      <c r="R132" s="7"/>
    </row>
    <row r="133" ht="15.75" customHeight="1">
      <c r="A133" s="33"/>
      <c r="D133" s="7"/>
      <c r="E133" s="7"/>
      <c r="F133" s="7"/>
      <c r="G133" s="7"/>
      <c r="H133" s="7"/>
      <c r="I133" s="7"/>
      <c r="J133" s="32"/>
      <c r="K133" s="7"/>
      <c r="L133" s="7"/>
      <c r="M133" s="7"/>
      <c r="N133" s="7"/>
      <c r="O133" s="7"/>
      <c r="P133" s="7"/>
      <c r="Q133" s="7"/>
      <c r="R133" s="7"/>
    </row>
    <row r="134" ht="15.75" customHeight="1">
      <c r="A134" s="33"/>
      <c r="D134" s="7"/>
      <c r="E134" s="7"/>
      <c r="F134" s="7"/>
      <c r="G134" s="7"/>
      <c r="H134" s="7"/>
      <c r="I134" s="7"/>
      <c r="J134" s="32"/>
      <c r="K134" s="7"/>
      <c r="L134" s="7"/>
      <c r="M134" s="7"/>
      <c r="N134" s="7"/>
      <c r="O134" s="7"/>
      <c r="P134" s="7"/>
      <c r="Q134" s="7"/>
      <c r="R134" s="7"/>
    </row>
    <row r="135" ht="15.75" customHeight="1">
      <c r="A135" s="33"/>
      <c r="D135" s="7"/>
      <c r="E135" s="7"/>
      <c r="F135" s="7"/>
      <c r="G135" s="7"/>
      <c r="H135" s="7"/>
      <c r="I135" s="7"/>
      <c r="J135" s="32"/>
      <c r="K135" s="7"/>
      <c r="L135" s="7"/>
      <c r="M135" s="7"/>
      <c r="N135" s="7"/>
      <c r="O135" s="7"/>
      <c r="P135" s="7"/>
      <c r="Q135" s="7"/>
      <c r="R135" s="7"/>
    </row>
    <row r="136" ht="15.75" customHeight="1">
      <c r="A136" s="33"/>
      <c r="D136" s="7"/>
      <c r="E136" s="7"/>
      <c r="F136" s="7"/>
      <c r="G136" s="7"/>
      <c r="H136" s="7"/>
      <c r="I136" s="7"/>
      <c r="J136" s="32"/>
      <c r="K136" s="7"/>
      <c r="L136" s="7"/>
      <c r="M136" s="7"/>
      <c r="N136" s="7"/>
      <c r="O136" s="7"/>
      <c r="P136" s="7"/>
      <c r="Q136" s="7"/>
      <c r="R136" s="7"/>
    </row>
    <row r="137" ht="15.75" customHeight="1">
      <c r="A137" s="33"/>
      <c r="D137" s="7"/>
      <c r="E137" s="7"/>
      <c r="F137" s="7"/>
      <c r="G137" s="7"/>
      <c r="H137" s="7"/>
      <c r="I137" s="7"/>
      <c r="J137" s="32"/>
      <c r="K137" s="7"/>
      <c r="L137" s="7"/>
      <c r="M137" s="7"/>
      <c r="N137" s="7"/>
      <c r="O137" s="7"/>
      <c r="P137" s="7"/>
      <c r="Q137" s="7"/>
      <c r="R137" s="7"/>
    </row>
    <row r="138" ht="15.75" customHeight="1">
      <c r="A138" s="33"/>
      <c r="D138" s="7"/>
      <c r="E138" s="7"/>
      <c r="F138" s="7"/>
      <c r="G138" s="7"/>
      <c r="H138" s="7"/>
      <c r="I138" s="7"/>
      <c r="J138" s="32"/>
      <c r="K138" s="7"/>
      <c r="L138" s="7"/>
      <c r="M138" s="7"/>
      <c r="N138" s="7"/>
      <c r="O138" s="7"/>
      <c r="P138" s="7"/>
      <c r="Q138" s="7"/>
      <c r="R138" s="7"/>
    </row>
    <row r="139" ht="15.75" customHeight="1">
      <c r="A139" s="33"/>
      <c r="D139" s="7"/>
      <c r="E139" s="7"/>
      <c r="F139" s="7"/>
      <c r="G139" s="7"/>
      <c r="H139" s="7"/>
      <c r="I139" s="7"/>
      <c r="J139" s="32"/>
      <c r="K139" s="7"/>
      <c r="L139" s="7"/>
      <c r="M139" s="7"/>
      <c r="N139" s="7"/>
      <c r="O139" s="7"/>
      <c r="P139" s="7"/>
      <c r="Q139" s="7"/>
      <c r="R139" s="7"/>
    </row>
    <row r="140" ht="15.75" customHeight="1">
      <c r="A140" s="33"/>
      <c r="D140" s="7"/>
      <c r="E140" s="7"/>
      <c r="F140" s="7"/>
      <c r="G140" s="7"/>
      <c r="H140" s="7"/>
      <c r="I140" s="7"/>
      <c r="J140" s="32"/>
      <c r="K140" s="7"/>
      <c r="L140" s="7"/>
      <c r="M140" s="7"/>
      <c r="N140" s="7"/>
      <c r="O140" s="7"/>
      <c r="P140" s="7"/>
      <c r="Q140" s="7"/>
      <c r="R140" s="7"/>
    </row>
    <row r="141" ht="15.75" customHeight="1">
      <c r="A141" s="33"/>
      <c r="D141" s="7"/>
      <c r="E141" s="7"/>
      <c r="F141" s="7"/>
      <c r="G141" s="7"/>
      <c r="H141" s="7"/>
      <c r="I141" s="7"/>
      <c r="J141" s="32"/>
      <c r="K141" s="7"/>
      <c r="L141" s="7"/>
      <c r="M141" s="7"/>
      <c r="N141" s="7"/>
      <c r="O141" s="7"/>
      <c r="P141" s="7"/>
      <c r="Q141" s="7"/>
      <c r="R141" s="7"/>
    </row>
    <row r="142" ht="15.75" customHeight="1">
      <c r="A142" s="33"/>
      <c r="D142" s="7"/>
      <c r="E142" s="7"/>
      <c r="F142" s="7"/>
      <c r="G142" s="7"/>
      <c r="H142" s="7"/>
      <c r="I142" s="7"/>
      <c r="J142" s="32"/>
      <c r="K142" s="7"/>
      <c r="L142" s="7"/>
      <c r="M142" s="7"/>
      <c r="N142" s="7"/>
      <c r="O142" s="7"/>
      <c r="P142" s="7"/>
      <c r="Q142" s="7"/>
      <c r="R142" s="7"/>
    </row>
    <row r="143" ht="15.75" customHeight="1">
      <c r="A143" s="33"/>
      <c r="D143" s="7"/>
      <c r="E143" s="7"/>
      <c r="F143" s="7"/>
      <c r="G143" s="7"/>
      <c r="H143" s="7"/>
      <c r="I143" s="7"/>
      <c r="J143" s="32"/>
      <c r="K143" s="7"/>
      <c r="L143" s="7"/>
      <c r="M143" s="7"/>
      <c r="N143" s="7"/>
      <c r="O143" s="7"/>
      <c r="P143" s="7"/>
      <c r="Q143" s="7"/>
      <c r="R143" s="7"/>
    </row>
    <row r="144" ht="15.75" customHeight="1">
      <c r="A144" s="33"/>
      <c r="D144" s="7"/>
      <c r="E144" s="7"/>
      <c r="F144" s="7"/>
      <c r="G144" s="7"/>
      <c r="H144" s="7"/>
      <c r="I144" s="7"/>
      <c r="J144" s="32"/>
      <c r="K144" s="7"/>
      <c r="L144" s="7"/>
      <c r="M144" s="7"/>
      <c r="N144" s="7"/>
      <c r="O144" s="7"/>
      <c r="P144" s="7"/>
      <c r="Q144" s="7"/>
      <c r="R144" s="7"/>
    </row>
    <row r="145" ht="15.75" customHeight="1">
      <c r="A145" s="33"/>
      <c r="D145" s="7"/>
      <c r="E145" s="7"/>
      <c r="F145" s="7"/>
      <c r="G145" s="7"/>
      <c r="H145" s="7"/>
      <c r="I145" s="7"/>
      <c r="J145" s="32"/>
      <c r="K145" s="7"/>
      <c r="L145" s="7"/>
      <c r="M145" s="7"/>
      <c r="N145" s="7"/>
      <c r="O145" s="7"/>
      <c r="P145" s="7"/>
      <c r="Q145" s="7"/>
      <c r="R145" s="7"/>
    </row>
    <row r="146" ht="15.75" customHeight="1">
      <c r="A146" s="33"/>
      <c r="D146" s="7"/>
      <c r="E146" s="7"/>
      <c r="F146" s="7"/>
      <c r="G146" s="7"/>
      <c r="H146" s="7"/>
      <c r="I146" s="7"/>
      <c r="J146" s="32"/>
      <c r="K146" s="7"/>
      <c r="L146" s="7"/>
      <c r="M146" s="7"/>
      <c r="N146" s="7"/>
      <c r="O146" s="7"/>
      <c r="P146" s="7"/>
      <c r="Q146" s="7"/>
      <c r="R146" s="7"/>
    </row>
    <row r="147" ht="15.75" customHeight="1">
      <c r="A147" s="33"/>
      <c r="D147" s="7"/>
      <c r="E147" s="7"/>
      <c r="F147" s="7"/>
      <c r="G147" s="7"/>
      <c r="H147" s="7"/>
      <c r="I147" s="7"/>
      <c r="J147" s="32"/>
      <c r="K147" s="7"/>
      <c r="L147" s="7"/>
      <c r="M147" s="7"/>
      <c r="N147" s="7"/>
      <c r="O147" s="7"/>
      <c r="P147" s="7"/>
      <c r="Q147" s="7"/>
      <c r="R147" s="7"/>
    </row>
    <row r="148" ht="15.75" customHeight="1">
      <c r="A148" s="33"/>
      <c r="D148" s="7"/>
      <c r="E148" s="7"/>
      <c r="F148" s="7"/>
      <c r="G148" s="7"/>
      <c r="H148" s="7"/>
      <c r="I148" s="7"/>
      <c r="J148" s="32"/>
      <c r="K148" s="7"/>
      <c r="L148" s="7"/>
      <c r="M148" s="7"/>
      <c r="N148" s="7"/>
      <c r="O148" s="7"/>
      <c r="P148" s="7"/>
      <c r="Q148" s="7"/>
      <c r="R148" s="7"/>
    </row>
    <row r="149" ht="15.75" customHeight="1">
      <c r="A149" s="33"/>
      <c r="D149" s="7"/>
      <c r="E149" s="7"/>
      <c r="F149" s="7"/>
      <c r="G149" s="7"/>
      <c r="H149" s="7"/>
      <c r="I149" s="7"/>
      <c r="J149" s="32"/>
      <c r="K149" s="7"/>
      <c r="L149" s="7"/>
      <c r="M149" s="7"/>
      <c r="N149" s="7"/>
      <c r="O149" s="7"/>
      <c r="P149" s="7"/>
      <c r="Q149" s="7"/>
      <c r="R149" s="7"/>
    </row>
    <row r="150" ht="15.75" customHeight="1">
      <c r="A150" s="33"/>
      <c r="D150" s="7"/>
      <c r="E150" s="7"/>
      <c r="F150" s="7"/>
      <c r="G150" s="7"/>
      <c r="H150" s="7"/>
      <c r="I150" s="7"/>
      <c r="J150" s="32"/>
      <c r="K150" s="7"/>
      <c r="L150" s="7"/>
      <c r="M150" s="7"/>
      <c r="N150" s="7"/>
      <c r="O150" s="7"/>
      <c r="P150" s="7"/>
      <c r="Q150" s="7"/>
      <c r="R150" s="7"/>
    </row>
    <row r="151" ht="15.75" customHeight="1">
      <c r="A151" s="33"/>
      <c r="D151" s="7"/>
      <c r="E151" s="7"/>
      <c r="F151" s="7"/>
      <c r="G151" s="7"/>
      <c r="H151" s="7"/>
      <c r="I151" s="7"/>
      <c r="J151" s="32"/>
      <c r="K151" s="7"/>
      <c r="L151" s="7"/>
      <c r="M151" s="7"/>
      <c r="N151" s="7"/>
      <c r="O151" s="7"/>
      <c r="P151" s="7"/>
      <c r="Q151" s="7"/>
      <c r="R151" s="7"/>
    </row>
    <row r="152" ht="15.75" customHeight="1">
      <c r="A152" s="33"/>
      <c r="D152" s="7"/>
      <c r="E152" s="7"/>
      <c r="F152" s="7"/>
      <c r="G152" s="7"/>
      <c r="H152" s="7"/>
      <c r="I152" s="7"/>
      <c r="J152" s="32"/>
      <c r="K152" s="7"/>
      <c r="L152" s="7"/>
      <c r="M152" s="7"/>
      <c r="N152" s="7"/>
      <c r="O152" s="7"/>
      <c r="P152" s="7"/>
      <c r="Q152" s="7"/>
      <c r="R152" s="7"/>
    </row>
    <row r="153" ht="15.75" customHeight="1">
      <c r="A153" s="33"/>
      <c r="D153" s="7"/>
      <c r="E153" s="7"/>
      <c r="F153" s="7"/>
      <c r="G153" s="7"/>
      <c r="H153" s="7"/>
      <c r="I153" s="7"/>
      <c r="J153" s="32"/>
      <c r="K153" s="7"/>
      <c r="L153" s="7"/>
      <c r="M153" s="7"/>
      <c r="N153" s="7"/>
      <c r="O153" s="7"/>
      <c r="P153" s="7"/>
      <c r="Q153" s="7"/>
      <c r="R153" s="7"/>
    </row>
    <row r="154" ht="15.75" customHeight="1">
      <c r="A154" s="33"/>
      <c r="D154" s="7"/>
      <c r="E154" s="7"/>
      <c r="F154" s="7"/>
      <c r="G154" s="7"/>
      <c r="H154" s="7"/>
      <c r="I154" s="7"/>
      <c r="J154" s="32"/>
      <c r="K154" s="7"/>
      <c r="L154" s="7"/>
      <c r="M154" s="7"/>
      <c r="N154" s="7"/>
      <c r="O154" s="7"/>
      <c r="P154" s="7"/>
      <c r="Q154" s="7"/>
      <c r="R154" s="7"/>
    </row>
    <row r="155" ht="15.75" customHeight="1">
      <c r="A155" s="33"/>
      <c r="D155" s="7"/>
      <c r="E155" s="7"/>
      <c r="F155" s="7"/>
      <c r="G155" s="7"/>
      <c r="H155" s="7"/>
      <c r="I155" s="7"/>
      <c r="J155" s="32"/>
      <c r="K155" s="7"/>
      <c r="L155" s="7"/>
      <c r="M155" s="7"/>
      <c r="N155" s="7"/>
      <c r="O155" s="7"/>
      <c r="P155" s="7"/>
      <c r="Q155" s="7"/>
      <c r="R155" s="7"/>
    </row>
    <row r="156" ht="15.75" customHeight="1">
      <c r="A156" s="33"/>
      <c r="D156" s="7"/>
      <c r="E156" s="7"/>
      <c r="F156" s="7"/>
      <c r="G156" s="7"/>
      <c r="H156" s="7"/>
      <c r="I156" s="7"/>
      <c r="J156" s="32"/>
      <c r="K156" s="7"/>
      <c r="L156" s="7"/>
      <c r="M156" s="7"/>
      <c r="N156" s="7"/>
      <c r="O156" s="7"/>
      <c r="P156" s="7"/>
      <c r="Q156" s="7"/>
      <c r="R156" s="7"/>
    </row>
    <row r="157" ht="15.75" customHeight="1">
      <c r="A157" s="33"/>
      <c r="D157" s="7"/>
      <c r="E157" s="7"/>
      <c r="F157" s="7"/>
      <c r="G157" s="7"/>
      <c r="H157" s="7"/>
      <c r="I157" s="7"/>
      <c r="J157" s="32"/>
      <c r="K157" s="7"/>
      <c r="L157" s="7"/>
      <c r="M157" s="7"/>
      <c r="N157" s="7"/>
      <c r="O157" s="7"/>
      <c r="P157" s="7"/>
      <c r="Q157" s="7"/>
      <c r="R157" s="7"/>
    </row>
    <row r="158" ht="15.75" customHeight="1">
      <c r="A158" s="33"/>
      <c r="D158" s="7"/>
      <c r="E158" s="7"/>
      <c r="F158" s="7"/>
      <c r="G158" s="7"/>
      <c r="H158" s="7"/>
      <c r="I158" s="7"/>
      <c r="J158" s="32"/>
      <c r="K158" s="7"/>
      <c r="L158" s="7"/>
      <c r="M158" s="7"/>
      <c r="N158" s="7"/>
      <c r="O158" s="7"/>
      <c r="P158" s="7"/>
      <c r="Q158" s="7"/>
      <c r="R158" s="7"/>
    </row>
    <row r="159" ht="15.75" customHeight="1">
      <c r="A159" s="33"/>
      <c r="D159" s="7"/>
      <c r="E159" s="7"/>
      <c r="F159" s="7"/>
      <c r="G159" s="7"/>
      <c r="H159" s="7"/>
      <c r="I159" s="7"/>
      <c r="J159" s="32"/>
      <c r="K159" s="7"/>
      <c r="L159" s="7"/>
      <c r="M159" s="7"/>
      <c r="N159" s="7"/>
      <c r="O159" s="7"/>
      <c r="P159" s="7"/>
      <c r="Q159" s="7"/>
      <c r="R159" s="7"/>
    </row>
    <row r="160" ht="15.75" customHeight="1">
      <c r="A160" s="33"/>
      <c r="D160" s="7"/>
      <c r="E160" s="7"/>
      <c r="F160" s="7"/>
      <c r="G160" s="7"/>
      <c r="H160" s="7"/>
      <c r="I160" s="7"/>
      <c r="J160" s="32"/>
      <c r="K160" s="7"/>
      <c r="L160" s="7"/>
      <c r="M160" s="7"/>
      <c r="N160" s="7"/>
      <c r="O160" s="7"/>
      <c r="P160" s="7"/>
      <c r="Q160" s="7"/>
      <c r="R160" s="7"/>
    </row>
    <row r="161" ht="15.75" customHeight="1">
      <c r="A161" s="33"/>
      <c r="D161" s="7"/>
      <c r="E161" s="7"/>
      <c r="F161" s="7"/>
      <c r="G161" s="7"/>
      <c r="H161" s="7"/>
      <c r="I161" s="7"/>
      <c r="J161" s="32"/>
      <c r="K161" s="7"/>
      <c r="L161" s="7"/>
      <c r="M161" s="7"/>
      <c r="N161" s="7"/>
      <c r="O161" s="7"/>
      <c r="P161" s="7"/>
      <c r="Q161" s="7"/>
      <c r="R161" s="7"/>
    </row>
    <row r="162" ht="15.75" customHeight="1">
      <c r="A162" s="33"/>
      <c r="D162" s="7"/>
      <c r="E162" s="7"/>
      <c r="F162" s="7"/>
      <c r="G162" s="7"/>
      <c r="H162" s="7"/>
      <c r="I162" s="7"/>
      <c r="J162" s="32"/>
      <c r="K162" s="7"/>
      <c r="L162" s="7"/>
      <c r="M162" s="7"/>
      <c r="N162" s="7"/>
      <c r="O162" s="7"/>
      <c r="P162" s="7"/>
      <c r="Q162" s="7"/>
      <c r="R162" s="7"/>
    </row>
    <row r="163" ht="15.75" customHeight="1">
      <c r="A163" s="33"/>
      <c r="D163" s="7"/>
      <c r="E163" s="7"/>
      <c r="F163" s="7"/>
      <c r="G163" s="7"/>
      <c r="H163" s="7"/>
      <c r="I163" s="7"/>
      <c r="J163" s="32"/>
      <c r="K163" s="7"/>
      <c r="L163" s="7"/>
      <c r="M163" s="7"/>
      <c r="N163" s="7"/>
      <c r="O163" s="7"/>
      <c r="P163" s="7"/>
      <c r="Q163" s="7"/>
      <c r="R163" s="7"/>
    </row>
    <row r="164" ht="15.75" customHeight="1">
      <c r="A164" s="33"/>
      <c r="D164" s="7"/>
      <c r="E164" s="7"/>
      <c r="F164" s="7"/>
      <c r="G164" s="7"/>
      <c r="H164" s="7"/>
      <c r="I164" s="7"/>
      <c r="J164" s="32"/>
      <c r="K164" s="7"/>
      <c r="L164" s="7"/>
      <c r="M164" s="7"/>
      <c r="N164" s="7"/>
      <c r="O164" s="7"/>
      <c r="P164" s="7"/>
      <c r="Q164" s="7"/>
      <c r="R164" s="7"/>
    </row>
    <row r="165" ht="15.75" customHeight="1">
      <c r="A165" s="33"/>
      <c r="D165" s="7"/>
      <c r="E165" s="7"/>
      <c r="F165" s="7"/>
      <c r="G165" s="7"/>
      <c r="H165" s="7"/>
      <c r="I165" s="7"/>
      <c r="J165" s="32"/>
      <c r="K165" s="7"/>
      <c r="L165" s="7"/>
      <c r="M165" s="7"/>
      <c r="N165" s="7"/>
      <c r="O165" s="7"/>
      <c r="P165" s="7"/>
      <c r="Q165" s="7"/>
      <c r="R165" s="7"/>
    </row>
    <row r="166" ht="15.75" customHeight="1">
      <c r="A166" s="33"/>
      <c r="D166" s="7"/>
      <c r="E166" s="7"/>
      <c r="F166" s="7"/>
      <c r="G166" s="7"/>
      <c r="H166" s="7"/>
      <c r="I166" s="7"/>
      <c r="J166" s="32"/>
      <c r="K166" s="7"/>
      <c r="L166" s="7"/>
      <c r="M166" s="7"/>
      <c r="N166" s="7"/>
      <c r="O166" s="7"/>
      <c r="P166" s="7"/>
      <c r="Q166" s="7"/>
      <c r="R166" s="7"/>
    </row>
    <row r="167" ht="15.75" customHeight="1">
      <c r="A167" s="33"/>
      <c r="D167" s="7"/>
      <c r="E167" s="7"/>
      <c r="F167" s="7"/>
      <c r="G167" s="7"/>
      <c r="H167" s="7"/>
      <c r="I167" s="7"/>
      <c r="J167" s="32"/>
      <c r="K167" s="7"/>
      <c r="L167" s="7"/>
      <c r="M167" s="7"/>
      <c r="N167" s="7"/>
      <c r="O167" s="7"/>
      <c r="P167" s="7"/>
      <c r="Q167" s="7"/>
      <c r="R167" s="7"/>
    </row>
    <row r="168" ht="15.75" customHeight="1">
      <c r="A168" s="33"/>
      <c r="D168" s="7"/>
      <c r="E168" s="7"/>
      <c r="F168" s="7"/>
      <c r="G168" s="7"/>
      <c r="H168" s="7"/>
      <c r="I168" s="7"/>
      <c r="J168" s="32"/>
      <c r="K168" s="7"/>
      <c r="L168" s="7"/>
      <c r="M168" s="7"/>
      <c r="N168" s="7"/>
      <c r="O168" s="7"/>
      <c r="P168" s="7"/>
      <c r="Q168" s="7"/>
      <c r="R168" s="7"/>
    </row>
    <row r="169" ht="15.75" customHeight="1">
      <c r="A169" s="33"/>
      <c r="D169" s="7"/>
      <c r="E169" s="7"/>
      <c r="F169" s="7"/>
      <c r="G169" s="7"/>
      <c r="H169" s="7"/>
      <c r="I169" s="7"/>
      <c r="J169" s="32"/>
      <c r="K169" s="7"/>
      <c r="L169" s="7"/>
      <c r="M169" s="7"/>
      <c r="N169" s="7"/>
      <c r="O169" s="7"/>
      <c r="P169" s="7"/>
      <c r="Q169" s="7"/>
      <c r="R169" s="7"/>
    </row>
    <row r="170" ht="15.75" customHeight="1">
      <c r="A170" s="33"/>
      <c r="D170" s="7"/>
      <c r="E170" s="7"/>
      <c r="F170" s="7"/>
      <c r="G170" s="7"/>
      <c r="H170" s="7"/>
      <c r="I170" s="7"/>
      <c r="J170" s="32"/>
      <c r="K170" s="7"/>
      <c r="L170" s="7"/>
      <c r="M170" s="7"/>
      <c r="N170" s="7"/>
      <c r="O170" s="7"/>
      <c r="P170" s="7"/>
      <c r="Q170" s="7"/>
      <c r="R170" s="7"/>
    </row>
    <row r="171" ht="15.75" customHeight="1">
      <c r="A171" s="33"/>
      <c r="D171" s="7"/>
      <c r="E171" s="7"/>
      <c r="F171" s="7"/>
      <c r="G171" s="7"/>
      <c r="H171" s="7"/>
      <c r="I171" s="7"/>
      <c r="J171" s="32"/>
      <c r="K171" s="7"/>
      <c r="L171" s="7"/>
      <c r="M171" s="7"/>
      <c r="N171" s="7"/>
      <c r="O171" s="7"/>
      <c r="P171" s="7"/>
      <c r="Q171" s="7"/>
      <c r="R171" s="7"/>
    </row>
    <row r="172" ht="15.75" customHeight="1">
      <c r="A172" s="33"/>
      <c r="D172" s="7"/>
      <c r="E172" s="7"/>
      <c r="F172" s="7"/>
      <c r="G172" s="7"/>
      <c r="H172" s="7"/>
      <c r="I172" s="7"/>
      <c r="J172" s="32"/>
      <c r="K172" s="7"/>
      <c r="L172" s="7"/>
      <c r="M172" s="7"/>
      <c r="N172" s="7"/>
      <c r="O172" s="7"/>
      <c r="P172" s="7"/>
      <c r="Q172" s="7"/>
      <c r="R172" s="7"/>
    </row>
    <row r="173" ht="15.75" customHeight="1">
      <c r="A173" s="33"/>
      <c r="D173" s="7"/>
      <c r="E173" s="7"/>
      <c r="F173" s="7"/>
      <c r="G173" s="7"/>
      <c r="H173" s="7"/>
      <c r="I173" s="7"/>
      <c r="J173" s="32"/>
      <c r="K173" s="7"/>
      <c r="L173" s="7"/>
      <c r="M173" s="7"/>
      <c r="N173" s="7"/>
      <c r="O173" s="7"/>
      <c r="P173" s="7"/>
      <c r="Q173" s="7"/>
      <c r="R173" s="7"/>
    </row>
    <row r="174" ht="15.75" customHeight="1">
      <c r="A174" s="33"/>
      <c r="D174" s="7"/>
      <c r="E174" s="7"/>
      <c r="F174" s="7"/>
      <c r="G174" s="7"/>
      <c r="H174" s="7"/>
      <c r="I174" s="7"/>
      <c r="J174" s="32"/>
      <c r="K174" s="7"/>
      <c r="L174" s="7"/>
      <c r="M174" s="7"/>
      <c r="N174" s="7"/>
      <c r="O174" s="7"/>
      <c r="P174" s="7"/>
      <c r="Q174" s="7"/>
      <c r="R174" s="7"/>
    </row>
    <row r="175" ht="15.75" customHeight="1">
      <c r="A175" s="33"/>
      <c r="D175" s="7"/>
      <c r="E175" s="7"/>
      <c r="F175" s="7"/>
      <c r="G175" s="7"/>
      <c r="H175" s="7"/>
      <c r="I175" s="7"/>
      <c r="J175" s="32"/>
      <c r="K175" s="7"/>
      <c r="L175" s="7"/>
      <c r="M175" s="7"/>
      <c r="N175" s="7"/>
      <c r="O175" s="7"/>
      <c r="P175" s="7"/>
      <c r="Q175" s="7"/>
      <c r="R175" s="7"/>
    </row>
    <row r="176" ht="15.75" customHeight="1">
      <c r="A176" s="33"/>
      <c r="D176" s="7"/>
      <c r="E176" s="7"/>
      <c r="F176" s="7"/>
      <c r="G176" s="7"/>
      <c r="H176" s="7"/>
      <c r="I176" s="7"/>
      <c r="J176" s="32"/>
      <c r="K176" s="7"/>
      <c r="L176" s="7"/>
      <c r="M176" s="7"/>
      <c r="N176" s="7"/>
      <c r="O176" s="7"/>
      <c r="P176" s="7"/>
      <c r="Q176" s="7"/>
      <c r="R176" s="7"/>
    </row>
    <row r="177" ht="15.75" customHeight="1">
      <c r="A177" s="33"/>
      <c r="D177" s="7"/>
      <c r="E177" s="7"/>
      <c r="F177" s="7"/>
      <c r="G177" s="7"/>
      <c r="H177" s="7"/>
      <c r="I177" s="7"/>
      <c r="J177" s="32"/>
      <c r="K177" s="7"/>
      <c r="L177" s="7"/>
      <c r="M177" s="7"/>
      <c r="N177" s="7"/>
      <c r="O177" s="7"/>
      <c r="P177" s="7"/>
      <c r="Q177" s="7"/>
      <c r="R177" s="7"/>
    </row>
    <row r="178" ht="15.75" customHeight="1">
      <c r="A178" s="33"/>
      <c r="D178" s="7"/>
      <c r="E178" s="7"/>
      <c r="F178" s="7"/>
      <c r="G178" s="7"/>
      <c r="H178" s="7"/>
      <c r="I178" s="7"/>
      <c r="J178" s="32"/>
      <c r="K178" s="7"/>
      <c r="L178" s="7"/>
      <c r="M178" s="7"/>
      <c r="N178" s="7"/>
      <c r="O178" s="7"/>
      <c r="P178" s="7"/>
      <c r="Q178" s="7"/>
      <c r="R178" s="7"/>
    </row>
    <row r="179" ht="15.75" customHeight="1">
      <c r="A179" s="33"/>
      <c r="D179" s="7"/>
      <c r="E179" s="7"/>
      <c r="F179" s="7"/>
      <c r="G179" s="7"/>
      <c r="H179" s="7"/>
      <c r="I179" s="7"/>
      <c r="J179" s="32"/>
      <c r="K179" s="7"/>
      <c r="L179" s="7"/>
      <c r="M179" s="7"/>
      <c r="N179" s="7"/>
      <c r="O179" s="7"/>
      <c r="P179" s="7"/>
      <c r="Q179" s="7"/>
      <c r="R179" s="7"/>
    </row>
    <row r="180" ht="15.75" customHeight="1">
      <c r="A180" s="33"/>
      <c r="D180" s="7"/>
      <c r="E180" s="7"/>
      <c r="F180" s="7"/>
      <c r="G180" s="7"/>
      <c r="H180" s="7"/>
      <c r="I180" s="7"/>
      <c r="J180" s="32"/>
      <c r="K180" s="7"/>
      <c r="L180" s="7"/>
      <c r="M180" s="7"/>
      <c r="N180" s="7"/>
      <c r="O180" s="7"/>
      <c r="P180" s="7"/>
      <c r="Q180" s="7"/>
      <c r="R180" s="7"/>
    </row>
    <row r="181" ht="15.75" customHeight="1">
      <c r="A181" s="33"/>
      <c r="D181" s="7"/>
      <c r="E181" s="7"/>
      <c r="F181" s="7"/>
      <c r="G181" s="7"/>
      <c r="H181" s="7"/>
      <c r="I181" s="7"/>
      <c r="J181" s="32"/>
      <c r="K181" s="7"/>
      <c r="L181" s="7"/>
      <c r="M181" s="7"/>
      <c r="N181" s="7"/>
      <c r="O181" s="7"/>
      <c r="P181" s="7"/>
      <c r="Q181" s="7"/>
      <c r="R181" s="7"/>
    </row>
    <row r="182" ht="15.75" customHeight="1">
      <c r="A182" s="33"/>
      <c r="D182" s="7"/>
      <c r="E182" s="7"/>
      <c r="F182" s="7"/>
      <c r="G182" s="7"/>
      <c r="H182" s="7"/>
      <c r="I182" s="7"/>
      <c r="J182" s="32"/>
      <c r="K182" s="7"/>
      <c r="L182" s="7"/>
      <c r="M182" s="7"/>
      <c r="N182" s="7"/>
      <c r="O182" s="7"/>
      <c r="P182" s="7"/>
      <c r="Q182" s="7"/>
      <c r="R182" s="7"/>
    </row>
    <row r="183" ht="15.75" customHeight="1">
      <c r="A183" s="33"/>
      <c r="D183" s="7"/>
      <c r="E183" s="7"/>
      <c r="F183" s="7"/>
      <c r="G183" s="7"/>
      <c r="H183" s="7"/>
      <c r="I183" s="7"/>
      <c r="J183" s="32"/>
      <c r="K183" s="7"/>
      <c r="L183" s="7"/>
      <c r="M183" s="7"/>
      <c r="N183" s="7"/>
      <c r="O183" s="7"/>
      <c r="P183" s="7"/>
      <c r="Q183" s="7"/>
      <c r="R183" s="7"/>
    </row>
    <row r="184" ht="15.75" customHeight="1">
      <c r="A184" s="33"/>
      <c r="D184" s="7"/>
      <c r="E184" s="7"/>
      <c r="F184" s="7"/>
      <c r="G184" s="7"/>
      <c r="H184" s="7"/>
      <c r="I184" s="7"/>
      <c r="J184" s="32"/>
      <c r="K184" s="7"/>
      <c r="L184" s="7"/>
      <c r="M184" s="7"/>
      <c r="N184" s="7"/>
      <c r="O184" s="7"/>
      <c r="P184" s="7"/>
      <c r="Q184" s="7"/>
      <c r="R184" s="7"/>
    </row>
    <row r="185" ht="15.75" customHeight="1">
      <c r="A185" s="33"/>
      <c r="D185" s="7"/>
      <c r="E185" s="7"/>
      <c r="F185" s="7"/>
      <c r="G185" s="7"/>
      <c r="H185" s="7"/>
      <c r="I185" s="7"/>
      <c r="J185" s="32"/>
      <c r="K185" s="7"/>
      <c r="L185" s="7"/>
      <c r="M185" s="7"/>
      <c r="N185" s="7"/>
      <c r="O185" s="7"/>
      <c r="P185" s="7"/>
      <c r="Q185" s="7"/>
      <c r="R185" s="7"/>
    </row>
    <row r="186" ht="15.75" customHeight="1">
      <c r="A186" s="33"/>
      <c r="D186" s="7"/>
      <c r="E186" s="7"/>
      <c r="F186" s="7"/>
      <c r="G186" s="7"/>
      <c r="H186" s="7"/>
      <c r="I186" s="7"/>
      <c r="J186" s="32"/>
      <c r="K186" s="7"/>
      <c r="L186" s="7"/>
      <c r="M186" s="7"/>
      <c r="N186" s="7"/>
      <c r="O186" s="7"/>
      <c r="P186" s="7"/>
      <c r="Q186" s="7"/>
      <c r="R186" s="7"/>
    </row>
    <row r="187" ht="15.75" customHeight="1">
      <c r="A187" s="33"/>
      <c r="D187" s="7"/>
      <c r="E187" s="7"/>
      <c r="F187" s="7"/>
      <c r="G187" s="7"/>
      <c r="H187" s="7"/>
      <c r="I187" s="7"/>
      <c r="J187" s="32"/>
      <c r="K187" s="7"/>
      <c r="L187" s="7"/>
      <c r="M187" s="7"/>
      <c r="N187" s="7"/>
      <c r="O187" s="7"/>
      <c r="P187" s="7"/>
      <c r="Q187" s="7"/>
      <c r="R187" s="7"/>
    </row>
    <row r="188" ht="15.75" customHeight="1">
      <c r="A188" s="33"/>
      <c r="D188" s="7"/>
      <c r="E188" s="7"/>
      <c r="F188" s="7"/>
      <c r="G188" s="7"/>
      <c r="H188" s="7"/>
      <c r="I188" s="7"/>
      <c r="J188" s="32"/>
      <c r="K188" s="7"/>
      <c r="L188" s="7"/>
      <c r="M188" s="7"/>
      <c r="N188" s="7"/>
      <c r="O188" s="7"/>
      <c r="P188" s="7"/>
      <c r="Q188" s="7"/>
      <c r="R188" s="7"/>
    </row>
    <row r="189" ht="15.75" customHeight="1">
      <c r="A189" s="33"/>
      <c r="D189" s="7"/>
      <c r="E189" s="7"/>
      <c r="F189" s="7"/>
      <c r="G189" s="7"/>
      <c r="H189" s="7"/>
      <c r="I189" s="7"/>
      <c r="J189" s="32"/>
      <c r="K189" s="7"/>
      <c r="L189" s="7"/>
      <c r="M189" s="7"/>
      <c r="N189" s="7"/>
      <c r="O189" s="7"/>
      <c r="P189" s="7"/>
      <c r="Q189" s="7"/>
      <c r="R189" s="7"/>
    </row>
    <row r="190" ht="15.75" customHeight="1">
      <c r="A190" s="33"/>
      <c r="D190" s="7"/>
      <c r="E190" s="7"/>
      <c r="F190" s="7"/>
      <c r="G190" s="7"/>
      <c r="H190" s="7"/>
      <c r="I190" s="7"/>
      <c r="J190" s="32"/>
      <c r="K190" s="7"/>
      <c r="L190" s="7"/>
      <c r="M190" s="7"/>
      <c r="N190" s="7"/>
      <c r="O190" s="7"/>
      <c r="P190" s="7"/>
      <c r="Q190" s="7"/>
      <c r="R190" s="7"/>
    </row>
    <row r="191" ht="15.75" customHeight="1">
      <c r="A191" s="33"/>
      <c r="D191" s="7"/>
      <c r="E191" s="7"/>
      <c r="F191" s="7"/>
      <c r="G191" s="7"/>
      <c r="H191" s="7"/>
      <c r="I191" s="7"/>
      <c r="J191" s="32"/>
      <c r="K191" s="7"/>
      <c r="L191" s="7"/>
      <c r="M191" s="7"/>
      <c r="N191" s="7"/>
      <c r="O191" s="7"/>
      <c r="P191" s="7"/>
      <c r="Q191" s="7"/>
      <c r="R191" s="7"/>
    </row>
    <row r="192" ht="15.75" customHeight="1">
      <c r="A192" s="33"/>
      <c r="D192" s="7"/>
      <c r="E192" s="7"/>
      <c r="F192" s="7"/>
      <c r="G192" s="7"/>
      <c r="H192" s="7"/>
      <c r="I192" s="7"/>
      <c r="J192" s="32"/>
      <c r="K192" s="7"/>
      <c r="L192" s="7"/>
      <c r="M192" s="7"/>
      <c r="N192" s="7"/>
      <c r="O192" s="7"/>
      <c r="P192" s="7"/>
      <c r="Q192" s="7"/>
      <c r="R192" s="7"/>
    </row>
    <row r="193" ht="15.75" customHeight="1">
      <c r="A193" s="33"/>
      <c r="D193" s="7"/>
      <c r="E193" s="7"/>
      <c r="F193" s="7"/>
      <c r="G193" s="7"/>
      <c r="H193" s="7"/>
      <c r="I193" s="7"/>
      <c r="J193" s="32"/>
      <c r="K193" s="7"/>
      <c r="L193" s="7"/>
      <c r="M193" s="7"/>
      <c r="N193" s="7"/>
      <c r="O193" s="7"/>
      <c r="P193" s="7"/>
      <c r="Q193" s="7"/>
      <c r="R193" s="7"/>
    </row>
    <row r="194" ht="15.75" customHeight="1">
      <c r="A194" s="33"/>
      <c r="D194" s="7"/>
      <c r="E194" s="7"/>
      <c r="F194" s="7"/>
      <c r="G194" s="7"/>
      <c r="H194" s="7"/>
      <c r="I194" s="7"/>
      <c r="J194" s="32"/>
      <c r="K194" s="7"/>
      <c r="L194" s="7"/>
      <c r="M194" s="7"/>
      <c r="N194" s="7"/>
      <c r="O194" s="7"/>
      <c r="P194" s="7"/>
      <c r="Q194" s="7"/>
      <c r="R194" s="7"/>
    </row>
    <row r="195" ht="15.75" customHeight="1">
      <c r="A195" s="33"/>
      <c r="D195" s="7"/>
      <c r="E195" s="7"/>
      <c r="F195" s="7"/>
      <c r="G195" s="7"/>
      <c r="H195" s="7"/>
      <c r="I195" s="7"/>
      <c r="J195" s="32"/>
      <c r="K195" s="7"/>
      <c r="L195" s="7"/>
      <c r="M195" s="7"/>
      <c r="N195" s="7"/>
      <c r="O195" s="7"/>
      <c r="P195" s="7"/>
      <c r="Q195" s="7"/>
      <c r="R195" s="7"/>
    </row>
    <row r="196" ht="15.75" customHeight="1">
      <c r="A196" s="33"/>
      <c r="D196" s="7"/>
      <c r="E196" s="7"/>
      <c r="F196" s="7"/>
      <c r="G196" s="7"/>
      <c r="H196" s="7"/>
      <c r="I196" s="7"/>
      <c r="J196" s="32"/>
      <c r="K196" s="7"/>
      <c r="L196" s="7"/>
      <c r="M196" s="7"/>
      <c r="N196" s="7"/>
      <c r="O196" s="7"/>
      <c r="P196" s="7"/>
      <c r="Q196" s="7"/>
      <c r="R196" s="7"/>
    </row>
    <row r="197" ht="15.75" customHeight="1">
      <c r="A197" s="33"/>
      <c r="D197" s="7"/>
      <c r="E197" s="7"/>
      <c r="F197" s="7"/>
      <c r="G197" s="7"/>
      <c r="H197" s="7"/>
      <c r="I197" s="7"/>
      <c r="J197" s="32"/>
      <c r="K197" s="7"/>
      <c r="L197" s="7"/>
      <c r="M197" s="7"/>
      <c r="N197" s="7"/>
      <c r="O197" s="7"/>
      <c r="P197" s="7"/>
      <c r="Q197" s="7"/>
      <c r="R197" s="7"/>
    </row>
    <row r="198" ht="15.75" customHeight="1">
      <c r="A198" s="33"/>
      <c r="D198" s="7"/>
      <c r="E198" s="7"/>
      <c r="F198" s="7"/>
      <c r="G198" s="7"/>
      <c r="H198" s="7"/>
      <c r="I198" s="7"/>
      <c r="J198" s="32"/>
      <c r="K198" s="7"/>
      <c r="L198" s="7"/>
      <c r="M198" s="7"/>
      <c r="N198" s="7"/>
      <c r="O198" s="7"/>
      <c r="P198" s="7"/>
      <c r="Q198" s="7"/>
      <c r="R198" s="7"/>
    </row>
    <row r="199" ht="15.75" customHeight="1">
      <c r="A199" s="33"/>
      <c r="D199" s="7"/>
      <c r="E199" s="7"/>
      <c r="F199" s="7"/>
      <c r="G199" s="7"/>
      <c r="H199" s="7"/>
      <c r="I199" s="7"/>
      <c r="J199" s="32"/>
      <c r="K199" s="7"/>
      <c r="L199" s="7"/>
      <c r="M199" s="7"/>
      <c r="N199" s="7"/>
      <c r="O199" s="7"/>
      <c r="P199" s="7"/>
      <c r="Q199" s="7"/>
      <c r="R199" s="7"/>
    </row>
    <row r="200" ht="15.75" customHeight="1">
      <c r="A200" s="33"/>
      <c r="D200" s="7"/>
      <c r="E200" s="7"/>
      <c r="F200" s="7"/>
      <c r="G200" s="7"/>
      <c r="H200" s="7"/>
      <c r="I200" s="7"/>
      <c r="J200" s="32"/>
      <c r="K200" s="7"/>
      <c r="L200" s="7"/>
      <c r="M200" s="7"/>
      <c r="N200" s="7"/>
      <c r="O200" s="7"/>
      <c r="P200" s="7"/>
      <c r="Q200" s="7"/>
      <c r="R200" s="7"/>
    </row>
    <row r="201" ht="15.75" customHeight="1">
      <c r="A201" s="33"/>
      <c r="D201" s="7"/>
      <c r="E201" s="7"/>
      <c r="F201" s="7"/>
      <c r="G201" s="7"/>
      <c r="H201" s="7"/>
      <c r="I201" s="7"/>
      <c r="J201" s="32"/>
      <c r="K201" s="7"/>
      <c r="L201" s="7"/>
      <c r="M201" s="7"/>
      <c r="N201" s="7"/>
      <c r="O201" s="7"/>
      <c r="P201" s="7"/>
      <c r="Q201" s="7"/>
      <c r="R201" s="7"/>
    </row>
    <row r="202" ht="15.75" customHeight="1">
      <c r="A202" s="33"/>
      <c r="D202" s="7"/>
      <c r="E202" s="7"/>
      <c r="F202" s="7"/>
      <c r="G202" s="7"/>
      <c r="H202" s="7"/>
      <c r="I202" s="7"/>
      <c r="J202" s="32"/>
      <c r="K202" s="7"/>
      <c r="L202" s="7"/>
      <c r="M202" s="7"/>
      <c r="N202" s="7"/>
      <c r="O202" s="7"/>
      <c r="P202" s="7"/>
      <c r="Q202" s="7"/>
      <c r="R202" s="7"/>
    </row>
    <row r="203" ht="15.75" customHeight="1">
      <c r="A203" s="33"/>
      <c r="D203" s="7"/>
      <c r="E203" s="7"/>
      <c r="F203" s="7"/>
      <c r="G203" s="7"/>
      <c r="H203" s="7"/>
      <c r="I203" s="7"/>
      <c r="J203" s="32"/>
      <c r="K203" s="7"/>
      <c r="L203" s="7"/>
      <c r="M203" s="7"/>
      <c r="N203" s="7"/>
      <c r="O203" s="7"/>
      <c r="P203" s="7"/>
      <c r="Q203" s="7"/>
      <c r="R203" s="7"/>
    </row>
    <row r="204" ht="15.75" customHeight="1">
      <c r="A204" s="33"/>
      <c r="D204" s="7"/>
      <c r="E204" s="7"/>
      <c r="F204" s="7"/>
      <c r="G204" s="7"/>
      <c r="H204" s="7"/>
      <c r="I204" s="7"/>
      <c r="J204" s="32"/>
      <c r="K204" s="7"/>
      <c r="L204" s="7"/>
      <c r="M204" s="7"/>
      <c r="N204" s="7"/>
      <c r="O204" s="7"/>
      <c r="P204" s="7"/>
      <c r="Q204" s="7"/>
      <c r="R204" s="7"/>
    </row>
    <row r="205" ht="15.75" customHeight="1">
      <c r="A205" s="33"/>
      <c r="D205" s="7"/>
      <c r="E205" s="7"/>
      <c r="F205" s="7"/>
      <c r="G205" s="7"/>
      <c r="H205" s="7"/>
      <c r="I205" s="7"/>
      <c r="J205" s="32"/>
      <c r="K205" s="7"/>
      <c r="L205" s="7"/>
      <c r="M205" s="7"/>
      <c r="N205" s="7"/>
      <c r="O205" s="7"/>
      <c r="P205" s="7"/>
      <c r="Q205" s="7"/>
      <c r="R205" s="7"/>
    </row>
    <row r="206" ht="15.75" customHeight="1">
      <c r="A206" s="33"/>
      <c r="D206" s="7"/>
      <c r="E206" s="7"/>
      <c r="F206" s="7"/>
      <c r="G206" s="7"/>
      <c r="H206" s="7"/>
      <c r="I206" s="7"/>
      <c r="J206" s="32"/>
      <c r="K206" s="7"/>
      <c r="L206" s="7"/>
      <c r="M206" s="7"/>
      <c r="N206" s="7"/>
      <c r="O206" s="7"/>
      <c r="P206" s="7"/>
      <c r="Q206" s="7"/>
      <c r="R206" s="7"/>
    </row>
    <row r="207" ht="15.75" customHeight="1">
      <c r="A207" s="33"/>
      <c r="D207" s="7"/>
      <c r="E207" s="7"/>
      <c r="F207" s="7"/>
      <c r="G207" s="7"/>
      <c r="H207" s="7"/>
      <c r="I207" s="7"/>
      <c r="J207" s="32"/>
      <c r="K207" s="7"/>
      <c r="L207" s="7"/>
      <c r="M207" s="7"/>
      <c r="N207" s="7"/>
      <c r="O207" s="7"/>
      <c r="P207" s="7"/>
      <c r="Q207" s="7"/>
      <c r="R207" s="7"/>
    </row>
    <row r="208" ht="15.75" customHeight="1">
      <c r="A208" s="33"/>
      <c r="D208" s="7"/>
      <c r="E208" s="7"/>
      <c r="F208" s="7"/>
      <c r="G208" s="7"/>
      <c r="H208" s="7"/>
      <c r="I208" s="7"/>
      <c r="J208" s="32"/>
      <c r="K208" s="7"/>
      <c r="L208" s="7"/>
      <c r="M208" s="7"/>
      <c r="N208" s="7"/>
      <c r="O208" s="7"/>
      <c r="P208" s="7"/>
      <c r="Q208" s="7"/>
      <c r="R208" s="7"/>
    </row>
    <row r="209" ht="15.75" customHeight="1">
      <c r="A209" s="33"/>
      <c r="D209" s="7"/>
      <c r="E209" s="7"/>
      <c r="F209" s="7"/>
      <c r="G209" s="7"/>
      <c r="H209" s="7"/>
      <c r="I209" s="7"/>
      <c r="J209" s="32"/>
      <c r="K209" s="7"/>
      <c r="L209" s="7"/>
      <c r="M209" s="7"/>
      <c r="N209" s="7"/>
      <c r="O209" s="7"/>
      <c r="P209" s="7"/>
      <c r="Q209" s="7"/>
      <c r="R209" s="7"/>
    </row>
    <row r="210" ht="15.75" customHeight="1">
      <c r="A210" s="33"/>
      <c r="D210" s="7"/>
      <c r="E210" s="7"/>
      <c r="F210" s="7"/>
      <c r="G210" s="7"/>
      <c r="H210" s="7"/>
      <c r="I210" s="7"/>
      <c r="J210" s="32"/>
      <c r="K210" s="7"/>
      <c r="L210" s="7"/>
      <c r="M210" s="7"/>
      <c r="N210" s="7"/>
      <c r="O210" s="7"/>
      <c r="P210" s="7"/>
      <c r="Q210" s="7"/>
      <c r="R210" s="7"/>
    </row>
    <row r="211" ht="15.75" customHeight="1">
      <c r="A211" s="33"/>
      <c r="D211" s="7"/>
      <c r="E211" s="7"/>
      <c r="F211" s="7"/>
      <c r="G211" s="7"/>
      <c r="H211" s="7"/>
      <c r="I211" s="7"/>
      <c r="J211" s="32"/>
      <c r="K211" s="7"/>
      <c r="L211" s="7"/>
      <c r="M211" s="7"/>
      <c r="N211" s="7"/>
      <c r="O211" s="7"/>
      <c r="P211" s="7"/>
      <c r="Q211" s="7"/>
      <c r="R211" s="7"/>
    </row>
    <row r="212" ht="15.75" customHeight="1">
      <c r="A212" s="33"/>
      <c r="D212" s="7"/>
      <c r="E212" s="7"/>
      <c r="F212" s="7"/>
      <c r="G212" s="7"/>
      <c r="H212" s="7"/>
      <c r="I212" s="7"/>
      <c r="J212" s="32"/>
      <c r="K212" s="7"/>
      <c r="L212" s="7"/>
      <c r="M212" s="7"/>
      <c r="N212" s="7"/>
      <c r="O212" s="7"/>
      <c r="P212" s="7"/>
      <c r="Q212" s="7"/>
      <c r="R212" s="7"/>
    </row>
    <row r="213" ht="15.75" customHeight="1">
      <c r="A213" s="33"/>
      <c r="D213" s="7"/>
      <c r="E213" s="7"/>
      <c r="F213" s="7"/>
      <c r="G213" s="7"/>
      <c r="H213" s="7"/>
      <c r="I213" s="7"/>
      <c r="J213" s="32"/>
      <c r="K213" s="7"/>
      <c r="L213" s="7"/>
      <c r="M213" s="7"/>
      <c r="N213" s="7"/>
      <c r="O213" s="7"/>
      <c r="P213" s="7"/>
      <c r="Q213" s="7"/>
      <c r="R213" s="7"/>
    </row>
    <row r="214" ht="15.75" customHeight="1">
      <c r="A214" s="33"/>
      <c r="D214" s="7"/>
      <c r="E214" s="7"/>
      <c r="F214" s="7"/>
      <c r="G214" s="7"/>
      <c r="H214" s="7"/>
      <c r="I214" s="7"/>
      <c r="J214" s="32"/>
      <c r="K214" s="7"/>
      <c r="L214" s="7"/>
      <c r="M214" s="7"/>
      <c r="N214" s="7"/>
      <c r="O214" s="7"/>
      <c r="P214" s="7"/>
      <c r="Q214" s="7"/>
      <c r="R214" s="7"/>
    </row>
    <row r="215" ht="15.75" customHeight="1">
      <c r="A215" s="33"/>
      <c r="D215" s="7"/>
      <c r="E215" s="7"/>
      <c r="F215" s="7"/>
      <c r="G215" s="7"/>
      <c r="H215" s="7"/>
      <c r="I215" s="7"/>
      <c r="J215" s="32"/>
      <c r="K215" s="7"/>
      <c r="L215" s="7"/>
      <c r="M215" s="7"/>
      <c r="N215" s="7"/>
      <c r="O215" s="7"/>
      <c r="P215" s="7"/>
      <c r="Q215" s="7"/>
      <c r="R215" s="7"/>
    </row>
    <row r="216" ht="15.75" customHeight="1">
      <c r="A216" s="33"/>
      <c r="D216" s="7"/>
      <c r="E216" s="7"/>
      <c r="F216" s="7"/>
      <c r="G216" s="7"/>
      <c r="H216" s="7"/>
      <c r="I216" s="7"/>
      <c r="J216" s="32"/>
      <c r="K216" s="7"/>
      <c r="L216" s="7"/>
      <c r="M216" s="7"/>
      <c r="N216" s="7"/>
      <c r="O216" s="7"/>
      <c r="P216" s="7"/>
      <c r="Q216" s="7"/>
      <c r="R216" s="7"/>
    </row>
    <row r="217" ht="15.75" customHeight="1">
      <c r="A217" s="33"/>
      <c r="D217" s="7"/>
      <c r="E217" s="7"/>
      <c r="F217" s="7"/>
      <c r="G217" s="7"/>
      <c r="H217" s="7"/>
      <c r="I217" s="7"/>
      <c r="J217" s="32"/>
      <c r="K217" s="7"/>
      <c r="L217" s="7"/>
      <c r="M217" s="7"/>
      <c r="N217" s="7"/>
      <c r="O217" s="7"/>
      <c r="P217" s="7"/>
      <c r="Q217" s="7"/>
      <c r="R217" s="7"/>
    </row>
    <row r="218" ht="15.75" customHeight="1">
      <c r="A218" s="33"/>
      <c r="D218" s="7"/>
      <c r="E218" s="7"/>
      <c r="F218" s="7"/>
      <c r="G218" s="7"/>
      <c r="H218" s="7"/>
      <c r="I218" s="7"/>
      <c r="J218" s="32"/>
      <c r="K218" s="7"/>
      <c r="L218" s="7"/>
      <c r="M218" s="7"/>
      <c r="N218" s="7"/>
      <c r="O218" s="7"/>
      <c r="P218" s="7"/>
      <c r="Q218" s="7"/>
      <c r="R218" s="7"/>
    </row>
    <row r="219" ht="15.75" customHeight="1">
      <c r="A219" s="33"/>
      <c r="D219" s="7"/>
      <c r="E219" s="7"/>
      <c r="F219" s="7"/>
      <c r="G219" s="7"/>
      <c r="H219" s="7"/>
      <c r="I219" s="7"/>
      <c r="J219" s="32"/>
      <c r="K219" s="7"/>
      <c r="L219" s="7"/>
      <c r="M219" s="7"/>
      <c r="N219" s="7"/>
      <c r="O219" s="7"/>
      <c r="P219" s="7"/>
      <c r="Q219" s="7"/>
      <c r="R219" s="7"/>
    </row>
    <row r="220" ht="15.75" customHeight="1">
      <c r="A220" s="33"/>
      <c r="D220" s="7"/>
      <c r="E220" s="7"/>
      <c r="F220" s="7"/>
      <c r="G220" s="7"/>
      <c r="H220" s="7"/>
      <c r="I220" s="7"/>
      <c r="J220" s="32"/>
      <c r="K220" s="7"/>
      <c r="L220" s="7"/>
      <c r="M220" s="7"/>
      <c r="N220" s="7"/>
      <c r="O220" s="7"/>
      <c r="P220" s="7"/>
      <c r="Q220" s="7"/>
      <c r="R220" s="7"/>
    </row>
    <row r="221" ht="15.75" customHeight="1">
      <c r="A221" s="33"/>
      <c r="D221" s="7"/>
      <c r="E221" s="7"/>
      <c r="F221" s="7"/>
      <c r="G221" s="7"/>
      <c r="H221" s="7"/>
      <c r="I221" s="7"/>
      <c r="J221" s="32"/>
      <c r="K221" s="7"/>
      <c r="L221" s="7"/>
      <c r="M221" s="7"/>
      <c r="N221" s="7"/>
      <c r="O221" s="7"/>
      <c r="P221" s="7"/>
      <c r="Q221" s="7"/>
      <c r="R221" s="7"/>
    </row>
    <row r="222" ht="15.75" customHeight="1">
      <c r="A222" s="33"/>
      <c r="D222" s="7"/>
      <c r="E222" s="7"/>
      <c r="F222" s="7"/>
      <c r="G222" s="7"/>
      <c r="H222" s="7"/>
      <c r="I222" s="7"/>
      <c r="J222" s="32"/>
      <c r="K222" s="7"/>
      <c r="L222" s="7"/>
      <c r="M222" s="7"/>
      <c r="N222" s="7"/>
      <c r="O222" s="7"/>
      <c r="P222" s="7"/>
      <c r="Q222" s="7"/>
      <c r="R222" s="7"/>
    </row>
    <row r="223" ht="15.75" customHeight="1">
      <c r="A223" s="33"/>
      <c r="D223" s="7"/>
      <c r="E223" s="7"/>
      <c r="F223" s="7"/>
      <c r="G223" s="7"/>
      <c r="H223" s="7"/>
      <c r="I223" s="7"/>
      <c r="J223" s="32"/>
      <c r="K223" s="7"/>
      <c r="L223" s="7"/>
      <c r="M223" s="7"/>
      <c r="N223" s="7"/>
      <c r="O223" s="7"/>
      <c r="P223" s="7"/>
      <c r="Q223" s="7"/>
      <c r="R223" s="7"/>
    </row>
    <row r="224" ht="15.75" customHeight="1">
      <c r="A224" s="33"/>
      <c r="D224" s="7"/>
      <c r="E224" s="7"/>
      <c r="F224" s="7"/>
      <c r="G224" s="7"/>
      <c r="H224" s="7"/>
      <c r="I224" s="7"/>
      <c r="J224" s="32"/>
      <c r="K224" s="7"/>
      <c r="L224" s="7"/>
      <c r="M224" s="7"/>
      <c r="N224" s="7"/>
      <c r="O224" s="7"/>
      <c r="P224" s="7"/>
      <c r="Q224" s="7"/>
      <c r="R224" s="7"/>
    </row>
    <row r="225" ht="15.75" customHeight="1">
      <c r="A225" s="33"/>
      <c r="D225" s="7"/>
      <c r="E225" s="7"/>
      <c r="F225" s="7"/>
      <c r="G225" s="7"/>
      <c r="H225" s="7"/>
      <c r="I225" s="7"/>
      <c r="J225" s="32"/>
      <c r="K225" s="7"/>
      <c r="L225" s="7"/>
      <c r="M225" s="7"/>
      <c r="N225" s="7"/>
      <c r="O225" s="7"/>
      <c r="P225" s="7"/>
      <c r="Q225" s="7"/>
      <c r="R225" s="7"/>
    </row>
    <row r="226" ht="15.75" customHeight="1">
      <c r="A226" s="33"/>
      <c r="D226" s="7"/>
      <c r="E226" s="7"/>
      <c r="F226" s="7"/>
      <c r="G226" s="7"/>
      <c r="H226" s="7"/>
      <c r="I226" s="7"/>
      <c r="J226" s="32"/>
      <c r="K226" s="7"/>
      <c r="L226" s="7"/>
      <c r="M226" s="7"/>
      <c r="N226" s="7"/>
      <c r="O226" s="7"/>
      <c r="P226" s="7"/>
      <c r="Q226" s="7"/>
      <c r="R226" s="7"/>
    </row>
    <row r="227" ht="15.75" customHeight="1">
      <c r="A227" s="33"/>
      <c r="D227" s="7"/>
      <c r="E227" s="7"/>
      <c r="F227" s="7"/>
      <c r="G227" s="7"/>
      <c r="H227" s="7"/>
      <c r="I227" s="7"/>
      <c r="J227" s="32"/>
      <c r="K227" s="7"/>
      <c r="L227" s="7"/>
      <c r="M227" s="7"/>
      <c r="N227" s="7"/>
      <c r="O227" s="7"/>
      <c r="P227" s="7"/>
      <c r="Q227" s="7"/>
      <c r="R227" s="7"/>
    </row>
    <row r="228" ht="15.75" customHeight="1">
      <c r="A228" s="33"/>
      <c r="D228" s="7"/>
      <c r="E228" s="7"/>
      <c r="F228" s="7"/>
      <c r="G228" s="7"/>
      <c r="H228" s="7"/>
      <c r="I228" s="7"/>
      <c r="J228" s="32"/>
      <c r="K228" s="7"/>
      <c r="L228" s="7"/>
      <c r="M228" s="7"/>
      <c r="N228" s="7"/>
      <c r="O228" s="7"/>
      <c r="P228" s="7"/>
      <c r="Q228" s="7"/>
      <c r="R228" s="7"/>
    </row>
    <row r="229" ht="15.75" customHeight="1">
      <c r="A229" s="33"/>
      <c r="D229" s="7"/>
      <c r="E229" s="7"/>
      <c r="F229" s="7"/>
      <c r="G229" s="7"/>
      <c r="H229" s="7"/>
      <c r="I229" s="7"/>
      <c r="J229" s="32"/>
      <c r="K229" s="7"/>
      <c r="L229" s="7"/>
      <c r="M229" s="7"/>
      <c r="N229" s="7"/>
      <c r="O229" s="7"/>
      <c r="P229" s="7"/>
      <c r="Q229" s="7"/>
      <c r="R229" s="7"/>
    </row>
    <row r="230" ht="15.75" customHeight="1">
      <c r="A230" s="33"/>
      <c r="D230" s="7"/>
      <c r="E230" s="7"/>
      <c r="F230" s="7"/>
      <c r="G230" s="7"/>
      <c r="H230" s="7"/>
      <c r="I230" s="7"/>
      <c r="J230" s="32"/>
      <c r="K230" s="7"/>
      <c r="L230" s="7"/>
      <c r="M230" s="7"/>
      <c r="N230" s="7"/>
      <c r="O230" s="7"/>
      <c r="P230" s="7"/>
      <c r="Q230" s="7"/>
      <c r="R230" s="7"/>
    </row>
    <row r="231" ht="15.75" customHeight="1">
      <c r="A231" s="33"/>
      <c r="D231" s="7"/>
      <c r="E231" s="7"/>
      <c r="F231" s="7"/>
      <c r="G231" s="7"/>
      <c r="H231" s="7"/>
      <c r="I231" s="7"/>
      <c r="J231" s="32"/>
      <c r="K231" s="7"/>
      <c r="L231" s="7"/>
      <c r="M231" s="7"/>
      <c r="N231" s="7"/>
      <c r="O231" s="7"/>
      <c r="P231" s="7"/>
      <c r="Q231" s="7"/>
      <c r="R231" s="7"/>
    </row>
    <row r="232" ht="15.75" customHeight="1">
      <c r="A232" s="33"/>
      <c r="D232" s="7"/>
      <c r="E232" s="7"/>
      <c r="F232" s="7"/>
      <c r="G232" s="7"/>
      <c r="H232" s="7"/>
      <c r="I232" s="7"/>
      <c r="J232" s="32"/>
      <c r="K232" s="7"/>
      <c r="L232" s="7"/>
      <c r="M232" s="7"/>
      <c r="N232" s="7"/>
      <c r="O232" s="7"/>
      <c r="P232" s="7"/>
      <c r="Q232" s="7"/>
      <c r="R232" s="7"/>
    </row>
    <row r="233" ht="15.75" customHeight="1">
      <c r="A233" s="33"/>
      <c r="D233" s="7"/>
      <c r="E233" s="7"/>
      <c r="F233" s="7"/>
      <c r="G233" s="7"/>
      <c r="H233" s="7"/>
      <c r="I233" s="7"/>
      <c r="J233" s="32"/>
      <c r="K233" s="7"/>
      <c r="L233" s="7"/>
      <c r="M233" s="7"/>
      <c r="N233" s="7"/>
      <c r="O233" s="7"/>
      <c r="P233" s="7"/>
      <c r="Q233" s="7"/>
      <c r="R233" s="7"/>
    </row>
    <row r="234" ht="15.75" customHeight="1">
      <c r="A234" s="33"/>
      <c r="D234" s="7"/>
      <c r="E234" s="7"/>
      <c r="F234" s="7"/>
      <c r="G234" s="7"/>
      <c r="H234" s="7"/>
      <c r="I234" s="7"/>
      <c r="J234" s="32"/>
      <c r="K234" s="7"/>
      <c r="L234" s="7"/>
      <c r="M234" s="7"/>
      <c r="N234" s="7"/>
      <c r="O234" s="7"/>
      <c r="P234" s="7"/>
      <c r="Q234" s="7"/>
      <c r="R234" s="7"/>
    </row>
    <row r="235" ht="15.75" customHeight="1">
      <c r="A235" s="33"/>
      <c r="D235" s="7"/>
      <c r="E235" s="7"/>
      <c r="F235" s="7"/>
      <c r="G235" s="7"/>
      <c r="H235" s="7"/>
      <c r="I235" s="7"/>
      <c r="J235" s="32"/>
      <c r="K235" s="7"/>
      <c r="L235" s="7"/>
      <c r="M235" s="7"/>
      <c r="N235" s="7"/>
      <c r="O235" s="7"/>
      <c r="P235" s="7"/>
      <c r="Q235" s="7"/>
      <c r="R235" s="7"/>
    </row>
    <row r="236" ht="15.75" customHeight="1">
      <c r="A236" s="33"/>
      <c r="D236" s="7"/>
      <c r="E236" s="7"/>
      <c r="F236" s="7"/>
      <c r="G236" s="7"/>
      <c r="H236" s="7"/>
      <c r="I236" s="7"/>
      <c r="J236" s="32"/>
      <c r="K236" s="7"/>
      <c r="L236" s="7"/>
      <c r="M236" s="7"/>
      <c r="N236" s="7"/>
      <c r="O236" s="7"/>
      <c r="P236" s="7"/>
      <c r="Q236" s="7"/>
      <c r="R236" s="7"/>
    </row>
    <row r="237" ht="15.75" customHeight="1">
      <c r="A237" s="33"/>
      <c r="D237" s="7"/>
      <c r="E237" s="7"/>
      <c r="F237" s="7"/>
      <c r="G237" s="7"/>
      <c r="H237" s="7"/>
      <c r="I237" s="7"/>
      <c r="J237" s="32"/>
      <c r="K237" s="7"/>
      <c r="L237" s="7"/>
      <c r="M237" s="7"/>
      <c r="N237" s="7"/>
      <c r="O237" s="7"/>
      <c r="P237" s="7"/>
      <c r="Q237" s="7"/>
      <c r="R237" s="7"/>
    </row>
    <row r="238" ht="15.75" customHeight="1">
      <c r="A238" s="33"/>
      <c r="D238" s="7"/>
      <c r="E238" s="7"/>
      <c r="F238" s="7"/>
      <c r="G238" s="7"/>
      <c r="H238" s="7"/>
      <c r="I238" s="7"/>
      <c r="J238" s="32"/>
      <c r="K238" s="7"/>
      <c r="L238" s="7"/>
      <c r="M238" s="7"/>
      <c r="N238" s="7"/>
      <c r="O238" s="7"/>
      <c r="P238" s="7"/>
      <c r="Q238" s="7"/>
      <c r="R238" s="7"/>
    </row>
    <row r="239" ht="15.75" customHeight="1">
      <c r="A239" s="33"/>
      <c r="D239" s="7"/>
      <c r="E239" s="7"/>
      <c r="F239" s="7"/>
      <c r="G239" s="7"/>
      <c r="H239" s="7"/>
      <c r="I239" s="7"/>
      <c r="J239" s="32"/>
      <c r="K239" s="7"/>
      <c r="L239" s="7"/>
      <c r="M239" s="7"/>
      <c r="N239" s="7"/>
      <c r="O239" s="7"/>
      <c r="P239" s="7"/>
      <c r="Q239" s="7"/>
      <c r="R239" s="7"/>
    </row>
    <row r="240" ht="15.75" customHeight="1">
      <c r="A240" s="33"/>
      <c r="D240" s="7"/>
      <c r="E240" s="7"/>
      <c r="F240" s="7"/>
      <c r="G240" s="7"/>
      <c r="H240" s="7"/>
      <c r="I240" s="7"/>
      <c r="J240" s="32"/>
      <c r="K240" s="7"/>
      <c r="L240" s="7"/>
      <c r="M240" s="7"/>
      <c r="N240" s="7"/>
      <c r="O240" s="7"/>
      <c r="P240" s="7"/>
      <c r="Q240" s="7"/>
      <c r="R240" s="7"/>
    </row>
    <row r="241" ht="15.75" customHeight="1">
      <c r="A241" s="33"/>
      <c r="D241" s="7"/>
      <c r="E241" s="7"/>
      <c r="F241" s="7"/>
      <c r="G241" s="7"/>
      <c r="H241" s="7"/>
      <c r="I241" s="7"/>
      <c r="J241" s="32"/>
      <c r="K241" s="7"/>
      <c r="L241" s="7"/>
      <c r="M241" s="7"/>
      <c r="N241" s="7"/>
      <c r="O241" s="7"/>
      <c r="P241" s="7"/>
      <c r="Q241" s="7"/>
      <c r="R241" s="7"/>
    </row>
    <row r="242" ht="15.75" customHeight="1">
      <c r="A242" s="33"/>
      <c r="D242" s="7"/>
      <c r="E242" s="7"/>
      <c r="F242" s="7"/>
      <c r="G242" s="7"/>
      <c r="H242" s="7"/>
      <c r="I242" s="7"/>
      <c r="J242" s="32"/>
      <c r="K242" s="7"/>
      <c r="L242" s="7"/>
      <c r="M242" s="7"/>
      <c r="N242" s="7"/>
      <c r="O242" s="7"/>
      <c r="P242" s="7"/>
      <c r="Q242" s="7"/>
      <c r="R242" s="7"/>
    </row>
    <row r="243" ht="15.75" customHeight="1">
      <c r="A243" s="33"/>
      <c r="D243" s="7"/>
      <c r="E243" s="7"/>
      <c r="F243" s="7"/>
      <c r="G243" s="7"/>
      <c r="H243" s="7"/>
      <c r="I243" s="7"/>
      <c r="J243" s="32"/>
      <c r="K243" s="7"/>
      <c r="L243" s="7"/>
      <c r="M243" s="7"/>
      <c r="N243" s="7"/>
      <c r="O243" s="7"/>
      <c r="P243" s="7"/>
      <c r="Q243" s="7"/>
      <c r="R243" s="7"/>
    </row>
    <row r="244" ht="15.75" customHeight="1">
      <c r="A244" s="33"/>
      <c r="D244" s="7"/>
      <c r="E244" s="7"/>
      <c r="F244" s="7"/>
      <c r="G244" s="7"/>
      <c r="H244" s="7"/>
      <c r="I244" s="7"/>
      <c r="J244" s="32"/>
      <c r="K244" s="7"/>
      <c r="L244" s="7"/>
      <c r="M244" s="7"/>
      <c r="N244" s="7"/>
      <c r="O244" s="7"/>
      <c r="P244" s="7"/>
      <c r="Q244" s="7"/>
      <c r="R244" s="7"/>
    </row>
    <row r="245" ht="15.75" customHeight="1">
      <c r="A245" s="33"/>
      <c r="D245" s="7"/>
      <c r="E245" s="7"/>
      <c r="F245" s="7"/>
      <c r="G245" s="7"/>
      <c r="H245" s="7"/>
      <c r="I245" s="7"/>
      <c r="J245" s="32"/>
      <c r="K245" s="7"/>
      <c r="L245" s="7"/>
      <c r="M245" s="7"/>
      <c r="N245" s="7"/>
      <c r="O245" s="7"/>
      <c r="P245" s="7"/>
      <c r="Q245" s="7"/>
      <c r="R245" s="7"/>
    </row>
    <row r="246" ht="15.75" customHeight="1">
      <c r="A246" s="33"/>
      <c r="D246" s="7"/>
      <c r="E246" s="7"/>
      <c r="F246" s="7"/>
      <c r="G246" s="7"/>
      <c r="H246" s="7"/>
      <c r="I246" s="7"/>
      <c r="J246" s="32"/>
      <c r="K246" s="7"/>
      <c r="L246" s="7"/>
      <c r="M246" s="7"/>
      <c r="N246" s="7"/>
      <c r="O246" s="7"/>
      <c r="P246" s="7"/>
      <c r="Q246" s="7"/>
      <c r="R246" s="7"/>
    </row>
    <row r="247" ht="15.75" customHeight="1">
      <c r="A247" s="33"/>
      <c r="D247" s="7"/>
      <c r="E247" s="7"/>
      <c r="F247" s="7"/>
      <c r="G247" s="7"/>
      <c r="H247" s="7"/>
      <c r="I247" s="7"/>
      <c r="J247" s="32"/>
      <c r="K247" s="7"/>
      <c r="L247" s="7"/>
      <c r="M247" s="7"/>
      <c r="N247" s="7"/>
      <c r="O247" s="7"/>
      <c r="P247" s="7"/>
      <c r="Q247" s="7"/>
      <c r="R247" s="7"/>
    </row>
    <row r="248" ht="15.75" customHeight="1">
      <c r="A248" s="33"/>
      <c r="D248" s="7"/>
      <c r="E248" s="7"/>
      <c r="F248" s="7"/>
      <c r="G248" s="7"/>
      <c r="H248" s="7"/>
      <c r="I248" s="7"/>
      <c r="J248" s="32"/>
      <c r="K248" s="7"/>
      <c r="L248" s="7"/>
      <c r="M248" s="7"/>
      <c r="N248" s="7"/>
      <c r="O248" s="7"/>
      <c r="P248" s="7"/>
      <c r="Q248" s="7"/>
      <c r="R248" s="7"/>
    </row>
    <row r="249" ht="15.75" customHeight="1">
      <c r="A249" s="33"/>
      <c r="D249" s="7"/>
      <c r="E249" s="7"/>
      <c r="F249" s="7"/>
      <c r="G249" s="7"/>
      <c r="H249" s="7"/>
      <c r="I249" s="7"/>
      <c r="J249" s="32"/>
      <c r="K249" s="7"/>
      <c r="L249" s="7"/>
      <c r="M249" s="7"/>
      <c r="N249" s="7"/>
      <c r="O249" s="7"/>
      <c r="P249" s="7"/>
      <c r="Q249" s="7"/>
      <c r="R249" s="7"/>
    </row>
    <row r="250" ht="15.75" customHeight="1">
      <c r="A250" s="33"/>
      <c r="D250" s="7"/>
      <c r="E250" s="7"/>
      <c r="F250" s="7"/>
      <c r="G250" s="7"/>
      <c r="H250" s="7"/>
      <c r="I250" s="7"/>
      <c r="J250" s="32"/>
      <c r="K250" s="7"/>
      <c r="L250" s="7"/>
      <c r="M250" s="7"/>
      <c r="N250" s="7"/>
      <c r="O250" s="7"/>
      <c r="P250" s="7"/>
      <c r="Q250" s="7"/>
      <c r="R250" s="7"/>
    </row>
    <row r="251" ht="15.75" customHeight="1">
      <c r="A251" s="33"/>
      <c r="D251" s="7"/>
      <c r="E251" s="7"/>
      <c r="F251" s="7"/>
      <c r="G251" s="7"/>
      <c r="H251" s="7"/>
      <c r="I251" s="7"/>
      <c r="J251" s="32"/>
      <c r="K251" s="7"/>
      <c r="L251" s="7"/>
      <c r="M251" s="7"/>
      <c r="N251" s="7"/>
      <c r="O251" s="7"/>
      <c r="P251" s="7"/>
      <c r="Q251" s="7"/>
      <c r="R251" s="7"/>
    </row>
    <row r="252" ht="15.75" customHeight="1">
      <c r="A252" s="33"/>
      <c r="D252" s="7"/>
      <c r="E252" s="7"/>
      <c r="F252" s="7"/>
      <c r="G252" s="7"/>
      <c r="H252" s="7"/>
      <c r="I252" s="7"/>
      <c r="J252" s="32"/>
      <c r="K252" s="7"/>
      <c r="L252" s="7"/>
      <c r="M252" s="7"/>
      <c r="N252" s="7"/>
      <c r="O252" s="7"/>
      <c r="P252" s="7"/>
      <c r="Q252" s="7"/>
      <c r="R252" s="7"/>
    </row>
    <row r="253" ht="15.75" customHeight="1">
      <c r="A253" s="33"/>
      <c r="D253" s="7"/>
      <c r="E253" s="7"/>
      <c r="F253" s="7"/>
      <c r="G253" s="7"/>
      <c r="H253" s="7"/>
      <c r="I253" s="7"/>
      <c r="J253" s="32"/>
      <c r="K253" s="7"/>
      <c r="L253" s="7"/>
      <c r="M253" s="7"/>
      <c r="N253" s="7"/>
      <c r="O253" s="7"/>
      <c r="P253" s="7"/>
      <c r="Q253" s="7"/>
      <c r="R253" s="7"/>
    </row>
    <row r="254" ht="15.75" customHeight="1">
      <c r="A254" s="33"/>
      <c r="D254" s="7"/>
      <c r="E254" s="7"/>
      <c r="F254" s="7"/>
      <c r="G254" s="7"/>
      <c r="H254" s="7"/>
      <c r="I254" s="7"/>
      <c r="J254" s="32"/>
      <c r="K254" s="7"/>
      <c r="L254" s="7"/>
      <c r="M254" s="7"/>
      <c r="N254" s="7"/>
      <c r="O254" s="7"/>
      <c r="P254" s="7"/>
      <c r="Q254" s="7"/>
      <c r="R254" s="7"/>
    </row>
    <row r="255" ht="15.75" customHeight="1">
      <c r="A255" s="33"/>
      <c r="D255" s="7"/>
      <c r="E255" s="7"/>
      <c r="F255" s="7"/>
      <c r="G255" s="7"/>
      <c r="H255" s="7"/>
      <c r="I255" s="7"/>
      <c r="J255" s="32"/>
      <c r="K255" s="7"/>
      <c r="L255" s="7"/>
      <c r="M255" s="7"/>
      <c r="N255" s="7"/>
      <c r="O255" s="7"/>
      <c r="P255" s="7"/>
      <c r="Q255" s="7"/>
      <c r="R255" s="7"/>
    </row>
    <row r="256" ht="15.75" customHeight="1">
      <c r="A256" s="33"/>
      <c r="D256" s="7"/>
      <c r="E256" s="7"/>
      <c r="F256" s="7"/>
      <c r="G256" s="7"/>
      <c r="H256" s="7"/>
      <c r="I256" s="7"/>
      <c r="J256" s="32"/>
      <c r="K256" s="7"/>
      <c r="L256" s="7"/>
      <c r="M256" s="7"/>
      <c r="N256" s="7"/>
      <c r="O256" s="7"/>
      <c r="P256" s="7"/>
      <c r="Q256" s="7"/>
      <c r="R256" s="7"/>
    </row>
    <row r="257" ht="15.75" customHeight="1">
      <c r="A257" s="33"/>
      <c r="D257" s="7"/>
      <c r="E257" s="7"/>
      <c r="F257" s="7"/>
      <c r="G257" s="7"/>
      <c r="H257" s="7"/>
      <c r="I257" s="7"/>
      <c r="J257" s="32"/>
      <c r="K257" s="7"/>
      <c r="L257" s="7"/>
      <c r="M257" s="7"/>
      <c r="N257" s="7"/>
      <c r="O257" s="7"/>
      <c r="P257" s="7"/>
      <c r="Q257" s="7"/>
      <c r="R257" s="7"/>
    </row>
    <row r="258" ht="15.75" customHeight="1">
      <c r="A258" s="33"/>
      <c r="D258" s="7"/>
      <c r="E258" s="7"/>
      <c r="F258" s="7"/>
      <c r="G258" s="7"/>
      <c r="H258" s="7"/>
      <c r="I258" s="7"/>
      <c r="J258" s="32"/>
      <c r="K258" s="7"/>
      <c r="L258" s="7"/>
      <c r="M258" s="7"/>
      <c r="N258" s="7"/>
      <c r="O258" s="7"/>
      <c r="P258" s="7"/>
      <c r="Q258" s="7"/>
      <c r="R258" s="7"/>
    </row>
    <row r="259" ht="15.75" customHeight="1">
      <c r="A259" s="33"/>
      <c r="D259" s="7"/>
      <c r="E259" s="7"/>
      <c r="F259" s="7"/>
      <c r="G259" s="7"/>
      <c r="H259" s="7"/>
      <c r="I259" s="7"/>
      <c r="J259" s="32"/>
      <c r="K259" s="7"/>
      <c r="L259" s="7"/>
      <c r="M259" s="7"/>
      <c r="N259" s="7"/>
      <c r="O259" s="7"/>
      <c r="P259" s="7"/>
      <c r="Q259" s="7"/>
      <c r="R259" s="7"/>
    </row>
    <row r="260" ht="15.75" customHeight="1">
      <c r="A260" s="33"/>
      <c r="D260" s="7"/>
      <c r="E260" s="7"/>
      <c r="F260" s="7"/>
      <c r="G260" s="7"/>
      <c r="H260" s="7"/>
      <c r="I260" s="7"/>
      <c r="J260" s="32"/>
      <c r="K260" s="7"/>
      <c r="L260" s="7"/>
      <c r="M260" s="7"/>
      <c r="N260" s="7"/>
      <c r="O260" s="7"/>
      <c r="P260" s="7"/>
      <c r="Q260" s="7"/>
      <c r="R260" s="7"/>
    </row>
    <row r="261" ht="15.75" customHeight="1">
      <c r="A261" s="33"/>
      <c r="D261" s="7"/>
      <c r="E261" s="7"/>
      <c r="F261" s="7"/>
      <c r="G261" s="7"/>
      <c r="H261" s="7"/>
      <c r="I261" s="7"/>
      <c r="J261" s="32"/>
      <c r="K261" s="7"/>
      <c r="L261" s="7"/>
      <c r="M261" s="7"/>
      <c r="N261" s="7"/>
      <c r="O261" s="7"/>
      <c r="P261" s="7"/>
      <c r="Q261" s="7"/>
      <c r="R261" s="7"/>
    </row>
    <row r="262" ht="15.75" customHeight="1">
      <c r="A262" s="33"/>
      <c r="D262" s="7"/>
      <c r="E262" s="7"/>
      <c r="F262" s="7"/>
      <c r="G262" s="7"/>
      <c r="H262" s="7"/>
      <c r="I262" s="7"/>
      <c r="J262" s="32"/>
      <c r="K262" s="7"/>
      <c r="L262" s="7"/>
      <c r="M262" s="7"/>
      <c r="N262" s="7"/>
      <c r="O262" s="7"/>
      <c r="P262" s="7"/>
      <c r="Q262" s="7"/>
      <c r="R262" s="7"/>
    </row>
    <row r="263" ht="15.75" customHeight="1">
      <c r="A263" s="33"/>
      <c r="D263" s="7"/>
      <c r="E263" s="7"/>
      <c r="F263" s="7"/>
      <c r="G263" s="7"/>
      <c r="H263" s="7"/>
      <c r="I263" s="7"/>
      <c r="J263" s="32"/>
      <c r="K263" s="7"/>
      <c r="L263" s="7"/>
      <c r="M263" s="7"/>
      <c r="N263" s="7"/>
      <c r="O263" s="7"/>
      <c r="P263" s="7"/>
      <c r="Q263" s="7"/>
      <c r="R263" s="7"/>
    </row>
    <row r="264" ht="15.75" customHeight="1">
      <c r="A264" s="33"/>
      <c r="D264" s="7"/>
      <c r="E264" s="7"/>
      <c r="F264" s="7"/>
      <c r="G264" s="7"/>
      <c r="H264" s="7"/>
      <c r="I264" s="7"/>
      <c r="J264" s="32"/>
      <c r="K264" s="7"/>
      <c r="L264" s="7"/>
      <c r="M264" s="7"/>
      <c r="N264" s="7"/>
      <c r="O264" s="7"/>
      <c r="P264" s="7"/>
      <c r="Q264" s="7"/>
      <c r="R264" s="7"/>
    </row>
    <row r="265" ht="15.75" customHeight="1">
      <c r="A265" s="33"/>
      <c r="D265" s="7"/>
      <c r="E265" s="7"/>
      <c r="F265" s="7"/>
      <c r="G265" s="7"/>
      <c r="H265" s="7"/>
      <c r="I265" s="7"/>
      <c r="J265" s="32"/>
      <c r="K265" s="7"/>
      <c r="L265" s="7"/>
      <c r="M265" s="7"/>
      <c r="N265" s="7"/>
      <c r="O265" s="7"/>
      <c r="P265" s="7"/>
      <c r="Q265" s="7"/>
      <c r="R265" s="7"/>
    </row>
    <row r="266" ht="15.75" customHeight="1">
      <c r="A266" s="33"/>
      <c r="D266" s="7"/>
      <c r="E266" s="7"/>
      <c r="F266" s="7"/>
      <c r="G266" s="7"/>
      <c r="H266" s="7"/>
      <c r="I266" s="7"/>
      <c r="J266" s="32"/>
      <c r="K266" s="7"/>
      <c r="L266" s="7"/>
      <c r="M266" s="7"/>
      <c r="N266" s="7"/>
      <c r="O266" s="7"/>
      <c r="P266" s="7"/>
      <c r="Q266" s="7"/>
      <c r="R266" s="7"/>
    </row>
    <row r="267" ht="15.75" customHeight="1">
      <c r="A267" s="33"/>
      <c r="D267" s="7"/>
      <c r="E267" s="7"/>
      <c r="F267" s="7"/>
      <c r="G267" s="7"/>
      <c r="H267" s="7"/>
      <c r="I267" s="7"/>
      <c r="J267" s="32"/>
      <c r="K267" s="7"/>
      <c r="L267" s="7"/>
      <c r="M267" s="7"/>
      <c r="N267" s="7"/>
      <c r="O267" s="7"/>
      <c r="P267" s="7"/>
      <c r="Q267" s="7"/>
      <c r="R267" s="7"/>
    </row>
    <row r="268" ht="15.75" customHeight="1">
      <c r="A268" s="33"/>
      <c r="D268" s="7"/>
      <c r="E268" s="7"/>
      <c r="F268" s="7"/>
      <c r="G268" s="7"/>
      <c r="H268" s="7"/>
      <c r="I268" s="7"/>
      <c r="J268" s="32"/>
      <c r="K268" s="7"/>
      <c r="L268" s="7"/>
      <c r="M268" s="7"/>
      <c r="N268" s="7"/>
      <c r="O268" s="7"/>
      <c r="P268" s="7"/>
      <c r="Q268" s="7"/>
      <c r="R268" s="7"/>
    </row>
    <row r="269" ht="15.75" customHeight="1">
      <c r="A269" s="33"/>
      <c r="D269" s="7"/>
      <c r="E269" s="7"/>
      <c r="F269" s="7"/>
      <c r="G269" s="7"/>
      <c r="H269" s="7"/>
      <c r="I269" s="7"/>
      <c r="J269" s="32"/>
      <c r="K269" s="7"/>
      <c r="L269" s="7"/>
      <c r="M269" s="7"/>
      <c r="N269" s="7"/>
      <c r="O269" s="7"/>
      <c r="P269" s="7"/>
      <c r="Q269" s="7"/>
      <c r="R269" s="7"/>
    </row>
    <row r="270" ht="15.75" customHeight="1">
      <c r="A270" s="33"/>
      <c r="D270" s="7"/>
      <c r="E270" s="7"/>
      <c r="F270" s="7"/>
      <c r="G270" s="7"/>
      <c r="H270" s="7"/>
      <c r="I270" s="7"/>
      <c r="J270" s="32"/>
      <c r="K270" s="7"/>
      <c r="L270" s="7"/>
      <c r="M270" s="7"/>
      <c r="N270" s="7"/>
      <c r="O270" s="7"/>
      <c r="P270" s="7"/>
      <c r="Q270" s="7"/>
      <c r="R270" s="7"/>
    </row>
    <row r="271" ht="15.75" customHeight="1">
      <c r="A271" s="33"/>
      <c r="D271" s="7"/>
      <c r="E271" s="7"/>
      <c r="F271" s="7"/>
      <c r="G271" s="7"/>
      <c r="H271" s="7"/>
      <c r="I271" s="7"/>
      <c r="J271" s="32"/>
      <c r="K271" s="7"/>
      <c r="L271" s="7"/>
      <c r="M271" s="7"/>
      <c r="N271" s="7"/>
      <c r="O271" s="7"/>
      <c r="P271" s="7"/>
      <c r="Q271" s="7"/>
      <c r="R271" s="7"/>
    </row>
    <row r="272" ht="15.75" customHeight="1">
      <c r="A272" s="33"/>
      <c r="D272" s="7"/>
      <c r="E272" s="7"/>
      <c r="F272" s="7"/>
      <c r="G272" s="7"/>
      <c r="H272" s="7"/>
      <c r="I272" s="7"/>
      <c r="J272" s="32"/>
      <c r="K272" s="7"/>
      <c r="L272" s="7"/>
      <c r="M272" s="7"/>
      <c r="N272" s="7"/>
      <c r="O272" s="7"/>
      <c r="P272" s="7"/>
      <c r="Q272" s="7"/>
      <c r="R272" s="7"/>
    </row>
    <row r="273" ht="15.75" customHeight="1">
      <c r="A273" s="33"/>
      <c r="D273" s="7"/>
      <c r="E273" s="7"/>
      <c r="F273" s="7"/>
      <c r="G273" s="7"/>
      <c r="H273" s="7"/>
      <c r="I273" s="7"/>
      <c r="J273" s="32"/>
      <c r="K273" s="7"/>
      <c r="L273" s="7"/>
      <c r="M273" s="7"/>
      <c r="N273" s="7"/>
      <c r="O273" s="7"/>
      <c r="P273" s="7"/>
      <c r="Q273" s="7"/>
      <c r="R273" s="7"/>
    </row>
    <row r="274" ht="15.75" customHeight="1">
      <c r="A274" s="33"/>
      <c r="D274" s="7"/>
      <c r="E274" s="7"/>
      <c r="F274" s="7"/>
      <c r="G274" s="7"/>
      <c r="H274" s="7"/>
      <c r="I274" s="7"/>
      <c r="J274" s="32"/>
      <c r="K274" s="7"/>
      <c r="L274" s="7"/>
      <c r="M274" s="7"/>
      <c r="N274" s="7"/>
      <c r="O274" s="7"/>
      <c r="P274" s="7"/>
      <c r="Q274" s="7"/>
      <c r="R274" s="7"/>
    </row>
    <row r="275" ht="15.75" customHeight="1">
      <c r="J275" s="16"/>
    </row>
    <row r="276" ht="15.75" customHeight="1">
      <c r="J276" s="16"/>
    </row>
    <row r="277" ht="15.75" customHeight="1">
      <c r="J277" s="16"/>
    </row>
    <row r="278" ht="15.75" customHeight="1">
      <c r="J278" s="16"/>
    </row>
    <row r="279" ht="15.75" customHeight="1">
      <c r="J279" s="16"/>
    </row>
    <row r="280" ht="15.75" customHeight="1">
      <c r="J280" s="16"/>
    </row>
    <row r="281" ht="15.75" customHeight="1">
      <c r="J281" s="16"/>
    </row>
    <row r="282" ht="15.75" customHeight="1">
      <c r="J282" s="16"/>
    </row>
    <row r="283" ht="15.75" customHeight="1">
      <c r="J283" s="16"/>
    </row>
    <row r="284" ht="15.75" customHeight="1">
      <c r="J284" s="16"/>
    </row>
    <row r="285" ht="15.75" customHeight="1">
      <c r="J285" s="16"/>
    </row>
    <row r="286" ht="15.75" customHeight="1">
      <c r="J286" s="16"/>
    </row>
    <row r="287" ht="15.75" customHeight="1">
      <c r="J287" s="16"/>
    </row>
    <row r="288" ht="15.75" customHeight="1">
      <c r="J288" s="16"/>
    </row>
    <row r="289" ht="15.75" customHeight="1">
      <c r="J289" s="16"/>
    </row>
    <row r="290" ht="15.75" customHeight="1">
      <c r="J290" s="16"/>
    </row>
    <row r="291" ht="15.75" customHeight="1">
      <c r="J291" s="16"/>
    </row>
    <row r="292" ht="15.75" customHeight="1">
      <c r="J292" s="16"/>
    </row>
    <row r="293" ht="15.75" customHeight="1">
      <c r="J293" s="16"/>
    </row>
    <row r="294" ht="15.75" customHeight="1">
      <c r="J294" s="16"/>
    </row>
    <row r="295" ht="15.75" customHeight="1">
      <c r="J295" s="16"/>
    </row>
    <row r="296" ht="15.75" customHeight="1">
      <c r="J296" s="16"/>
    </row>
    <row r="297" ht="15.75" customHeight="1">
      <c r="J297" s="16"/>
    </row>
    <row r="298" ht="15.75" customHeight="1">
      <c r="J298" s="16"/>
    </row>
    <row r="299" ht="15.75" customHeight="1">
      <c r="J299" s="16"/>
    </row>
    <row r="300" ht="15.75" customHeight="1">
      <c r="J300" s="16"/>
    </row>
    <row r="301" ht="15.75" customHeight="1">
      <c r="J301" s="16"/>
    </row>
    <row r="302" ht="15.75" customHeight="1">
      <c r="J302" s="16"/>
    </row>
    <row r="303" ht="15.75" customHeight="1">
      <c r="J303" s="16"/>
    </row>
    <row r="304" ht="15.75" customHeight="1">
      <c r="J304" s="16"/>
    </row>
    <row r="305" ht="15.75" customHeight="1">
      <c r="J305" s="16"/>
    </row>
    <row r="306" ht="15.75" customHeight="1">
      <c r="J306" s="16"/>
    </row>
    <row r="307" ht="15.75" customHeight="1">
      <c r="J307" s="16"/>
    </row>
    <row r="308" ht="15.75" customHeight="1">
      <c r="J308" s="16"/>
    </row>
    <row r="309" ht="15.75" customHeight="1">
      <c r="J309" s="16"/>
    </row>
    <row r="310" ht="15.75" customHeight="1">
      <c r="J310" s="16"/>
    </row>
    <row r="311" ht="15.75" customHeight="1">
      <c r="J311" s="16"/>
    </row>
    <row r="312" ht="15.75" customHeight="1">
      <c r="J312" s="16"/>
    </row>
    <row r="313" ht="15.75" customHeight="1">
      <c r="J313" s="16"/>
    </row>
    <row r="314" ht="15.75" customHeight="1">
      <c r="J314" s="16"/>
    </row>
    <row r="315" ht="15.75" customHeight="1">
      <c r="J315" s="16"/>
    </row>
    <row r="316" ht="15.75" customHeight="1">
      <c r="J316" s="16"/>
    </row>
    <row r="317" ht="15.75" customHeight="1">
      <c r="J317" s="16"/>
    </row>
    <row r="318" ht="15.75" customHeight="1">
      <c r="J318" s="16"/>
    </row>
    <row r="319" ht="15.75" customHeight="1">
      <c r="J319" s="16"/>
    </row>
    <row r="320" ht="15.75" customHeight="1">
      <c r="J320" s="16"/>
    </row>
    <row r="321" ht="15.75" customHeight="1">
      <c r="J321" s="16"/>
    </row>
    <row r="322" ht="15.75" customHeight="1">
      <c r="J322" s="16"/>
    </row>
    <row r="323" ht="15.75" customHeight="1">
      <c r="J323" s="16"/>
    </row>
    <row r="324" ht="15.75" customHeight="1">
      <c r="J324" s="16"/>
    </row>
    <row r="325" ht="15.75" customHeight="1">
      <c r="J325" s="16"/>
    </row>
    <row r="326" ht="15.75" customHeight="1">
      <c r="J326" s="16"/>
    </row>
    <row r="327" ht="15.75" customHeight="1">
      <c r="J327" s="16"/>
    </row>
    <row r="328" ht="15.75" customHeight="1">
      <c r="J328" s="16"/>
    </row>
    <row r="329" ht="15.75" customHeight="1">
      <c r="J329" s="16"/>
    </row>
    <row r="330" ht="15.75" customHeight="1">
      <c r="J330" s="16"/>
    </row>
    <row r="331" ht="15.75" customHeight="1">
      <c r="J331" s="16"/>
    </row>
    <row r="332" ht="15.75" customHeight="1">
      <c r="J332" s="16"/>
    </row>
    <row r="333" ht="15.75" customHeight="1">
      <c r="J333" s="16"/>
    </row>
    <row r="334" ht="15.75" customHeight="1">
      <c r="J334" s="16"/>
    </row>
    <row r="335" ht="15.75" customHeight="1">
      <c r="J335" s="16"/>
    </row>
    <row r="336" ht="15.75" customHeight="1">
      <c r="J336" s="16"/>
    </row>
    <row r="337" ht="15.75" customHeight="1">
      <c r="J337" s="16"/>
    </row>
    <row r="338" ht="15.75" customHeight="1">
      <c r="J338" s="16"/>
    </row>
    <row r="339" ht="15.75" customHeight="1">
      <c r="J339" s="16"/>
    </row>
    <row r="340" ht="15.75" customHeight="1">
      <c r="J340" s="16"/>
    </row>
    <row r="341" ht="15.75" customHeight="1">
      <c r="J341" s="16"/>
    </row>
    <row r="342" ht="15.75" customHeight="1">
      <c r="J342" s="16"/>
    </row>
    <row r="343" ht="15.75" customHeight="1">
      <c r="J343" s="16"/>
    </row>
    <row r="344" ht="15.75" customHeight="1">
      <c r="J344" s="16"/>
    </row>
    <row r="345" ht="15.75" customHeight="1">
      <c r="J345" s="16"/>
    </row>
    <row r="346" ht="15.75" customHeight="1">
      <c r="J346" s="16"/>
    </row>
    <row r="347" ht="15.75" customHeight="1">
      <c r="J347" s="16"/>
    </row>
    <row r="348" ht="15.75" customHeight="1">
      <c r="J348" s="16"/>
    </row>
    <row r="349" ht="15.75" customHeight="1">
      <c r="J349" s="16"/>
    </row>
    <row r="350" ht="15.75" customHeight="1">
      <c r="J350" s="16"/>
    </row>
    <row r="351" ht="15.75" customHeight="1">
      <c r="J351" s="16"/>
    </row>
    <row r="352" ht="15.75" customHeight="1">
      <c r="J352" s="16"/>
    </row>
    <row r="353" ht="15.75" customHeight="1">
      <c r="J353" s="16"/>
    </row>
    <row r="354" ht="15.75" customHeight="1">
      <c r="J354" s="16"/>
    </row>
    <row r="355" ht="15.75" customHeight="1">
      <c r="J355" s="16"/>
    </row>
    <row r="356" ht="15.75" customHeight="1">
      <c r="J356" s="16"/>
    </row>
    <row r="357" ht="15.75" customHeight="1">
      <c r="J357" s="16"/>
    </row>
    <row r="358" ht="15.75" customHeight="1">
      <c r="J358" s="16"/>
    </row>
    <row r="359" ht="15.75" customHeight="1">
      <c r="J359" s="16"/>
    </row>
    <row r="360" ht="15.75" customHeight="1">
      <c r="J360" s="16"/>
    </row>
    <row r="361" ht="15.75" customHeight="1">
      <c r="J361" s="16"/>
    </row>
    <row r="362" ht="15.75" customHeight="1">
      <c r="J362" s="16"/>
    </row>
    <row r="363" ht="15.75" customHeight="1">
      <c r="J363" s="16"/>
    </row>
    <row r="364" ht="15.75" customHeight="1">
      <c r="J364" s="16"/>
    </row>
    <row r="365" ht="15.75" customHeight="1">
      <c r="J365" s="16"/>
    </row>
    <row r="366" ht="15.75" customHeight="1">
      <c r="J366" s="16"/>
    </row>
    <row r="367" ht="15.75" customHeight="1">
      <c r="J367" s="16"/>
    </row>
    <row r="368" ht="15.75" customHeight="1">
      <c r="J368" s="16"/>
    </row>
    <row r="369" ht="15.75" customHeight="1">
      <c r="J369" s="16"/>
    </row>
    <row r="370" ht="15.75" customHeight="1">
      <c r="J370" s="16"/>
    </row>
    <row r="371" ht="15.75" customHeight="1">
      <c r="J371" s="16"/>
    </row>
    <row r="372" ht="15.75" customHeight="1">
      <c r="J372" s="16"/>
    </row>
    <row r="373" ht="15.75" customHeight="1">
      <c r="J373" s="16"/>
    </row>
    <row r="374" ht="15.75" customHeight="1">
      <c r="J374" s="16"/>
    </row>
    <row r="375" ht="15.75" customHeight="1">
      <c r="J375" s="16"/>
    </row>
    <row r="376" ht="15.75" customHeight="1">
      <c r="J376" s="16"/>
    </row>
    <row r="377" ht="15.75" customHeight="1">
      <c r="J377" s="16"/>
    </row>
    <row r="378" ht="15.75" customHeight="1">
      <c r="J378" s="16"/>
    </row>
    <row r="379" ht="15.75" customHeight="1">
      <c r="J379" s="16"/>
    </row>
    <row r="380" ht="15.75" customHeight="1">
      <c r="J380" s="16"/>
    </row>
    <row r="381" ht="15.75" customHeight="1">
      <c r="J381" s="16"/>
    </row>
    <row r="382" ht="15.75" customHeight="1">
      <c r="J382" s="16"/>
    </row>
    <row r="383" ht="15.75" customHeight="1">
      <c r="J383" s="16"/>
    </row>
    <row r="384" ht="15.75" customHeight="1">
      <c r="J384" s="16"/>
    </row>
    <row r="385" ht="15.75" customHeight="1">
      <c r="J385" s="16"/>
    </row>
    <row r="386" ht="15.75" customHeight="1">
      <c r="J386" s="16"/>
    </row>
    <row r="387" ht="15.75" customHeight="1">
      <c r="J387" s="16"/>
    </row>
    <row r="388" ht="15.75" customHeight="1">
      <c r="J388" s="16"/>
    </row>
    <row r="389" ht="15.75" customHeight="1">
      <c r="J389" s="16"/>
    </row>
    <row r="390" ht="15.75" customHeight="1">
      <c r="J390" s="16"/>
    </row>
    <row r="391" ht="15.75" customHeight="1">
      <c r="J391" s="16"/>
    </row>
    <row r="392" ht="15.75" customHeight="1">
      <c r="J392" s="16"/>
    </row>
    <row r="393" ht="15.75" customHeight="1">
      <c r="J393" s="16"/>
    </row>
    <row r="394" ht="15.75" customHeight="1">
      <c r="J394" s="16"/>
    </row>
    <row r="395" ht="15.75" customHeight="1">
      <c r="J395" s="16"/>
    </row>
    <row r="396" ht="15.75" customHeight="1">
      <c r="J396" s="16"/>
    </row>
    <row r="397" ht="15.75" customHeight="1">
      <c r="J397" s="16"/>
    </row>
    <row r="398" ht="15.75" customHeight="1">
      <c r="J398" s="16"/>
    </row>
    <row r="399" ht="15.75" customHeight="1">
      <c r="J399" s="16"/>
    </row>
    <row r="400" ht="15.75" customHeight="1">
      <c r="J400" s="16"/>
    </row>
    <row r="401" ht="15.75" customHeight="1">
      <c r="J401" s="16"/>
    </row>
    <row r="402" ht="15.75" customHeight="1">
      <c r="J402" s="16"/>
    </row>
    <row r="403" ht="15.75" customHeight="1">
      <c r="J403" s="16"/>
    </row>
    <row r="404" ht="15.75" customHeight="1">
      <c r="J404" s="16"/>
    </row>
    <row r="405" ht="15.75" customHeight="1">
      <c r="J405" s="16"/>
    </row>
    <row r="406" ht="15.75" customHeight="1">
      <c r="J406" s="16"/>
    </row>
    <row r="407" ht="15.75" customHeight="1">
      <c r="J407" s="16"/>
    </row>
    <row r="408" ht="15.75" customHeight="1">
      <c r="J408" s="16"/>
    </row>
    <row r="409" ht="15.75" customHeight="1">
      <c r="J409" s="16"/>
    </row>
    <row r="410" ht="15.75" customHeight="1">
      <c r="J410" s="16"/>
    </row>
    <row r="411" ht="15.75" customHeight="1">
      <c r="J411" s="16"/>
    </row>
    <row r="412" ht="15.75" customHeight="1">
      <c r="J412" s="16"/>
    </row>
    <row r="413" ht="15.75" customHeight="1">
      <c r="J413" s="16"/>
    </row>
    <row r="414" ht="15.75" customHeight="1">
      <c r="J414" s="16"/>
    </row>
    <row r="415" ht="15.75" customHeight="1">
      <c r="J415" s="16"/>
    </row>
    <row r="416" ht="15.75" customHeight="1">
      <c r="J416" s="16"/>
    </row>
    <row r="417" ht="15.75" customHeight="1">
      <c r="J417" s="16"/>
    </row>
    <row r="418" ht="15.75" customHeight="1">
      <c r="J418" s="16"/>
    </row>
    <row r="419" ht="15.75" customHeight="1">
      <c r="J419" s="16"/>
    </row>
    <row r="420" ht="15.75" customHeight="1">
      <c r="J420" s="16"/>
    </row>
    <row r="421" ht="15.75" customHeight="1">
      <c r="J421" s="16"/>
    </row>
    <row r="422" ht="15.75" customHeight="1">
      <c r="J422" s="16"/>
    </row>
    <row r="423" ht="15.75" customHeight="1">
      <c r="J423" s="16"/>
    </row>
    <row r="424" ht="15.75" customHeight="1">
      <c r="J424" s="16"/>
    </row>
    <row r="425" ht="15.75" customHeight="1">
      <c r="J425" s="16"/>
    </row>
    <row r="426" ht="15.75" customHeight="1">
      <c r="J426" s="16"/>
    </row>
    <row r="427" ht="15.75" customHeight="1">
      <c r="J427" s="16"/>
    </row>
    <row r="428" ht="15.75" customHeight="1">
      <c r="J428" s="16"/>
    </row>
    <row r="429" ht="15.75" customHeight="1">
      <c r="J429" s="16"/>
    </row>
    <row r="430" ht="15.75" customHeight="1">
      <c r="J430" s="16"/>
    </row>
    <row r="431" ht="15.75" customHeight="1">
      <c r="J431" s="16"/>
    </row>
    <row r="432" ht="15.75" customHeight="1">
      <c r="J432" s="16"/>
    </row>
    <row r="433" ht="15.75" customHeight="1">
      <c r="J433" s="16"/>
    </row>
    <row r="434" ht="15.75" customHeight="1">
      <c r="J434" s="16"/>
    </row>
    <row r="435" ht="15.75" customHeight="1">
      <c r="J435" s="16"/>
    </row>
    <row r="436" ht="15.75" customHeight="1">
      <c r="J436" s="16"/>
    </row>
    <row r="437" ht="15.75" customHeight="1">
      <c r="J437" s="16"/>
    </row>
    <row r="438" ht="15.75" customHeight="1">
      <c r="J438" s="16"/>
    </row>
    <row r="439" ht="15.75" customHeight="1">
      <c r="J439" s="16"/>
    </row>
    <row r="440" ht="15.75" customHeight="1">
      <c r="J440" s="16"/>
    </row>
    <row r="441" ht="15.75" customHeight="1">
      <c r="J441" s="16"/>
    </row>
    <row r="442" ht="15.75" customHeight="1">
      <c r="J442" s="16"/>
    </row>
    <row r="443" ht="15.75" customHeight="1">
      <c r="J443" s="16"/>
    </row>
    <row r="444" ht="15.75" customHeight="1">
      <c r="J444" s="16"/>
    </row>
    <row r="445" ht="15.75" customHeight="1">
      <c r="J445" s="16"/>
    </row>
    <row r="446" ht="15.75" customHeight="1">
      <c r="J446" s="16"/>
    </row>
    <row r="447" ht="15.75" customHeight="1">
      <c r="J447" s="16"/>
    </row>
    <row r="448" ht="15.75" customHeight="1">
      <c r="J448" s="16"/>
    </row>
    <row r="449" ht="15.75" customHeight="1">
      <c r="J449" s="16"/>
    </row>
    <row r="450" ht="15.75" customHeight="1">
      <c r="J450" s="16"/>
    </row>
    <row r="451" ht="15.75" customHeight="1">
      <c r="J451" s="16"/>
    </row>
    <row r="452" ht="15.75" customHeight="1">
      <c r="J452" s="16"/>
    </row>
    <row r="453" ht="15.75" customHeight="1">
      <c r="J453" s="16"/>
    </row>
    <row r="454" ht="15.75" customHeight="1">
      <c r="J454" s="16"/>
    </row>
    <row r="455" ht="15.75" customHeight="1">
      <c r="J455" s="16"/>
    </row>
    <row r="456" ht="15.75" customHeight="1">
      <c r="J456" s="16"/>
    </row>
    <row r="457" ht="15.75" customHeight="1">
      <c r="J457" s="16"/>
    </row>
    <row r="458" ht="15.75" customHeight="1">
      <c r="J458" s="16"/>
    </row>
    <row r="459" ht="15.75" customHeight="1">
      <c r="J459" s="16"/>
    </row>
    <row r="460" ht="15.75" customHeight="1">
      <c r="J460" s="16"/>
    </row>
    <row r="461" ht="15.75" customHeight="1">
      <c r="J461" s="16"/>
    </row>
    <row r="462" ht="15.75" customHeight="1">
      <c r="J462" s="16"/>
    </row>
    <row r="463" ht="15.75" customHeight="1">
      <c r="J463" s="16"/>
    </row>
    <row r="464" ht="15.75" customHeight="1">
      <c r="J464" s="16"/>
    </row>
    <row r="465" ht="15.75" customHeight="1">
      <c r="J465" s="16"/>
    </row>
    <row r="466" ht="15.75" customHeight="1">
      <c r="J466" s="16"/>
    </row>
    <row r="467" ht="15.75" customHeight="1">
      <c r="J467" s="16"/>
    </row>
    <row r="468" ht="15.75" customHeight="1">
      <c r="J468" s="16"/>
    </row>
    <row r="469" ht="15.75" customHeight="1">
      <c r="J469" s="16"/>
    </row>
    <row r="470" ht="15.75" customHeight="1">
      <c r="J470" s="16"/>
    </row>
    <row r="471" ht="15.75" customHeight="1">
      <c r="J471" s="16"/>
    </row>
    <row r="472" ht="15.75" customHeight="1">
      <c r="J472" s="16"/>
    </row>
    <row r="473" ht="15.75" customHeight="1">
      <c r="J473" s="16"/>
    </row>
    <row r="474" ht="15.75" customHeight="1">
      <c r="J474" s="16"/>
    </row>
    <row r="475" ht="15.75" customHeight="1">
      <c r="J475" s="16"/>
    </row>
    <row r="476" ht="15.75" customHeight="1">
      <c r="J476" s="16"/>
    </row>
    <row r="477" ht="15.75" customHeight="1">
      <c r="J477" s="16"/>
    </row>
    <row r="478" ht="15.75" customHeight="1">
      <c r="J478" s="16"/>
    </row>
    <row r="479" ht="15.75" customHeight="1">
      <c r="J479" s="16"/>
    </row>
    <row r="480" ht="15.75" customHeight="1">
      <c r="J480" s="16"/>
    </row>
    <row r="481" ht="15.75" customHeight="1">
      <c r="J481" s="16"/>
    </row>
    <row r="482" ht="15.75" customHeight="1">
      <c r="J482" s="16"/>
    </row>
    <row r="483" ht="15.75" customHeight="1">
      <c r="J483" s="16"/>
    </row>
    <row r="484" ht="15.75" customHeight="1">
      <c r="J484" s="16"/>
    </row>
    <row r="485" ht="15.75" customHeight="1">
      <c r="J485" s="16"/>
    </row>
    <row r="486" ht="15.75" customHeight="1">
      <c r="J486" s="16"/>
    </row>
    <row r="487" ht="15.75" customHeight="1">
      <c r="J487" s="16"/>
    </row>
    <row r="488" ht="15.75" customHeight="1">
      <c r="J488" s="16"/>
    </row>
    <row r="489" ht="15.75" customHeight="1">
      <c r="J489" s="16"/>
    </row>
    <row r="490" ht="15.75" customHeight="1">
      <c r="J490" s="16"/>
    </row>
    <row r="491" ht="15.75" customHeight="1">
      <c r="J491" s="16"/>
    </row>
    <row r="492" ht="15.75" customHeight="1">
      <c r="J492" s="16"/>
    </row>
    <row r="493" ht="15.75" customHeight="1">
      <c r="J493" s="16"/>
    </row>
    <row r="494" ht="15.75" customHeight="1">
      <c r="J494" s="16"/>
    </row>
    <row r="495" ht="15.75" customHeight="1">
      <c r="J495" s="16"/>
    </row>
    <row r="496" ht="15.75" customHeight="1">
      <c r="J496" s="16"/>
    </row>
    <row r="497" ht="15.75" customHeight="1">
      <c r="J497" s="16"/>
    </row>
    <row r="498" ht="15.75" customHeight="1">
      <c r="J498" s="16"/>
    </row>
    <row r="499" ht="15.75" customHeight="1">
      <c r="J499" s="16"/>
    </row>
    <row r="500" ht="15.75" customHeight="1">
      <c r="J500" s="16"/>
    </row>
    <row r="501" ht="15.75" customHeight="1">
      <c r="J501" s="16"/>
    </row>
    <row r="502" ht="15.75" customHeight="1">
      <c r="J502" s="16"/>
    </row>
    <row r="503" ht="15.75" customHeight="1">
      <c r="J503" s="16"/>
    </row>
    <row r="504" ht="15.75" customHeight="1">
      <c r="J504" s="16"/>
    </row>
    <row r="505" ht="15.75" customHeight="1">
      <c r="J505" s="16"/>
    </row>
    <row r="506" ht="15.75" customHeight="1">
      <c r="J506" s="16"/>
    </row>
    <row r="507" ht="15.75" customHeight="1">
      <c r="J507" s="16"/>
    </row>
    <row r="508" ht="15.75" customHeight="1">
      <c r="J508" s="16"/>
    </row>
    <row r="509" ht="15.75" customHeight="1">
      <c r="J509" s="16"/>
    </row>
    <row r="510" ht="15.75" customHeight="1">
      <c r="J510" s="16"/>
    </row>
    <row r="511" ht="15.75" customHeight="1">
      <c r="J511" s="16"/>
    </row>
    <row r="512" ht="15.75" customHeight="1">
      <c r="J512" s="16"/>
    </row>
    <row r="513" ht="15.75" customHeight="1">
      <c r="J513" s="16"/>
    </row>
    <row r="514" ht="15.75" customHeight="1">
      <c r="J514" s="16"/>
    </row>
    <row r="515" ht="15.75" customHeight="1">
      <c r="J515" s="16"/>
    </row>
    <row r="516" ht="15.75" customHeight="1">
      <c r="J516" s="16"/>
    </row>
    <row r="517" ht="15.75" customHeight="1">
      <c r="J517" s="16"/>
    </row>
    <row r="518" ht="15.75" customHeight="1">
      <c r="J518" s="16"/>
    </row>
    <row r="519" ht="15.75" customHeight="1">
      <c r="J519" s="16"/>
    </row>
    <row r="520" ht="15.75" customHeight="1">
      <c r="J520" s="16"/>
    </row>
    <row r="521" ht="15.75" customHeight="1">
      <c r="J521" s="16"/>
    </row>
    <row r="522" ht="15.75" customHeight="1">
      <c r="J522" s="16"/>
    </row>
    <row r="523" ht="15.75" customHeight="1">
      <c r="J523" s="16"/>
    </row>
    <row r="524" ht="15.75" customHeight="1">
      <c r="J524" s="16"/>
    </row>
    <row r="525" ht="15.75" customHeight="1">
      <c r="J525" s="16"/>
    </row>
    <row r="526" ht="15.75" customHeight="1">
      <c r="J526" s="16"/>
    </row>
    <row r="527" ht="15.75" customHeight="1">
      <c r="J527" s="16"/>
    </row>
    <row r="528" ht="15.75" customHeight="1">
      <c r="J528" s="16"/>
    </row>
    <row r="529" ht="15.75" customHeight="1">
      <c r="J529" s="16"/>
    </row>
    <row r="530" ht="15.75" customHeight="1">
      <c r="J530" s="16"/>
    </row>
    <row r="531" ht="15.75" customHeight="1">
      <c r="J531" s="16"/>
    </row>
    <row r="532" ht="15.75" customHeight="1">
      <c r="J532" s="16"/>
    </row>
    <row r="533" ht="15.75" customHeight="1">
      <c r="J533" s="16"/>
    </row>
    <row r="534" ht="15.75" customHeight="1">
      <c r="J534" s="16"/>
    </row>
    <row r="535" ht="15.75" customHeight="1">
      <c r="J535" s="16"/>
    </row>
    <row r="536" ht="15.75" customHeight="1">
      <c r="J536" s="16"/>
    </row>
    <row r="537" ht="15.75" customHeight="1">
      <c r="J537" s="16"/>
    </row>
    <row r="538" ht="15.75" customHeight="1">
      <c r="J538" s="16"/>
    </row>
    <row r="539" ht="15.75" customHeight="1">
      <c r="J539" s="16"/>
    </row>
    <row r="540" ht="15.75" customHeight="1">
      <c r="J540" s="16"/>
    </row>
    <row r="541" ht="15.75" customHeight="1">
      <c r="J541" s="16"/>
    </row>
    <row r="542" ht="15.75" customHeight="1">
      <c r="J542" s="16"/>
    </row>
    <row r="543" ht="15.75" customHeight="1">
      <c r="J543" s="16"/>
    </row>
    <row r="544" ht="15.75" customHeight="1">
      <c r="J544" s="16"/>
    </row>
    <row r="545" ht="15.75" customHeight="1">
      <c r="J545" s="16"/>
    </row>
    <row r="546" ht="15.75" customHeight="1">
      <c r="J546" s="16"/>
    </row>
    <row r="547" ht="15.75" customHeight="1">
      <c r="J547" s="16"/>
    </row>
    <row r="548" ht="15.75" customHeight="1">
      <c r="J548" s="16"/>
    </row>
    <row r="549" ht="15.75" customHeight="1">
      <c r="J549" s="16"/>
    </row>
    <row r="550" ht="15.75" customHeight="1">
      <c r="J550" s="16"/>
    </row>
    <row r="551" ht="15.75" customHeight="1">
      <c r="J551" s="16"/>
    </row>
    <row r="552" ht="15.75" customHeight="1">
      <c r="J552" s="16"/>
    </row>
    <row r="553" ht="15.75" customHeight="1">
      <c r="J553" s="16"/>
    </row>
    <row r="554" ht="15.75" customHeight="1">
      <c r="J554" s="16"/>
    </row>
    <row r="555" ht="15.75" customHeight="1">
      <c r="J555" s="16"/>
    </row>
    <row r="556" ht="15.75" customHeight="1">
      <c r="J556" s="16"/>
    </row>
    <row r="557" ht="15.75" customHeight="1">
      <c r="J557" s="16"/>
    </row>
    <row r="558" ht="15.75" customHeight="1">
      <c r="J558" s="16"/>
    </row>
    <row r="559" ht="15.75" customHeight="1">
      <c r="J559" s="16"/>
    </row>
    <row r="560" ht="15.75" customHeight="1">
      <c r="J560" s="16"/>
    </row>
    <row r="561" ht="15.75" customHeight="1">
      <c r="J561" s="16"/>
    </row>
    <row r="562" ht="15.75" customHeight="1">
      <c r="J562" s="16"/>
    </row>
    <row r="563" ht="15.75" customHeight="1">
      <c r="J563" s="16"/>
    </row>
    <row r="564" ht="15.75" customHeight="1">
      <c r="J564" s="16"/>
    </row>
    <row r="565" ht="15.75" customHeight="1">
      <c r="J565" s="16"/>
    </row>
    <row r="566" ht="15.75" customHeight="1">
      <c r="J566" s="16"/>
    </row>
    <row r="567" ht="15.75" customHeight="1">
      <c r="J567" s="16"/>
    </row>
    <row r="568" ht="15.75" customHeight="1">
      <c r="J568" s="16"/>
    </row>
    <row r="569" ht="15.75" customHeight="1">
      <c r="J569" s="16"/>
    </row>
    <row r="570" ht="15.75" customHeight="1">
      <c r="J570" s="16"/>
    </row>
    <row r="571" ht="15.75" customHeight="1">
      <c r="J571" s="16"/>
    </row>
    <row r="572" ht="15.75" customHeight="1">
      <c r="J572" s="16"/>
    </row>
    <row r="573" ht="15.75" customHeight="1">
      <c r="J573" s="16"/>
    </row>
    <row r="574" ht="15.75" customHeight="1">
      <c r="J574" s="16"/>
    </row>
    <row r="575" ht="15.75" customHeight="1">
      <c r="J575" s="16"/>
    </row>
    <row r="576" ht="15.75" customHeight="1">
      <c r="J576" s="16"/>
    </row>
    <row r="577" ht="15.75" customHeight="1">
      <c r="J577" s="16"/>
    </row>
    <row r="578" ht="15.75" customHeight="1">
      <c r="J578" s="16"/>
    </row>
    <row r="579" ht="15.75" customHeight="1">
      <c r="J579" s="16"/>
    </row>
    <row r="580" ht="15.75" customHeight="1">
      <c r="J580" s="16"/>
    </row>
    <row r="581" ht="15.75" customHeight="1">
      <c r="J581" s="16"/>
    </row>
    <row r="582" ht="15.75" customHeight="1">
      <c r="J582" s="16"/>
    </row>
    <row r="583" ht="15.75" customHeight="1">
      <c r="J583" s="16"/>
    </row>
    <row r="584" ht="15.75" customHeight="1">
      <c r="J584" s="16"/>
    </row>
    <row r="585" ht="15.75" customHeight="1">
      <c r="J585" s="16"/>
    </row>
    <row r="586" ht="15.75" customHeight="1">
      <c r="J586" s="16"/>
    </row>
    <row r="587" ht="15.75" customHeight="1">
      <c r="J587" s="16"/>
    </row>
    <row r="588" ht="15.75" customHeight="1">
      <c r="J588" s="16"/>
    </row>
    <row r="589" ht="15.75" customHeight="1">
      <c r="J589" s="16"/>
    </row>
    <row r="590" ht="15.75" customHeight="1">
      <c r="J590" s="16"/>
    </row>
    <row r="591" ht="15.75" customHeight="1">
      <c r="J591" s="16"/>
    </row>
    <row r="592" ht="15.75" customHeight="1">
      <c r="J592" s="16"/>
    </row>
    <row r="593" ht="15.75" customHeight="1">
      <c r="J593" s="16"/>
    </row>
    <row r="594" ht="15.75" customHeight="1">
      <c r="J594" s="16"/>
    </row>
    <row r="595" ht="15.75" customHeight="1">
      <c r="J595" s="16"/>
    </row>
    <row r="596" ht="15.75" customHeight="1">
      <c r="J596" s="16"/>
    </row>
    <row r="597" ht="15.75" customHeight="1">
      <c r="J597" s="16"/>
    </row>
    <row r="598" ht="15.75" customHeight="1">
      <c r="J598" s="16"/>
    </row>
    <row r="599" ht="15.75" customHeight="1">
      <c r="J599" s="16"/>
    </row>
    <row r="600" ht="15.75" customHeight="1">
      <c r="J600" s="16"/>
    </row>
    <row r="601" ht="15.75" customHeight="1">
      <c r="J601" s="16"/>
    </row>
    <row r="602" ht="15.75" customHeight="1">
      <c r="J602" s="16"/>
    </row>
    <row r="603" ht="15.75" customHeight="1">
      <c r="J603" s="16"/>
    </row>
    <row r="604" ht="15.75" customHeight="1">
      <c r="J604" s="16"/>
    </row>
    <row r="605" ht="15.75" customHeight="1">
      <c r="J605" s="16"/>
    </row>
    <row r="606" ht="15.75" customHeight="1">
      <c r="J606" s="16"/>
    </row>
    <row r="607" ht="15.75" customHeight="1">
      <c r="J607" s="16"/>
    </row>
    <row r="608" ht="15.75" customHeight="1">
      <c r="J608" s="16"/>
    </row>
    <row r="609" ht="15.75" customHeight="1">
      <c r="J609" s="16"/>
    </row>
    <row r="610" ht="15.75" customHeight="1">
      <c r="J610" s="16"/>
    </row>
    <row r="611" ht="15.75" customHeight="1">
      <c r="J611" s="16"/>
    </row>
    <row r="612" ht="15.75" customHeight="1">
      <c r="J612" s="16"/>
    </row>
    <row r="613" ht="15.75" customHeight="1">
      <c r="J613" s="16"/>
    </row>
    <row r="614" ht="15.75" customHeight="1">
      <c r="J614" s="16"/>
    </row>
    <row r="615" ht="15.75" customHeight="1">
      <c r="J615" s="16"/>
    </row>
    <row r="616" ht="15.75" customHeight="1">
      <c r="J616" s="16"/>
    </row>
    <row r="617" ht="15.75" customHeight="1">
      <c r="J617" s="16"/>
    </row>
    <row r="618" ht="15.75" customHeight="1">
      <c r="J618" s="16"/>
    </row>
    <row r="619" ht="15.75" customHeight="1">
      <c r="J619" s="16"/>
    </row>
    <row r="620" ht="15.75" customHeight="1">
      <c r="J620" s="16"/>
    </row>
    <row r="621" ht="15.75" customHeight="1">
      <c r="J621" s="16"/>
    </row>
    <row r="622" ht="15.75" customHeight="1">
      <c r="J622" s="16"/>
    </row>
    <row r="623" ht="15.75" customHeight="1">
      <c r="J623" s="16"/>
    </row>
    <row r="624" ht="15.75" customHeight="1">
      <c r="J624" s="16"/>
    </row>
    <row r="625" ht="15.75" customHeight="1">
      <c r="J625" s="16"/>
    </row>
    <row r="626" ht="15.75" customHeight="1">
      <c r="J626" s="16"/>
    </row>
    <row r="627" ht="15.75" customHeight="1">
      <c r="J627" s="16"/>
    </row>
    <row r="628" ht="15.75" customHeight="1">
      <c r="J628" s="16"/>
    </row>
    <row r="629" ht="15.75" customHeight="1">
      <c r="J629" s="16"/>
    </row>
    <row r="630" ht="15.75" customHeight="1">
      <c r="J630" s="16"/>
    </row>
    <row r="631" ht="15.75" customHeight="1">
      <c r="J631" s="16"/>
    </row>
    <row r="632" ht="15.75" customHeight="1">
      <c r="J632" s="16"/>
    </row>
    <row r="633" ht="15.75" customHeight="1">
      <c r="J633" s="16"/>
    </row>
    <row r="634" ht="15.75" customHeight="1">
      <c r="J634" s="16"/>
    </row>
    <row r="635" ht="15.75" customHeight="1">
      <c r="J635" s="16"/>
    </row>
    <row r="636" ht="15.75" customHeight="1">
      <c r="J636" s="16"/>
    </row>
    <row r="637" ht="15.75" customHeight="1">
      <c r="J637" s="16"/>
    </row>
    <row r="638" ht="15.75" customHeight="1">
      <c r="J638" s="16"/>
    </row>
    <row r="639" ht="15.75" customHeight="1">
      <c r="J639" s="16"/>
    </row>
    <row r="640" ht="15.75" customHeight="1">
      <c r="J640" s="16"/>
    </row>
    <row r="641" ht="15.75" customHeight="1">
      <c r="J641" s="16"/>
    </row>
    <row r="642" ht="15.75" customHeight="1">
      <c r="J642" s="16"/>
    </row>
    <row r="643" ht="15.75" customHeight="1">
      <c r="J643" s="16"/>
    </row>
    <row r="644" ht="15.75" customHeight="1">
      <c r="J644" s="16"/>
    </row>
    <row r="645" ht="15.75" customHeight="1">
      <c r="J645" s="16"/>
    </row>
    <row r="646" ht="15.75" customHeight="1">
      <c r="J646" s="16"/>
    </row>
    <row r="647" ht="15.75" customHeight="1">
      <c r="J647" s="16"/>
    </row>
    <row r="648" ht="15.75" customHeight="1">
      <c r="J648" s="16"/>
    </row>
    <row r="649" ht="15.75" customHeight="1">
      <c r="J649" s="16"/>
    </row>
    <row r="650" ht="15.75" customHeight="1">
      <c r="J650" s="16"/>
    </row>
    <row r="651" ht="15.75" customHeight="1">
      <c r="J651" s="16"/>
    </row>
    <row r="652" ht="15.75" customHeight="1">
      <c r="J652" s="16"/>
    </row>
    <row r="653" ht="15.75" customHeight="1">
      <c r="J653" s="16"/>
    </row>
    <row r="654" ht="15.75" customHeight="1">
      <c r="J654" s="16"/>
    </row>
    <row r="655" ht="15.75" customHeight="1">
      <c r="J655" s="16"/>
    </row>
    <row r="656" ht="15.75" customHeight="1">
      <c r="J656" s="16"/>
    </row>
    <row r="657" ht="15.75" customHeight="1">
      <c r="J657" s="16"/>
    </row>
    <row r="658" ht="15.75" customHeight="1">
      <c r="J658" s="16"/>
    </row>
    <row r="659" ht="15.75" customHeight="1">
      <c r="J659" s="16"/>
    </row>
    <row r="660" ht="15.75" customHeight="1">
      <c r="J660" s="16"/>
    </row>
    <row r="661" ht="15.75" customHeight="1">
      <c r="J661" s="16"/>
    </row>
    <row r="662" ht="15.75" customHeight="1">
      <c r="J662" s="16"/>
    </row>
    <row r="663" ht="15.75" customHeight="1">
      <c r="J663" s="16"/>
    </row>
    <row r="664" ht="15.75" customHeight="1">
      <c r="J664" s="16"/>
    </row>
    <row r="665" ht="15.75" customHeight="1">
      <c r="J665" s="16"/>
    </row>
    <row r="666" ht="15.75" customHeight="1">
      <c r="J666" s="16"/>
    </row>
    <row r="667" ht="15.75" customHeight="1">
      <c r="J667" s="16"/>
    </row>
    <row r="668" ht="15.75" customHeight="1">
      <c r="J668" s="16"/>
    </row>
    <row r="669" ht="15.75" customHeight="1">
      <c r="J669" s="16"/>
    </row>
    <row r="670" ht="15.75" customHeight="1">
      <c r="J670" s="16"/>
    </row>
    <row r="671" ht="15.75" customHeight="1">
      <c r="J671" s="16"/>
    </row>
    <row r="672" ht="15.75" customHeight="1">
      <c r="J672" s="16"/>
    </row>
    <row r="673" ht="15.75" customHeight="1">
      <c r="J673" s="16"/>
    </row>
    <row r="674" ht="15.75" customHeight="1">
      <c r="J674" s="16"/>
    </row>
    <row r="675" ht="15.75" customHeight="1">
      <c r="J675" s="16"/>
    </row>
    <row r="676" ht="15.75" customHeight="1">
      <c r="J676" s="16"/>
    </row>
    <row r="677" ht="15.75" customHeight="1">
      <c r="J677" s="16"/>
    </row>
    <row r="678" ht="15.75" customHeight="1">
      <c r="J678" s="16"/>
    </row>
    <row r="679" ht="15.75" customHeight="1">
      <c r="J679" s="16"/>
    </row>
    <row r="680" ht="15.75" customHeight="1">
      <c r="J680" s="16"/>
    </row>
    <row r="681" ht="15.75" customHeight="1">
      <c r="J681" s="16"/>
    </row>
    <row r="682" ht="15.75" customHeight="1">
      <c r="J682" s="16"/>
    </row>
    <row r="683" ht="15.75" customHeight="1">
      <c r="J683" s="16"/>
    </row>
    <row r="684" ht="15.75" customHeight="1">
      <c r="J684" s="16"/>
    </row>
    <row r="685" ht="15.75" customHeight="1">
      <c r="J685" s="16"/>
    </row>
    <row r="686" ht="15.75" customHeight="1">
      <c r="J686" s="16"/>
    </row>
    <row r="687" ht="15.75" customHeight="1">
      <c r="J687" s="16"/>
    </row>
    <row r="688" ht="15.75" customHeight="1">
      <c r="J688" s="16"/>
    </row>
    <row r="689" ht="15.75" customHeight="1">
      <c r="J689" s="16"/>
    </row>
    <row r="690" ht="15.75" customHeight="1">
      <c r="J690" s="16"/>
    </row>
    <row r="691" ht="15.75" customHeight="1">
      <c r="J691" s="16"/>
    </row>
    <row r="692" ht="15.75" customHeight="1">
      <c r="J692" s="16"/>
    </row>
    <row r="693" ht="15.75" customHeight="1">
      <c r="J693" s="16"/>
    </row>
    <row r="694" ht="15.75" customHeight="1">
      <c r="J694" s="16"/>
    </row>
    <row r="695" ht="15.75" customHeight="1">
      <c r="J695" s="16"/>
    </row>
    <row r="696" ht="15.75" customHeight="1">
      <c r="J696" s="16"/>
    </row>
    <row r="697" ht="15.75" customHeight="1">
      <c r="J697" s="16"/>
    </row>
    <row r="698" ht="15.75" customHeight="1">
      <c r="J698" s="16"/>
    </row>
    <row r="699" ht="15.75" customHeight="1">
      <c r="J699" s="16"/>
    </row>
    <row r="700" ht="15.75" customHeight="1">
      <c r="J700" s="16"/>
    </row>
    <row r="701" ht="15.75" customHeight="1">
      <c r="J701" s="16"/>
    </row>
    <row r="702" ht="15.75" customHeight="1">
      <c r="J702" s="16"/>
    </row>
    <row r="703" ht="15.75" customHeight="1">
      <c r="J703" s="16"/>
    </row>
    <row r="704" ht="15.75" customHeight="1">
      <c r="J704" s="16"/>
    </row>
    <row r="705" ht="15.75" customHeight="1">
      <c r="J705" s="16"/>
    </row>
    <row r="706" ht="15.75" customHeight="1">
      <c r="J706" s="16"/>
    </row>
    <row r="707" ht="15.75" customHeight="1">
      <c r="J707" s="16"/>
    </row>
    <row r="708" ht="15.75" customHeight="1">
      <c r="J708" s="16"/>
    </row>
    <row r="709" ht="15.75" customHeight="1">
      <c r="J709" s="16"/>
    </row>
    <row r="710" ht="15.75" customHeight="1">
      <c r="J710" s="16"/>
    </row>
    <row r="711" ht="15.75" customHeight="1">
      <c r="J711" s="16"/>
    </row>
    <row r="712" ht="15.75" customHeight="1">
      <c r="J712" s="16"/>
    </row>
    <row r="713" ht="15.75" customHeight="1">
      <c r="J713" s="16"/>
    </row>
    <row r="714" ht="15.75" customHeight="1">
      <c r="J714" s="16"/>
    </row>
    <row r="715" ht="15.75" customHeight="1">
      <c r="J715" s="16"/>
    </row>
    <row r="716" ht="15.75" customHeight="1">
      <c r="J716" s="16"/>
    </row>
    <row r="717" ht="15.75" customHeight="1">
      <c r="J717" s="16"/>
    </row>
    <row r="718" ht="15.75" customHeight="1">
      <c r="J718" s="16"/>
    </row>
    <row r="719" ht="15.75" customHeight="1">
      <c r="J719" s="16"/>
    </row>
    <row r="720" ht="15.75" customHeight="1">
      <c r="J720" s="16"/>
    </row>
    <row r="721" ht="15.75" customHeight="1">
      <c r="J721" s="16"/>
    </row>
    <row r="722" ht="15.75" customHeight="1">
      <c r="J722" s="16"/>
    </row>
    <row r="723" ht="15.75" customHeight="1">
      <c r="J723" s="16"/>
    </row>
    <row r="724" ht="15.75" customHeight="1">
      <c r="J724" s="16"/>
    </row>
    <row r="725" ht="15.75" customHeight="1">
      <c r="J725" s="16"/>
    </row>
    <row r="726" ht="15.75" customHeight="1">
      <c r="J726" s="16"/>
    </row>
    <row r="727" ht="15.75" customHeight="1">
      <c r="J727" s="16"/>
    </row>
    <row r="728" ht="15.75" customHeight="1">
      <c r="J728" s="16"/>
    </row>
    <row r="729" ht="15.75" customHeight="1">
      <c r="J729" s="16"/>
    </row>
    <row r="730" ht="15.75" customHeight="1">
      <c r="J730" s="16"/>
    </row>
    <row r="731" ht="15.75" customHeight="1">
      <c r="J731" s="16"/>
    </row>
    <row r="732" ht="15.75" customHeight="1">
      <c r="J732" s="16"/>
    </row>
    <row r="733" ht="15.75" customHeight="1">
      <c r="J733" s="16"/>
    </row>
    <row r="734" ht="15.75" customHeight="1">
      <c r="J734" s="16"/>
    </row>
    <row r="735" ht="15.75" customHeight="1">
      <c r="J735" s="16"/>
    </row>
    <row r="736" ht="15.75" customHeight="1">
      <c r="J736" s="16"/>
    </row>
    <row r="737" ht="15.75" customHeight="1">
      <c r="J737" s="16"/>
    </row>
    <row r="738" ht="15.75" customHeight="1">
      <c r="J738" s="16"/>
    </row>
    <row r="739" ht="15.75" customHeight="1">
      <c r="J739" s="16"/>
    </row>
    <row r="740" ht="15.75" customHeight="1">
      <c r="J740" s="16"/>
    </row>
    <row r="741" ht="15.75" customHeight="1">
      <c r="J741" s="16"/>
    </row>
    <row r="742" ht="15.75" customHeight="1">
      <c r="J742" s="16"/>
    </row>
    <row r="743" ht="15.75" customHeight="1">
      <c r="J743" s="16"/>
    </row>
    <row r="744" ht="15.75" customHeight="1">
      <c r="J744" s="16"/>
    </row>
    <row r="745" ht="15.75" customHeight="1">
      <c r="J745" s="16"/>
    </row>
    <row r="746" ht="15.75" customHeight="1">
      <c r="J746" s="16"/>
    </row>
    <row r="747" ht="15.75" customHeight="1">
      <c r="J747" s="16"/>
    </row>
    <row r="748" ht="15.75" customHeight="1">
      <c r="J748" s="16"/>
    </row>
    <row r="749" ht="15.75" customHeight="1">
      <c r="J749" s="16"/>
    </row>
    <row r="750" ht="15.75" customHeight="1">
      <c r="J750" s="16"/>
    </row>
    <row r="751" ht="15.75" customHeight="1">
      <c r="J751" s="16"/>
    </row>
    <row r="752" ht="15.75" customHeight="1">
      <c r="J752" s="16"/>
    </row>
    <row r="753" ht="15.75" customHeight="1">
      <c r="J753" s="16"/>
    </row>
    <row r="754" ht="15.75" customHeight="1">
      <c r="J754" s="16"/>
    </row>
    <row r="755" ht="15.75" customHeight="1">
      <c r="J755" s="16"/>
    </row>
    <row r="756" ht="15.75" customHeight="1">
      <c r="J756" s="16"/>
    </row>
    <row r="757" ht="15.75" customHeight="1">
      <c r="J757" s="16"/>
    </row>
    <row r="758" ht="15.75" customHeight="1">
      <c r="J758" s="16"/>
    </row>
    <row r="759" ht="15.75" customHeight="1">
      <c r="J759" s="16"/>
    </row>
    <row r="760" ht="15.75" customHeight="1">
      <c r="J760" s="16"/>
    </row>
    <row r="761" ht="15.75" customHeight="1">
      <c r="J761" s="16"/>
    </row>
    <row r="762" ht="15.75" customHeight="1">
      <c r="J762" s="16"/>
    </row>
    <row r="763" ht="15.75" customHeight="1">
      <c r="J763" s="16"/>
    </row>
    <row r="764" ht="15.75" customHeight="1">
      <c r="J764" s="16"/>
    </row>
    <row r="765" ht="15.75" customHeight="1">
      <c r="J765" s="16"/>
    </row>
    <row r="766" ht="15.75" customHeight="1">
      <c r="J766" s="16"/>
    </row>
    <row r="767" ht="15.75" customHeight="1">
      <c r="J767" s="16"/>
    </row>
    <row r="768" ht="15.75" customHeight="1">
      <c r="J768" s="16"/>
    </row>
    <row r="769" ht="15.75" customHeight="1">
      <c r="J769" s="16"/>
    </row>
    <row r="770" ht="15.75" customHeight="1">
      <c r="J770" s="16"/>
    </row>
    <row r="771" ht="15.75" customHeight="1">
      <c r="J771" s="16"/>
    </row>
    <row r="772" ht="15.75" customHeight="1">
      <c r="J772" s="16"/>
    </row>
    <row r="773" ht="15.75" customHeight="1">
      <c r="J773" s="16"/>
    </row>
    <row r="774" ht="15.75" customHeight="1">
      <c r="J774" s="16"/>
    </row>
    <row r="775" ht="15.75" customHeight="1">
      <c r="J775" s="16"/>
    </row>
    <row r="776" ht="15.75" customHeight="1">
      <c r="J776" s="16"/>
    </row>
    <row r="777" ht="15.75" customHeight="1">
      <c r="J777" s="16"/>
    </row>
    <row r="778" ht="15.75" customHeight="1">
      <c r="J778" s="16"/>
    </row>
    <row r="779" ht="15.75" customHeight="1">
      <c r="J779" s="16"/>
    </row>
    <row r="780" ht="15.75" customHeight="1">
      <c r="J780" s="16"/>
    </row>
    <row r="781" ht="15.75" customHeight="1">
      <c r="J781" s="16"/>
    </row>
    <row r="782" ht="15.75" customHeight="1">
      <c r="J782" s="16"/>
    </row>
    <row r="783" ht="15.75" customHeight="1">
      <c r="J783" s="16"/>
    </row>
    <row r="784" ht="15.75" customHeight="1">
      <c r="J784" s="16"/>
    </row>
    <row r="785" ht="15.75" customHeight="1">
      <c r="J785" s="16"/>
    </row>
    <row r="786" ht="15.75" customHeight="1">
      <c r="J786" s="16"/>
    </row>
    <row r="787" ht="15.75" customHeight="1">
      <c r="J787" s="16"/>
    </row>
    <row r="788" ht="15.75" customHeight="1">
      <c r="J788" s="16"/>
    </row>
    <row r="789" ht="15.75" customHeight="1">
      <c r="J789" s="16"/>
    </row>
    <row r="790" ht="15.75" customHeight="1">
      <c r="J790" s="16"/>
    </row>
    <row r="791" ht="15.75" customHeight="1">
      <c r="J791" s="16"/>
    </row>
    <row r="792" ht="15.75" customHeight="1">
      <c r="J792" s="16"/>
    </row>
    <row r="793" ht="15.75" customHeight="1">
      <c r="J793" s="16"/>
    </row>
    <row r="794" ht="15.75" customHeight="1">
      <c r="J794" s="16"/>
    </row>
    <row r="795" ht="15.75" customHeight="1">
      <c r="J795" s="16"/>
    </row>
    <row r="796" ht="15.75" customHeight="1">
      <c r="J796" s="16"/>
    </row>
    <row r="797" ht="15.75" customHeight="1">
      <c r="J797" s="16"/>
    </row>
    <row r="798" ht="15.75" customHeight="1">
      <c r="J798" s="16"/>
    </row>
    <row r="799" ht="15.75" customHeight="1">
      <c r="J799" s="16"/>
    </row>
    <row r="800" ht="15.75" customHeight="1">
      <c r="J800" s="16"/>
    </row>
    <row r="801" ht="15.75" customHeight="1">
      <c r="J801" s="16"/>
    </row>
    <row r="802" ht="15.75" customHeight="1">
      <c r="J802" s="16"/>
    </row>
    <row r="803" ht="15.75" customHeight="1">
      <c r="J803" s="16"/>
    </row>
    <row r="804" ht="15.75" customHeight="1">
      <c r="J804" s="16"/>
    </row>
    <row r="805" ht="15.75" customHeight="1">
      <c r="J805" s="16"/>
    </row>
    <row r="806" ht="15.75" customHeight="1">
      <c r="J806" s="16"/>
    </row>
    <row r="807" ht="15.75" customHeight="1">
      <c r="J807" s="16"/>
    </row>
    <row r="808" ht="15.75" customHeight="1">
      <c r="J808" s="16"/>
    </row>
    <row r="809" ht="15.75" customHeight="1">
      <c r="J809" s="16"/>
    </row>
    <row r="810" ht="15.75" customHeight="1">
      <c r="J810" s="16"/>
    </row>
    <row r="811" ht="15.75" customHeight="1">
      <c r="J811" s="16"/>
    </row>
    <row r="812" ht="15.75" customHeight="1">
      <c r="J812" s="16"/>
    </row>
    <row r="813" ht="15.75" customHeight="1">
      <c r="J813" s="16"/>
    </row>
    <row r="814" ht="15.75" customHeight="1">
      <c r="J814" s="16"/>
    </row>
    <row r="815" ht="15.75" customHeight="1">
      <c r="J815" s="16"/>
    </row>
    <row r="816" ht="15.75" customHeight="1">
      <c r="J816" s="16"/>
    </row>
    <row r="817" ht="15.75" customHeight="1">
      <c r="J817" s="16"/>
    </row>
    <row r="818" ht="15.75" customHeight="1">
      <c r="J818" s="16"/>
    </row>
    <row r="819" ht="15.75" customHeight="1">
      <c r="J819" s="16"/>
    </row>
    <row r="820" ht="15.75" customHeight="1">
      <c r="J820" s="16"/>
    </row>
    <row r="821" ht="15.75" customHeight="1">
      <c r="J821" s="16"/>
    </row>
    <row r="822" ht="15.75" customHeight="1">
      <c r="J822" s="16"/>
    </row>
    <row r="823" ht="15.75" customHeight="1">
      <c r="J823" s="16"/>
    </row>
    <row r="824" ht="15.75" customHeight="1">
      <c r="J824" s="16"/>
    </row>
    <row r="825" ht="15.75" customHeight="1">
      <c r="J825" s="16"/>
    </row>
    <row r="826" ht="15.75" customHeight="1">
      <c r="J826" s="16"/>
    </row>
    <row r="827" ht="15.75" customHeight="1">
      <c r="J827" s="16"/>
    </row>
    <row r="828" ht="15.75" customHeight="1">
      <c r="J828" s="16"/>
    </row>
    <row r="829" ht="15.75" customHeight="1">
      <c r="J829" s="16"/>
    </row>
    <row r="830" ht="15.75" customHeight="1">
      <c r="J830" s="16"/>
    </row>
    <row r="831" ht="15.75" customHeight="1">
      <c r="J831" s="16"/>
    </row>
    <row r="832" ht="15.75" customHeight="1">
      <c r="J832" s="16"/>
    </row>
    <row r="833" ht="15.75" customHeight="1">
      <c r="J833" s="16"/>
    </row>
    <row r="834" ht="15.75" customHeight="1">
      <c r="J834" s="16"/>
    </row>
    <row r="835" ht="15.75" customHeight="1">
      <c r="J835" s="16"/>
    </row>
    <row r="836" ht="15.75" customHeight="1">
      <c r="J836" s="16"/>
    </row>
    <row r="837" ht="15.75" customHeight="1">
      <c r="J837" s="16"/>
    </row>
    <row r="838" ht="15.75" customHeight="1">
      <c r="J838" s="16"/>
    </row>
    <row r="839" ht="15.75" customHeight="1">
      <c r="J839" s="16"/>
    </row>
    <row r="840" ht="15.75" customHeight="1">
      <c r="J840" s="16"/>
    </row>
    <row r="841" ht="15.75" customHeight="1">
      <c r="J841" s="16"/>
    </row>
    <row r="842" ht="15.75" customHeight="1">
      <c r="J842" s="16"/>
    </row>
    <row r="843" ht="15.75" customHeight="1">
      <c r="J843" s="16"/>
    </row>
    <row r="844" ht="15.75" customHeight="1">
      <c r="J844" s="16"/>
    </row>
    <row r="845" ht="15.75" customHeight="1">
      <c r="J845" s="16"/>
    </row>
    <row r="846" ht="15.75" customHeight="1">
      <c r="J846" s="16"/>
    </row>
    <row r="847" ht="15.75" customHeight="1">
      <c r="J847" s="16"/>
    </row>
    <row r="848" ht="15.75" customHeight="1">
      <c r="J848" s="16"/>
    </row>
    <row r="849" ht="15.75" customHeight="1">
      <c r="J849" s="16"/>
    </row>
    <row r="850" ht="15.75" customHeight="1">
      <c r="J850" s="16"/>
    </row>
    <row r="851" ht="15.75" customHeight="1">
      <c r="J851" s="16"/>
    </row>
    <row r="852" ht="15.75" customHeight="1">
      <c r="J852" s="16"/>
    </row>
    <row r="853" ht="15.75" customHeight="1">
      <c r="J853" s="16"/>
    </row>
    <row r="854" ht="15.75" customHeight="1">
      <c r="J854" s="16"/>
    </row>
    <row r="855" ht="15.75" customHeight="1">
      <c r="J855" s="16"/>
    </row>
    <row r="856" ht="15.75" customHeight="1">
      <c r="J856" s="16"/>
    </row>
    <row r="857" ht="15.75" customHeight="1">
      <c r="J857" s="16"/>
    </row>
    <row r="858" ht="15.75" customHeight="1">
      <c r="J858" s="16"/>
    </row>
    <row r="859" ht="15.75" customHeight="1">
      <c r="J859" s="16"/>
    </row>
    <row r="860" ht="15.75" customHeight="1">
      <c r="J860" s="16"/>
    </row>
    <row r="861" ht="15.75" customHeight="1">
      <c r="J861" s="16"/>
    </row>
    <row r="862" ht="15.75" customHeight="1">
      <c r="J862" s="16"/>
    </row>
    <row r="863" ht="15.75" customHeight="1">
      <c r="J863" s="16"/>
    </row>
    <row r="864" ht="15.75" customHeight="1">
      <c r="J864" s="16"/>
    </row>
    <row r="865" ht="15.75" customHeight="1">
      <c r="J865" s="16"/>
    </row>
    <row r="866" ht="15.75" customHeight="1">
      <c r="J866" s="16"/>
    </row>
    <row r="867" ht="15.75" customHeight="1">
      <c r="J867" s="16"/>
    </row>
    <row r="868" ht="15.75" customHeight="1">
      <c r="J868" s="16"/>
    </row>
    <row r="869" ht="15.75" customHeight="1">
      <c r="J869" s="16"/>
    </row>
    <row r="870" ht="15.75" customHeight="1">
      <c r="J870" s="16"/>
    </row>
    <row r="871" ht="15.75" customHeight="1">
      <c r="J871" s="16"/>
    </row>
    <row r="872" ht="15.75" customHeight="1">
      <c r="J872" s="16"/>
    </row>
    <row r="873" ht="15.75" customHeight="1">
      <c r="J873" s="16"/>
    </row>
    <row r="874" ht="15.75" customHeight="1">
      <c r="J874" s="16"/>
    </row>
    <row r="875" ht="15.75" customHeight="1">
      <c r="J875" s="16"/>
    </row>
    <row r="876" ht="15.75" customHeight="1">
      <c r="J876" s="16"/>
    </row>
    <row r="877" ht="15.75" customHeight="1">
      <c r="J877" s="16"/>
    </row>
    <row r="878" ht="15.75" customHeight="1">
      <c r="J878" s="16"/>
    </row>
    <row r="879" ht="15.75" customHeight="1">
      <c r="J879" s="16"/>
    </row>
    <row r="880" ht="15.75" customHeight="1">
      <c r="J880" s="16"/>
    </row>
    <row r="881" ht="15.75" customHeight="1">
      <c r="J881" s="16"/>
    </row>
    <row r="882" ht="15.75" customHeight="1">
      <c r="J882" s="16"/>
    </row>
    <row r="883" ht="15.75" customHeight="1">
      <c r="J883" s="16"/>
    </row>
    <row r="884" ht="15.75" customHeight="1">
      <c r="J884" s="16"/>
    </row>
    <row r="885" ht="15.75" customHeight="1">
      <c r="J885" s="16"/>
    </row>
    <row r="886" ht="15.75" customHeight="1">
      <c r="J886" s="16"/>
    </row>
    <row r="887" ht="15.75" customHeight="1">
      <c r="J887" s="16"/>
    </row>
    <row r="888" ht="15.75" customHeight="1">
      <c r="J888" s="16"/>
    </row>
    <row r="889" ht="15.75" customHeight="1">
      <c r="J889" s="16"/>
    </row>
    <row r="890" ht="15.75" customHeight="1">
      <c r="J890" s="16"/>
    </row>
    <row r="891" ht="15.75" customHeight="1">
      <c r="J891" s="16"/>
    </row>
    <row r="892" ht="15.75" customHeight="1">
      <c r="J892" s="16"/>
    </row>
    <row r="893" ht="15.75" customHeight="1">
      <c r="J893" s="16"/>
    </row>
    <row r="894" ht="15.75" customHeight="1">
      <c r="J894" s="16"/>
    </row>
    <row r="895" ht="15.75" customHeight="1">
      <c r="J895" s="16"/>
    </row>
    <row r="896" ht="15.75" customHeight="1">
      <c r="J896" s="16"/>
    </row>
    <row r="897" ht="15.75" customHeight="1">
      <c r="J897" s="16"/>
    </row>
    <row r="898" ht="15.75" customHeight="1">
      <c r="J898" s="16"/>
    </row>
    <row r="899" ht="15.75" customHeight="1">
      <c r="J899" s="16"/>
    </row>
    <row r="900" ht="15.75" customHeight="1">
      <c r="J900" s="16"/>
    </row>
    <row r="901" ht="15.75" customHeight="1">
      <c r="J901" s="16"/>
    </row>
    <row r="902" ht="15.75" customHeight="1">
      <c r="J902" s="16"/>
    </row>
    <row r="903" ht="15.75" customHeight="1">
      <c r="J903" s="16"/>
    </row>
    <row r="904" ht="15.75" customHeight="1">
      <c r="J904" s="16"/>
    </row>
    <row r="905" ht="15.75" customHeight="1">
      <c r="J905" s="16"/>
    </row>
    <row r="906" ht="15.75" customHeight="1">
      <c r="J906" s="16"/>
    </row>
    <row r="907" ht="15.75" customHeight="1">
      <c r="J907" s="16"/>
    </row>
    <row r="908" ht="15.75" customHeight="1">
      <c r="J908" s="16"/>
    </row>
    <row r="909" ht="15.75" customHeight="1">
      <c r="J909" s="16"/>
    </row>
    <row r="910" ht="15.75" customHeight="1">
      <c r="J910" s="16"/>
    </row>
    <row r="911" ht="15.75" customHeight="1">
      <c r="J911" s="16"/>
    </row>
    <row r="912" ht="15.75" customHeight="1">
      <c r="J912" s="16"/>
    </row>
    <row r="913" ht="15.75" customHeight="1">
      <c r="J913" s="16"/>
    </row>
    <row r="914" ht="15.75" customHeight="1">
      <c r="J914" s="16"/>
    </row>
    <row r="915" ht="15.75" customHeight="1">
      <c r="J915" s="16"/>
    </row>
    <row r="916" ht="15.75" customHeight="1">
      <c r="J916" s="16"/>
    </row>
    <row r="917" ht="15.75" customHeight="1">
      <c r="J917" s="16"/>
    </row>
    <row r="918" ht="15.75" customHeight="1">
      <c r="J918" s="16"/>
    </row>
    <row r="919" ht="15.75" customHeight="1">
      <c r="J919" s="16"/>
    </row>
    <row r="920" ht="15.75" customHeight="1">
      <c r="J920" s="16"/>
    </row>
    <row r="921" ht="15.75" customHeight="1">
      <c r="J921" s="16"/>
    </row>
    <row r="922" ht="15.75" customHeight="1">
      <c r="J922" s="16"/>
    </row>
    <row r="923" ht="15.75" customHeight="1">
      <c r="J923" s="16"/>
    </row>
    <row r="924" ht="15.75" customHeight="1">
      <c r="J924" s="16"/>
    </row>
    <row r="925" ht="15.75" customHeight="1">
      <c r="J925" s="16"/>
    </row>
    <row r="926" ht="15.75" customHeight="1">
      <c r="J926" s="16"/>
    </row>
    <row r="927" ht="15.75" customHeight="1">
      <c r="J927" s="16"/>
    </row>
    <row r="928" ht="15.75" customHeight="1">
      <c r="J928" s="16"/>
    </row>
    <row r="929" ht="15.75" customHeight="1">
      <c r="J929" s="16"/>
    </row>
    <row r="930" ht="15.75" customHeight="1">
      <c r="J930" s="16"/>
    </row>
    <row r="931" ht="15.75" customHeight="1">
      <c r="J931" s="16"/>
    </row>
    <row r="932" ht="15.75" customHeight="1">
      <c r="J932" s="16"/>
    </row>
    <row r="933" ht="15.75" customHeight="1">
      <c r="J933" s="16"/>
    </row>
    <row r="934" ht="15.75" customHeight="1">
      <c r="J934" s="16"/>
    </row>
    <row r="935" ht="15.75" customHeight="1">
      <c r="J935" s="16"/>
    </row>
    <row r="936" ht="15.75" customHeight="1">
      <c r="J936" s="16"/>
    </row>
    <row r="937" ht="15.75" customHeight="1">
      <c r="J937" s="16"/>
    </row>
    <row r="938" ht="15.75" customHeight="1">
      <c r="J938" s="16"/>
    </row>
    <row r="939" ht="15.75" customHeight="1">
      <c r="J939" s="16"/>
    </row>
    <row r="940" ht="15.75" customHeight="1">
      <c r="J940" s="16"/>
    </row>
    <row r="941" ht="15.75" customHeight="1">
      <c r="J941" s="16"/>
    </row>
    <row r="942" ht="15.75" customHeight="1">
      <c r="J942" s="16"/>
    </row>
    <row r="943" ht="15.75" customHeight="1">
      <c r="J943" s="16"/>
    </row>
    <row r="944" ht="15.75" customHeight="1">
      <c r="J944" s="16"/>
    </row>
    <row r="945" ht="15.75" customHeight="1">
      <c r="J945" s="16"/>
    </row>
    <row r="946" ht="15.75" customHeight="1">
      <c r="J946" s="16"/>
    </row>
    <row r="947" ht="15.75" customHeight="1">
      <c r="J947" s="16"/>
    </row>
    <row r="948" ht="15.75" customHeight="1">
      <c r="J948" s="16"/>
    </row>
    <row r="949" ht="15.75" customHeight="1">
      <c r="J949" s="16"/>
    </row>
    <row r="950" ht="15.75" customHeight="1">
      <c r="J950" s="16"/>
    </row>
    <row r="951" ht="15.75" customHeight="1">
      <c r="J951" s="16"/>
    </row>
    <row r="952" ht="15.75" customHeight="1">
      <c r="J952" s="16"/>
    </row>
    <row r="953" ht="15.75" customHeight="1">
      <c r="J953" s="16"/>
    </row>
    <row r="954" ht="15.75" customHeight="1">
      <c r="J954" s="16"/>
    </row>
    <row r="955" ht="15.75" customHeight="1">
      <c r="J955" s="16"/>
    </row>
    <row r="956" ht="15.75" customHeight="1">
      <c r="J956" s="16"/>
    </row>
    <row r="957" ht="15.75" customHeight="1">
      <c r="J957" s="16"/>
    </row>
    <row r="958" ht="15.75" customHeight="1">
      <c r="J958" s="16"/>
    </row>
    <row r="959" ht="15.75" customHeight="1">
      <c r="J959" s="16"/>
    </row>
    <row r="960" ht="15.75" customHeight="1">
      <c r="J960" s="16"/>
    </row>
    <row r="961" ht="15.75" customHeight="1">
      <c r="J961" s="16"/>
    </row>
    <row r="962" ht="15.75" customHeight="1">
      <c r="J962" s="16"/>
    </row>
    <row r="963" ht="15.75" customHeight="1">
      <c r="J963" s="16"/>
    </row>
    <row r="964" ht="15.75" customHeight="1">
      <c r="J964" s="16"/>
    </row>
    <row r="965" ht="15.75" customHeight="1">
      <c r="J965" s="16"/>
    </row>
    <row r="966" ht="15.75" customHeight="1">
      <c r="J966" s="16"/>
    </row>
    <row r="967" ht="15.75" customHeight="1">
      <c r="J967" s="16"/>
    </row>
    <row r="968" ht="15.75" customHeight="1">
      <c r="J968" s="16"/>
    </row>
    <row r="969" ht="15.75" customHeight="1">
      <c r="J969" s="16"/>
    </row>
    <row r="970" ht="15.75" customHeight="1">
      <c r="J970" s="16"/>
    </row>
    <row r="971" ht="15.75" customHeight="1">
      <c r="J971" s="16"/>
    </row>
    <row r="972" ht="15.75" customHeight="1">
      <c r="J972" s="16"/>
    </row>
    <row r="973" ht="15.75" customHeight="1">
      <c r="J973" s="16"/>
    </row>
    <row r="974" ht="15.75" customHeight="1">
      <c r="J974" s="16"/>
    </row>
    <row r="975" ht="15.75" customHeight="1">
      <c r="J975" s="16"/>
    </row>
    <row r="976" ht="15.75" customHeight="1">
      <c r="J976" s="16"/>
    </row>
    <row r="977" ht="15.75" customHeight="1">
      <c r="J977" s="16"/>
    </row>
    <row r="978" ht="15.75" customHeight="1">
      <c r="J978" s="16"/>
    </row>
    <row r="979" ht="15.75" customHeight="1">
      <c r="J979" s="16"/>
    </row>
    <row r="980" ht="15.75" customHeight="1">
      <c r="J980" s="16"/>
    </row>
    <row r="981" ht="15.75" customHeight="1">
      <c r="J981" s="16"/>
    </row>
    <row r="982" ht="15.75" customHeight="1">
      <c r="J982" s="16"/>
    </row>
    <row r="983" ht="15.75" customHeight="1">
      <c r="J983" s="16"/>
    </row>
    <row r="984" ht="15.75" customHeight="1">
      <c r="J984" s="16"/>
    </row>
    <row r="985" ht="15.75" customHeight="1">
      <c r="J985" s="16"/>
    </row>
    <row r="986" ht="15.75" customHeight="1">
      <c r="J986" s="16"/>
    </row>
    <row r="987" ht="15.75" customHeight="1">
      <c r="J987" s="16"/>
    </row>
    <row r="988" ht="15.75" customHeight="1">
      <c r="J988" s="16"/>
    </row>
    <row r="989" ht="15.75" customHeight="1">
      <c r="J989" s="16"/>
    </row>
    <row r="990" ht="15.75" customHeight="1">
      <c r="J990" s="16"/>
    </row>
    <row r="991" ht="15.75" customHeight="1">
      <c r="J991" s="16"/>
    </row>
    <row r="992" ht="15.75" customHeight="1">
      <c r="J992" s="16"/>
    </row>
    <row r="993" ht="15.75" customHeight="1">
      <c r="J993" s="16"/>
    </row>
    <row r="994" ht="15.75" customHeight="1">
      <c r="J994" s="16"/>
    </row>
    <row r="995" ht="15.75" customHeight="1">
      <c r="J995" s="16"/>
    </row>
    <row r="996" ht="15.75" customHeight="1">
      <c r="J996" s="16"/>
    </row>
    <row r="997" ht="15.75" customHeight="1">
      <c r="J997" s="16"/>
    </row>
    <row r="998" ht="15.75" customHeight="1">
      <c r="J998" s="16"/>
    </row>
    <row r="999" ht="15.75" customHeight="1">
      <c r="J999" s="16"/>
    </row>
    <row r="1000" ht="15.75" customHeight="1">
      <c r="J1000" s="16"/>
    </row>
  </sheetData>
  <mergeCells count="5">
    <mergeCell ref="A2:A22"/>
    <mergeCell ref="A23:A38"/>
    <mergeCell ref="A39:A47"/>
    <mergeCell ref="A48:A59"/>
    <mergeCell ref="A60:A73"/>
  </mergeCells>
  <hyperlinks>
    <hyperlink r:id="rId1" ref="G2"/>
    <hyperlink r:id="rId2" ref="G3"/>
    <hyperlink r:id="rId3" ref="G4"/>
    <hyperlink r:id="rId4" ref="G5"/>
    <hyperlink r:id="rId5" ref="G6"/>
    <hyperlink r:id="rId6" ref="H6"/>
    <hyperlink r:id="rId7" ref="G7"/>
    <hyperlink r:id="rId8" ref="H7"/>
    <hyperlink r:id="rId9" ref="G8"/>
    <hyperlink r:id="rId10" ref="H8"/>
    <hyperlink r:id="rId11" ref="G9"/>
    <hyperlink r:id="rId12" ref="H9"/>
    <hyperlink r:id="rId13" ref="G10"/>
    <hyperlink r:id="rId14" ref="H10"/>
    <hyperlink r:id="rId15" ref="G11"/>
    <hyperlink r:id="rId16" ref="H11"/>
    <hyperlink r:id="rId17" ref="G12"/>
    <hyperlink r:id="rId18" location="/app-h/technologies?techid=1604" ref="H12"/>
    <hyperlink r:id="rId19" ref="G13"/>
    <hyperlink r:id="rId20" ref="G14"/>
    <hyperlink r:id="rId21" ref="G15"/>
    <hyperlink r:id="rId22" ref="G16"/>
    <hyperlink r:id="rId23" ref="G17"/>
    <hyperlink r:id="rId24" ref="G18"/>
    <hyperlink r:id="rId25" ref="G19"/>
    <hyperlink r:id="rId26" ref="G20"/>
    <hyperlink r:id="rId27" ref="G21"/>
    <hyperlink r:id="rId28" ref="G22"/>
    <hyperlink r:id="rId29" ref="G23"/>
    <hyperlink r:id="rId30" ref="G24"/>
    <hyperlink r:id="rId31" location="508504786" ref="G25"/>
    <hyperlink r:id="rId32" ref="G26"/>
    <hyperlink r:id="rId33" ref="G27"/>
    <hyperlink r:id="rId34" ref="G28"/>
    <hyperlink r:id="rId35" ref="H28"/>
    <hyperlink r:id="rId36" ref="G29"/>
    <hyperlink r:id="rId37" ref="G30"/>
    <hyperlink r:id="rId38" ref="G31"/>
    <hyperlink r:id="rId39" ref="G32"/>
    <hyperlink r:id="rId40" ref="G33"/>
    <hyperlink r:id="rId41" ref="G34"/>
    <hyperlink r:id="rId42" ref="G35"/>
    <hyperlink r:id="rId43" ref="G36"/>
    <hyperlink r:id="rId44" ref="G37"/>
    <hyperlink r:id="rId45" ref="G38"/>
    <hyperlink r:id="rId46" ref="G39"/>
    <hyperlink r:id="rId47" ref="G40"/>
    <hyperlink r:id="rId48" ref="G41"/>
    <hyperlink r:id="rId49" location="/app-h/technologies?techid=1391" ref="H41"/>
    <hyperlink r:id="rId50" ref="G42"/>
    <hyperlink r:id="rId51" ref="G43"/>
    <hyperlink r:id="rId52" ref="G44"/>
    <hyperlink r:id="rId53" ref="G45"/>
    <hyperlink r:id="rId54" ref="G46"/>
    <hyperlink r:id="rId55" ref="G47"/>
    <hyperlink r:id="rId56" ref="G48"/>
    <hyperlink r:id="rId57" ref="G49"/>
    <hyperlink r:id="rId58" ref="G50"/>
    <hyperlink r:id="rId59" ref="G51"/>
    <hyperlink r:id="rId60" ref="H51"/>
    <hyperlink r:id="rId61" ref="G52"/>
    <hyperlink r:id="rId62" ref="G53"/>
    <hyperlink r:id="rId63" ref="G54"/>
    <hyperlink r:id="rId64" ref="G55"/>
    <hyperlink r:id="rId65" ref="G56"/>
    <hyperlink r:id="rId66" ref="G57"/>
    <hyperlink r:id="rId67" ref="G58"/>
    <hyperlink r:id="rId68" ref="G59"/>
    <hyperlink r:id="rId69" ref="G60"/>
    <hyperlink r:id="rId70" ref="G61"/>
    <hyperlink r:id="rId71" ref="G62"/>
    <hyperlink r:id="rId72" ref="G63"/>
    <hyperlink r:id="rId73" ref="G64"/>
    <hyperlink r:id="rId74" ref="G65"/>
    <hyperlink r:id="rId75" ref="G66"/>
    <hyperlink r:id="rId76" ref="G67"/>
    <hyperlink r:id="rId77" ref="G68"/>
    <hyperlink r:id="rId78" ref="G69"/>
    <hyperlink r:id="rId79" ref="G70"/>
    <hyperlink r:id="rId80" ref="G71"/>
    <hyperlink r:id="rId81" ref="G72"/>
    <hyperlink r:id="rId82" ref="G73"/>
  </hyperlinks>
  <printOptions/>
  <pageMargins bottom="0.75" footer="0.0" header="0.0" left="0.7" right="0.7" top="0.75"/>
  <pageSetup orientation="landscape"/>
  <drawing r:id="rId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26.88"/>
    <col customWidth="1" min="2" max="2" width="7.63"/>
    <col customWidth="1" min="4" max="4" width="14.75"/>
    <col customWidth="1" min="5" max="5" width="16.13"/>
    <col customWidth="1" min="7" max="7" width="21.25"/>
    <col customWidth="1" min="8" max="8" width="16.13"/>
    <col customWidth="1" min="9" max="9" width="24.75"/>
    <col customWidth="1" min="10" max="10" width="25.0"/>
    <col customWidth="1" min="11" max="11" width="25.88"/>
    <col customWidth="1" min="12" max="12" width="25.38"/>
    <col customWidth="1" min="13" max="13" width="28.13"/>
    <col customWidth="1" min="14" max="14" width="23.88"/>
    <col customWidth="1" min="15" max="15" width="17.13"/>
    <col customWidth="1" min="16" max="16" width="16.63"/>
    <col customWidth="1" min="17" max="17" width="19.25"/>
    <col customWidth="1" min="18" max="18" width="20.5"/>
    <col customWidth="1" min="19" max="19" width="23.38"/>
    <col customWidth="1" min="20" max="20" width="22.38"/>
    <col customWidth="1" min="21" max="21" width="27.38"/>
    <col customWidth="1" min="22" max="22" width="31.5"/>
    <col customWidth="1" min="23" max="23" width="20.13"/>
    <col customWidth="1" min="24" max="25" width="29.0"/>
    <col customWidth="1" min="26" max="26" width="25.38"/>
    <col customWidth="1" min="27" max="28" width="29.0"/>
    <col customWidth="1" min="29" max="29" width="31.5"/>
    <col customWidth="1" min="30" max="30" width="16.13"/>
    <col customWidth="1" min="31" max="31" width="22.5"/>
    <col customWidth="1" min="32" max="33" width="22.25"/>
    <col customWidth="1" min="34" max="34" width="23.63"/>
    <col customWidth="1" min="35" max="35" width="25.38"/>
    <col customWidth="1" min="36" max="36" width="25.25"/>
    <col customWidth="1" min="37" max="37" width="16.88"/>
    <col customWidth="1" min="38" max="38" width="27.88"/>
    <col customWidth="1" min="39" max="40" width="25.75"/>
    <col customWidth="1" min="41" max="41" width="29.25"/>
    <col customWidth="1" min="42" max="42" width="22.63"/>
    <col customWidth="1" min="43" max="43" width="26.75"/>
    <col customWidth="1" min="44" max="44" width="13.75"/>
    <col customWidth="1" min="45" max="45" width="24.88"/>
    <col customWidth="1" min="46" max="46" width="25.13"/>
    <col customWidth="1" min="48" max="48" width="23.75"/>
    <col customWidth="1" min="49" max="49" width="23.88"/>
    <col customWidth="1" min="50" max="50" width="29.0"/>
    <col customWidth="1" min="51" max="51" width="38.5"/>
    <col customWidth="1" min="52" max="52" width="36.25"/>
    <col customWidth="1" min="53" max="53" width="21.88"/>
  </cols>
  <sheetData>
    <row r="1" ht="15.75" customHeight="1">
      <c r="A1" s="34" t="s">
        <v>0</v>
      </c>
      <c r="B1" s="34" t="s">
        <v>405</v>
      </c>
      <c r="C1" s="35" t="s">
        <v>406</v>
      </c>
      <c r="D1" s="36" t="s">
        <v>3</v>
      </c>
      <c r="E1" s="36" t="s">
        <v>4</v>
      </c>
      <c r="F1" s="36" t="s">
        <v>8</v>
      </c>
      <c r="G1" s="37" t="s">
        <v>407</v>
      </c>
      <c r="H1" s="38"/>
      <c r="I1" s="38"/>
      <c r="J1" s="38"/>
      <c r="K1" s="38"/>
      <c r="L1" s="38"/>
      <c r="M1" s="38"/>
      <c r="N1" s="39"/>
      <c r="O1" s="40" t="s">
        <v>408</v>
      </c>
      <c r="P1" s="41" t="s">
        <v>409</v>
      </c>
      <c r="Q1" s="38"/>
      <c r="R1" s="38"/>
      <c r="S1" s="38"/>
      <c r="T1" s="38"/>
      <c r="U1" s="39"/>
      <c r="V1" s="42" t="s">
        <v>410</v>
      </c>
      <c r="W1" s="41" t="s">
        <v>411</v>
      </c>
      <c r="X1" s="38"/>
      <c r="Y1" s="38"/>
      <c r="Z1" s="38"/>
      <c r="AA1" s="38"/>
      <c r="AB1" s="38"/>
      <c r="AC1" s="39"/>
      <c r="AD1" s="43" t="s">
        <v>412</v>
      </c>
      <c r="AE1" s="44"/>
      <c r="AF1" s="44"/>
      <c r="AG1" s="44"/>
      <c r="AH1" s="44"/>
      <c r="AI1" s="44"/>
      <c r="AJ1" s="45"/>
      <c r="AK1" s="46" t="s">
        <v>413</v>
      </c>
      <c r="AL1" s="44"/>
      <c r="AM1" s="44"/>
      <c r="AN1" s="44"/>
      <c r="AO1" s="44"/>
      <c r="AP1" s="44"/>
      <c r="AQ1" s="45"/>
      <c r="AR1" s="43" t="s">
        <v>414</v>
      </c>
      <c r="AS1" s="44"/>
      <c r="AT1" s="45"/>
      <c r="AU1" s="43" t="s">
        <v>415</v>
      </c>
      <c r="AV1" s="44"/>
      <c r="AW1" s="45"/>
      <c r="AX1" s="47" t="s">
        <v>416</v>
      </c>
      <c r="AY1" s="48" t="s">
        <v>417</v>
      </c>
      <c r="AZ1" s="48" t="s">
        <v>418</v>
      </c>
      <c r="BA1" s="49"/>
      <c r="BB1" s="49"/>
    </row>
    <row r="2" ht="15.75" customHeight="1">
      <c r="A2" s="33"/>
      <c r="B2" s="33"/>
      <c r="C2" s="50"/>
      <c r="D2" s="7"/>
      <c r="E2" s="7"/>
      <c r="F2" s="7"/>
      <c r="G2" s="51" t="s">
        <v>419</v>
      </c>
      <c r="H2" s="52" t="s">
        <v>420</v>
      </c>
      <c r="I2" s="53" t="s">
        <v>421</v>
      </c>
      <c r="J2" s="53" t="s">
        <v>422</v>
      </c>
      <c r="K2" s="54" t="s">
        <v>423</v>
      </c>
      <c r="L2" s="7" t="s">
        <v>424</v>
      </c>
      <c r="M2" s="55" t="s">
        <v>425</v>
      </c>
      <c r="N2" s="56" t="s">
        <v>426</v>
      </c>
      <c r="O2" s="57"/>
      <c r="P2" s="58" t="s">
        <v>427</v>
      </c>
      <c r="Q2" s="55" t="s">
        <v>428</v>
      </c>
      <c r="R2" s="55" t="s">
        <v>429</v>
      </c>
      <c r="S2" s="59" t="s">
        <v>430</v>
      </c>
      <c r="T2" s="7" t="s">
        <v>431</v>
      </c>
      <c r="U2" s="60" t="s">
        <v>432</v>
      </c>
      <c r="V2" s="61" t="s">
        <v>433</v>
      </c>
      <c r="W2" s="58" t="s">
        <v>434</v>
      </c>
      <c r="X2" s="62" t="s">
        <v>435</v>
      </c>
      <c r="Y2" s="55" t="s">
        <v>436</v>
      </c>
      <c r="Z2" s="59" t="s">
        <v>437</v>
      </c>
      <c r="AA2" s="54" t="s">
        <v>438</v>
      </c>
      <c r="AB2" s="54" t="s">
        <v>439</v>
      </c>
      <c r="AC2" s="63" t="s">
        <v>440</v>
      </c>
      <c r="AD2" s="58" t="s">
        <v>441</v>
      </c>
      <c r="AE2" s="62" t="s">
        <v>442</v>
      </c>
      <c r="AF2" s="64" t="s">
        <v>443</v>
      </c>
      <c r="AG2" s="65" t="s">
        <v>444</v>
      </c>
      <c r="AH2" s="13" t="s">
        <v>445</v>
      </c>
      <c r="AI2" s="13" t="s">
        <v>446</v>
      </c>
      <c r="AJ2" s="66" t="s">
        <v>447</v>
      </c>
      <c r="AK2" s="67" t="s">
        <v>448</v>
      </c>
      <c r="AL2" s="64" t="s">
        <v>449</v>
      </c>
      <c r="AM2" s="64" t="s">
        <v>450</v>
      </c>
      <c r="AN2" s="65" t="s">
        <v>451</v>
      </c>
      <c r="AO2" s="13" t="s">
        <v>452</v>
      </c>
      <c r="AP2" s="13" t="s">
        <v>453</v>
      </c>
      <c r="AQ2" s="66" t="s">
        <v>454</v>
      </c>
      <c r="AR2" s="67" t="s">
        <v>455</v>
      </c>
      <c r="AS2" s="64" t="s">
        <v>456</v>
      </c>
      <c r="AT2" s="66" t="s">
        <v>457</v>
      </c>
      <c r="AU2" s="67" t="s">
        <v>458</v>
      </c>
      <c r="AV2" s="64" t="s">
        <v>459</v>
      </c>
      <c r="AW2" s="66" t="s">
        <v>460</v>
      </c>
      <c r="AX2" s="68" t="s">
        <v>461</v>
      </c>
      <c r="AY2" s="69" t="s">
        <v>462</v>
      </c>
      <c r="AZ2" s="70" t="s">
        <v>463</v>
      </c>
    </row>
    <row r="3" ht="15.75" customHeight="1">
      <c r="A3" s="71" t="s">
        <v>13</v>
      </c>
      <c r="B3" s="72" t="s">
        <v>14</v>
      </c>
      <c r="C3" s="73" t="s">
        <v>15</v>
      </c>
      <c r="D3" s="74" t="s">
        <v>16</v>
      </c>
      <c r="E3" s="74" t="s">
        <v>464</v>
      </c>
      <c r="F3" s="74" t="s">
        <v>389</v>
      </c>
      <c r="G3" s="75" t="s">
        <v>465</v>
      </c>
      <c r="H3" s="76">
        <v>5.0</v>
      </c>
      <c r="I3" s="74"/>
      <c r="J3" s="74"/>
      <c r="K3" s="77"/>
      <c r="L3" s="74">
        <v>700.0</v>
      </c>
      <c r="M3" s="74">
        <v>1.0</v>
      </c>
      <c r="N3" s="78">
        <f t="shared" ref="N3:N57" si="1">(I3*M3)+(L3*M3*H3)+(J3*O3)</f>
        <v>3500</v>
      </c>
      <c r="O3" s="75">
        <v>10.0</v>
      </c>
      <c r="P3" s="79">
        <v>11.0</v>
      </c>
      <c r="Q3" s="76">
        <v>3.0</v>
      </c>
      <c r="R3" s="76">
        <v>600.0</v>
      </c>
      <c r="S3" s="74">
        <f t="shared" ref="S3:S68" si="2">Q3*R3*O3</f>
        <v>18000</v>
      </c>
      <c r="T3" s="74">
        <f t="shared" ref="T3:T68" si="3">Q3*(1+P3%)</f>
        <v>3.33</v>
      </c>
      <c r="U3" s="78">
        <f t="shared" ref="U3:U68" si="4">T3*R3</f>
        <v>1998</v>
      </c>
      <c r="V3" s="80">
        <f t="shared" ref="V3:V68" si="5">(U3*O3)-S3</f>
        <v>1980</v>
      </c>
      <c r="W3" s="79">
        <v>16.4</v>
      </c>
      <c r="X3" s="76">
        <v>600.0</v>
      </c>
      <c r="Y3" s="76">
        <v>1.5</v>
      </c>
      <c r="Z3" s="9">
        <f t="shared" ref="Z3:Z68" si="6">Y3*X3</f>
        <v>900</v>
      </c>
      <c r="AA3" s="9">
        <f t="shared" ref="AA3:AA10" si="7">X3*(1-W3%)</f>
        <v>501.6</v>
      </c>
      <c r="AB3" s="74">
        <f t="shared" ref="AB3:AB68" si="8"> Z3-(AA3*Y3)</f>
        <v>147.6</v>
      </c>
      <c r="AC3" s="81">
        <f t="shared" ref="AC3:AC68" si="9">AB3*O3</f>
        <v>1476</v>
      </c>
      <c r="AD3" s="82">
        <v>17.4</v>
      </c>
      <c r="AE3" s="76">
        <v>800.0</v>
      </c>
      <c r="AF3" s="83">
        <v>0.8</v>
      </c>
      <c r="AG3" s="9">
        <f t="shared" ref="AG3:AG68" si="10">AF3*AE3</f>
        <v>640</v>
      </c>
      <c r="AH3" s="9">
        <f t="shared" ref="AH3:AH68" si="11">AE3*(1-AD3%)</f>
        <v>660.8</v>
      </c>
      <c r="AI3" s="9">
        <f t="shared" ref="AI3:AI68" si="12">AG3-(AH3*AF3)</f>
        <v>111.36</v>
      </c>
      <c r="AJ3" s="12">
        <f t="shared" ref="AJ3:AJ68" si="13">AI3*O3</f>
        <v>1113.6</v>
      </c>
      <c r="AK3" s="84">
        <v>0.0</v>
      </c>
      <c r="AL3" s="83">
        <v>2.0</v>
      </c>
      <c r="AM3" s="83">
        <v>24.0</v>
      </c>
      <c r="AN3" s="9">
        <f t="shared" ref="AN3:AN68" si="14">AM3*AL3</f>
        <v>48</v>
      </c>
      <c r="AO3" s="9">
        <f t="shared" ref="AO3:AO68" si="15">AL3*(1-AK3%)</f>
        <v>2</v>
      </c>
      <c r="AP3" s="9">
        <f t="shared" ref="AP3:AP68" si="16">AN3-(AO3*AM3)</f>
        <v>0</v>
      </c>
      <c r="AQ3" s="12">
        <f t="shared" ref="AQ3:AQ68" si="17">AP3*O3</f>
        <v>0</v>
      </c>
      <c r="AR3" s="85">
        <v>0.0</v>
      </c>
      <c r="AS3" s="83">
        <v>15000.0</v>
      </c>
      <c r="AT3" s="12">
        <f t="shared" ref="AT3:AT68" si="18">AS3-(AS3*(1-AR3%))</f>
        <v>0</v>
      </c>
      <c r="AU3" s="85">
        <v>0.0</v>
      </c>
      <c r="AV3" s="83">
        <v>5000.0</v>
      </c>
      <c r="AW3" s="12">
        <f t="shared" ref="AW3:AW68" si="19">AV3-(AV3*(1-AU3%))</f>
        <v>0</v>
      </c>
      <c r="AX3" s="86">
        <f t="shared" ref="AX3:AX68" si="20">(AW3+AT3+AQ3+AJ3+AC3+V3)*H3</f>
        <v>22848</v>
      </c>
      <c r="AY3" s="87">
        <f t="shared" ref="AY3:AY51" si="21">(AW3+AT3+AQ3+AJ3+AC3+V3)/(N3)*100</f>
        <v>130.56</v>
      </c>
      <c r="AZ3" s="86">
        <f t="shared" ref="AZ3:AZ68" si="22">AX3-N3</f>
        <v>19348</v>
      </c>
      <c r="BA3" s="54"/>
      <c r="BB3" s="54"/>
    </row>
    <row r="4" ht="15.75" customHeight="1">
      <c r="A4" s="14"/>
      <c r="B4" s="33" t="s">
        <v>14</v>
      </c>
      <c r="C4" s="50" t="s">
        <v>15</v>
      </c>
      <c r="D4" s="7" t="s">
        <v>466</v>
      </c>
      <c r="E4" s="7" t="s">
        <v>467</v>
      </c>
      <c r="F4" s="7" t="s">
        <v>389</v>
      </c>
      <c r="G4" s="57" t="s">
        <v>468</v>
      </c>
      <c r="H4" s="88">
        <v>5.0</v>
      </c>
      <c r="I4" s="7"/>
      <c r="J4" s="7"/>
      <c r="L4" s="7">
        <v>25.0</v>
      </c>
      <c r="M4" s="7">
        <v>1.0</v>
      </c>
      <c r="N4" s="60">
        <f t="shared" si="1"/>
        <v>125</v>
      </c>
      <c r="O4" s="89">
        <v>10.0</v>
      </c>
      <c r="P4" s="90">
        <v>11.0</v>
      </c>
      <c r="Q4" s="88">
        <v>3.0</v>
      </c>
      <c r="R4" s="88">
        <v>600.0</v>
      </c>
      <c r="S4" s="7">
        <f t="shared" si="2"/>
        <v>18000</v>
      </c>
      <c r="T4" s="7">
        <f t="shared" si="3"/>
        <v>3.33</v>
      </c>
      <c r="U4" s="60">
        <f t="shared" si="4"/>
        <v>1998</v>
      </c>
      <c r="V4" s="91">
        <f t="shared" si="5"/>
        <v>1980</v>
      </c>
      <c r="W4" s="92">
        <v>0.0</v>
      </c>
      <c r="X4" s="88">
        <v>600.0</v>
      </c>
      <c r="Y4" s="88">
        <v>1.5</v>
      </c>
      <c r="Z4" s="13">
        <f t="shared" si="6"/>
        <v>900</v>
      </c>
      <c r="AA4" s="13">
        <f t="shared" si="7"/>
        <v>600</v>
      </c>
      <c r="AB4" s="7">
        <f t="shared" si="8"/>
        <v>0</v>
      </c>
      <c r="AC4" s="93">
        <f t="shared" si="9"/>
        <v>0</v>
      </c>
      <c r="AD4" s="94">
        <v>17.4</v>
      </c>
      <c r="AE4" s="88">
        <v>800.0</v>
      </c>
      <c r="AF4" s="95">
        <v>0.8</v>
      </c>
      <c r="AG4" s="13">
        <f t="shared" si="10"/>
        <v>640</v>
      </c>
      <c r="AH4" s="13">
        <f t="shared" si="11"/>
        <v>660.8</v>
      </c>
      <c r="AI4" s="13">
        <f t="shared" si="12"/>
        <v>111.36</v>
      </c>
      <c r="AJ4" s="17">
        <f t="shared" si="13"/>
        <v>1113.6</v>
      </c>
      <c r="AK4" s="96">
        <v>0.0</v>
      </c>
      <c r="AL4" s="95">
        <v>2.0</v>
      </c>
      <c r="AM4" s="95">
        <v>24.0</v>
      </c>
      <c r="AN4" s="13">
        <f t="shared" si="14"/>
        <v>48</v>
      </c>
      <c r="AO4" s="13">
        <f t="shared" si="15"/>
        <v>2</v>
      </c>
      <c r="AP4" s="13">
        <f t="shared" si="16"/>
        <v>0</v>
      </c>
      <c r="AQ4" s="17">
        <f t="shared" si="17"/>
        <v>0</v>
      </c>
      <c r="AR4" s="97">
        <v>0.0</v>
      </c>
      <c r="AS4" s="95">
        <v>15000.0</v>
      </c>
      <c r="AT4" s="17">
        <f t="shared" si="18"/>
        <v>0</v>
      </c>
      <c r="AU4" s="97">
        <v>0.0</v>
      </c>
      <c r="AV4" s="95">
        <v>5000.0</v>
      </c>
      <c r="AW4" s="17">
        <f t="shared" si="19"/>
        <v>0</v>
      </c>
      <c r="AX4" s="98">
        <f t="shared" si="20"/>
        <v>15468</v>
      </c>
      <c r="AY4" s="99">
        <f t="shared" si="21"/>
        <v>2474.88</v>
      </c>
      <c r="AZ4" s="98">
        <f t="shared" si="22"/>
        <v>15343</v>
      </c>
      <c r="BA4" s="54"/>
      <c r="BB4" s="54"/>
    </row>
    <row r="5" ht="15.75" customHeight="1">
      <c r="A5" s="14"/>
      <c r="B5" s="33" t="s">
        <v>14</v>
      </c>
      <c r="C5" s="50" t="s">
        <v>15</v>
      </c>
      <c r="D5" s="7" t="s">
        <v>29</v>
      </c>
      <c r="E5" s="7" t="s">
        <v>467</v>
      </c>
      <c r="F5" s="7" t="s">
        <v>26</v>
      </c>
      <c r="G5" s="57" t="s">
        <v>27</v>
      </c>
      <c r="H5" s="88">
        <v>5.0</v>
      </c>
      <c r="I5" s="7"/>
      <c r="J5" s="7"/>
      <c r="K5" s="54"/>
      <c r="L5" s="7">
        <v>25.0</v>
      </c>
      <c r="M5" s="7">
        <v>1.0</v>
      </c>
      <c r="N5" s="60">
        <f t="shared" si="1"/>
        <v>125</v>
      </c>
      <c r="O5" s="89">
        <v>10.0</v>
      </c>
      <c r="P5" s="90">
        <v>11.0</v>
      </c>
      <c r="Q5" s="88">
        <v>3.0</v>
      </c>
      <c r="R5" s="88">
        <v>600.0</v>
      </c>
      <c r="S5" s="7">
        <f t="shared" si="2"/>
        <v>18000</v>
      </c>
      <c r="T5" s="7">
        <f t="shared" si="3"/>
        <v>3.33</v>
      </c>
      <c r="U5" s="60">
        <f t="shared" si="4"/>
        <v>1998</v>
      </c>
      <c r="V5" s="91">
        <f t="shared" si="5"/>
        <v>1980</v>
      </c>
      <c r="W5" s="92">
        <v>0.0</v>
      </c>
      <c r="X5" s="88">
        <v>600.0</v>
      </c>
      <c r="Y5" s="88">
        <v>1.5</v>
      </c>
      <c r="Z5" s="13">
        <f t="shared" si="6"/>
        <v>900</v>
      </c>
      <c r="AA5" s="13">
        <f t="shared" si="7"/>
        <v>600</v>
      </c>
      <c r="AB5" s="7">
        <f t="shared" si="8"/>
        <v>0</v>
      </c>
      <c r="AC5" s="93">
        <f t="shared" si="9"/>
        <v>0</v>
      </c>
      <c r="AD5" s="94">
        <v>17.4</v>
      </c>
      <c r="AE5" s="88">
        <v>800.0</v>
      </c>
      <c r="AF5" s="95">
        <v>0.8</v>
      </c>
      <c r="AG5" s="13">
        <f t="shared" si="10"/>
        <v>640</v>
      </c>
      <c r="AH5" s="13">
        <f t="shared" si="11"/>
        <v>660.8</v>
      </c>
      <c r="AI5" s="13">
        <f t="shared" si="12"/>
        <v>111.36</v>
      </c>
      <c r="AJ5" s="17">
        <f t="shared" si="13"/>
        <v>1113.6</v>
      </c>
      <c r="AK5" s="96">
        <v>0.0</v>
      </c>
      <c r="AL5" s="95">
        <v>2.0</v>
      </c>
      <c r="AM5" s="95">
        <v>24.0</v>
      </c>
      <c r="AN5" s="13">
        <f t="shared" si="14"/>
        <v>48</v>
      </c>
      <c r="AO5" s="13">
        <f t="shared" si="15"/>
        <v>2</v>
      </c>
      <c r="AP5" s="13">
        <f t="shared" si="16"/>
        <v>0</v>
      </c>
      <c r="AQ5" s="17">
        <f t="shared" si="17"/>
        <v>0</v>
      </c>
      <c r="AR5" s="97">
        <v>0.0</v>
      </c>
      <c r="AS5" s="95">
        <v>15000.0</v>
      </c>
      <c r="AT5" s="17">
        <f t="shared" si="18"/>
        <v>0</v>
      </c>
      <c r="AU5" s="97">
        <v>0.0</v>
      </c>
      <c r="AV5" s="95">
        <v>5000.0</v>
      </c>
      <c r="AW5" s="17">
        <f t="shared" si="19"/>
        <v>0</v>
      </c>
      <c r="AX5" s="98">
        <f t="shared" si="20"/>
        <v>15468</v>
      </c>
      <c r="AY5" s="99">
        <f t="shared" si="21"/>
        <v>2474.88</v>
      </c>
      <c r="AZ5" s="98">
        <f t="shared" si="22"/>
        <v>15343</v>
      </c>
      <c r="BA5" s="54"/>
      <c r="BB5" s="54"/>
    </row>
    <row r="6" ht="15.75" customHeight="1">
      <c r="A6" s="14"/>
      <c r="B6" s="33" t="s">
        <v>14</v>
      </c>
      <c r="C6" s="50" t="s">
        <v>15</v>
      </c>
      <c r="D6" s="7" t="s">
        <v>469</v>
      </c>
      <c r="E6" s="7" t="s">
        <v>470</v>
      </c>
      <c r="F6" s="7" t="s">
        <v>389</v>
      </c>
      <c r="G6" s="57" t="s">
        <v>471</v>
      </c>
      <c r="H6" s="88">
        <v>5.0</v>
      </c>
      <c r="I6" s="7">
        <v>200.0</v>
      </c>
      <c r="J6" s="7"/>
      <c r="L6" s="7"/>
      <c r="M6" s="7">
        <v>1.0</v>
      </c>
      <c r="N6" s="60">
        <f t="shared" si="1"/>
        <v>200</v>
      </c>
      <c r="O6" s="89">
        <v>10.0</v>
      </c>
      <c r="P6" s="90">
        <v>11.0</v>
      </c>
      <c r="Q6" s="88">
        <v>3.0</v>
      </c>
      <c r="R6" s="88">
        <v>600.0</v>
      </c>
      <c r="S6" s="7">
        <f t="shared" si="2"/>
        <v>18000</v>
      </c>
      <c r="T6" s="7">
        <f t="shared" si="3"/>
        <v>3.33</v>
      </c>
      <c r="U6" s="60">
        <f t="shared" si="4"/>
        <v>1998</v>
      </c>
      <c r="V6" s="91">
        <f t="shared" si="5"/>
        <v>1980</v>
      </c>
      <c r="W6" s="92">
        <v>0.0</v>
      </c>
      <c r="X6" s="88">
        <v>600.0</v>
      </c>
      <c r="Y6" s="88">
        <v>1.5</v>
      </c>
      <c r="Z6" s="13">
        <f t="shared" si="6"/>
        <v>900</v>
      </c>
      <c r="AA6" s="13">
        <f t="shared" si="7"/>
        <v>600</v>
      </c>
      <c r="AB6" s="7">
        <f t="shared" si="8"/>
        <v>0</v>
      </c>
      <c r="AC6" s="93">
        <f t="shared" si="9"/>
        <v>0</v>
      </c>
      <c r="AD6" s="94">
        <v>17.4</v>
      </c>
      <c r="AE6" s="88">
        <v>800.0</v>
      </c>
      <c r="AF6" s="95">
        <v>0.8</v>
      </c>
      <c r="AG6" s="13">
        <f t="shared" si="10"/>
        <v>640</v>
      </c>
      <c r="AH6" s="13">
        <f t="shared" si="11"/>
        <v>660.8</v>
      </c>
      <c r="AI6" s="13">
        <f t="shared" si="12"/>
        <v>111.36</v>
      </c>
      <c r="AJ6" s="17">
        <f t="shared" si="13"/>
        <v>1113.6</v>
      </c>
      <c r="AK6" s="96">
        <v>0.0</v>
      </c>
      <c r="AL6" s="95">
        <v>2.0</v>
      </c>
      <c r="AM6" s="95">
        <v>24.0</v>
      </c>
      <c r="AN6" s="13">
        <f t="shared" si="14"/>
        <v>48</v>
      </c>
      <c r="AO6" s="13">
        <f t="shared" si="15"/>
        <v>2</v>
      </c>
      <c r="AP6" s="13">
        <f t="shared" si="16"/>
        <v>0</v>
      </c>
      <c r="AQ6" s="17">
        <f t="shared" si="17"/>
        <v>0</v>
      </c>
      <c r="AR6" s="97">
        <v>0.0</v>
      </c>
      <c r="AS6" s="95">
        <v>15000.0</v>
      </c>
      <c r="AT6" s="17">
        <f t="shared" si="18"/>
        <v>0</v>
      </c>
      <c r="AU6" s="97">
        <v>0.0</v>
      </c>
      <c r="AV6" s="95">
        <v>5000.0</v>
      </c>
      <c r="AW6" s="17">
        <f t="shared" si="19"/>
        <v>0</v>
      </c>
      <c r="AX6" s="98">
        <f t="shared" si="20"/>
        <v>15468</v>
      </c>
      <c r="AY6" s="99">
        <f t="shared" si="21"/>
        <v>1546.8</v>
      </c>
      <c r="AZ6" s="98">
        <f t="shared" si="22"/>
        <v>15268</v>
      </c>
      <c r="BA6" s="54"/>
      <c r="BB6" s="54"/>
    </row>
    <row r="7" ht="15.75" customHeight="1">
      <c r="A7" s="14"/>
      <c r="B7" s="33" t="s">
        <v>14</v>
      </c>
      <c r="C7" s="50" t="s">
        <v>91</v>
      </c>
      <c r="D7" s="7" t="s">
        <v>472</v>
      </c>
      <c r="E7" s="7" t="s">
        <v>473</v>
      </c>
      <c r="F7" s="7" t="s">
        <v>156</v>
      </c>
      <c r="G7" s="57" t="s">
        <v>474</v>
      </c>
      <c r="H7" s="88">
        <v>5.0</v>
      </c>
      <c r="I7" s="7"/>
      <c r="J7" s="7"/>
      <c r="L7" s="7">
        <v>180.0</v>
      </c>
      <c r="M7" s="7">
        <v>1.0</v>
      </c>
      <c r="N7" s="60">
        <f t="shared" si="1"/>
        <v>900</v>
      </c>
      <c r="O7" s="89">
        <v>10.0</v>
      </c>
      <c r="P7" s="90">
        <v>11.0</v>
      </c>
      <c r="Q7" s="88">
        <v>3.0</v>
      </c>
      <c r="R7" s="88">
        <v>600.0</v>
      </c>
      <c r="S7" s="7">
        <f t="shared" si="2"/>
        <v>18000</v>
      </c>
      <c r="T7" s="7">
        <f t="shared" si="3"/>
        <v>3.33</v>
      </c>
      <c r="U7" s="60">
        <f t="shared" si="4"/>
        <v>1998</v>
      </c>
      <c r="V7" s="91">
        <f t="shared" si="5"/>
        <v>1980</v>
      </c>
      <c r="W7" s="90">
        <v>16.4</v>
      </c>
      <c r="X7" s="88">
        <v>600.0</v>
      </c>
      <c r="Y7" s="88">
        <v>1.5</v>
      </c>
      <c r="Z7" s="13">
        <f t="shared" si="6"/>
        <v>900</v>
      </c>
      <c r="AA7" s="13">
        <f t="shared" si="7"/>
        <v>501.6</v>
      </c>
      <c r="AB7" s="7">
        <f t="shared" si="8"/>
        <v>147.6</v>
      </c>
      <c r="AC7" s="93">
        <f t="shared" si="9"/>
        <v>1476</v>
      </c>
      <c r="AD7" s="100">
        <v>0.0</v>
      </c>
      <c r="AE7" s="88">
        <v>800.0</v>
      </c>
      <c r="AF7" s="95">
        <v>0.8</v>
      </c>
      <c r="AG7" s="13">
        <f t="shared" si="10"/>
        <v>640</v>
      </c>
      <c r="AH7" s="13">
        <f t="shared" si="11"/>
        <v>800</v>
      </c>
      <c r="AI7" s="13">
        <f t="shared" si="12"/>
        <v>0</v>
      </c>
      <c r="AJ7" s="17">
        <f t="shared" si="13"/>
        <v>0</v>
      </c>
      <c r="AK7" s="96">
        <v>35.0</v>
      </c>
      <c r="AL7" s="95">
        <v>2.0</v>
      </c>
      <c r="AM7" s="95">
        <v>24.0</v>
      </c>
      <c r="AN7" s="13">
        <f t="shared" si="14"/>
        <v>48</v>
      </c>
      <c r="AO7" s="13">
        <f t="shared" si="15"/>
        <v>1.3</v>
      </c>
      <c r="AP7" s="13">
        <f t="shared" si="16"/>
        <v>16.8</v>
      </c>
      <c r="AQ7" s="17">
        <f t="shared" si="17"/>
        <v>168</v>
      </c>
      <c r="AR7" s="97">
        <v>0.0</v>
      </c>
      <c r="AS7" s="95">
        <v>15000.0</v>
      </c>
      <c r="AT7" s="17">
        <f t="shared" si="18"/>
        <v>0</v>
      </c>
      <c r="AU7" s="96">
        <v>10.0</v>
      </c>
      <c r="AV7" s="95">
        <v>5000.0</v>
      </c>
      <c r="AW7" s="17">
        <f t="shared" si="19"/>
        <v>500</v>
      </c>
      <c r="AX7" s="98">
        <f t="shared" si="20"/>
        <v>20620</v>
      </c>
      <c r="AY7" s="99">
        <f t="shared" si="21"/>
        <v>458.2222222</v>
      </c>
      <c r="AZ7" s="98">
        <f t="shared" si="22"/>
        <v>19720</v>
      </c>
      <c r="BA7" s="54"/>
      <c r="BB7" s="54"/>
    </row>
    <row r="8" ht="15.75" customHeight="1">
      <c r="A8" s="14"/>
      <c r="B8" s="33" t="s">
        <v>14</v>
      </c>
      <c r="C8" s="50" t="s">
        <v>91</v>
      </c>
      <c r="D8" s="7" t="s">
        <v>475</v>
      </c>
      <c r="E8" s="7" t="s">
        <v>473</v>
      </c>
      <c r="F8" s="7" t="s">
        <v>156</v>
      </c>
      <c r="G8" s="57" t="s">
        <v>476</v>
      </c>
      <c r="H8" s="88">
        <v>5.0</v>
      </c>
      <c r="I8" s="7"/>
      <c r="J8" s="7"/>
      <c r="L8" s="7">
        <v>340.0</v>
      </c>
      <c r="M8" s="7">
        <v>1.0</v>
      </c>
      <c r="N8" s="60">
        <f t="shared" si="1"/>
        <v>1700</v>
      </c>
      <c r="O8" s="89">
        <v>10.0</v>
      </c>
      <c r="P8" s="90">
        <v>11.0</v>
      </c>
      <c r="Q8" s="88">
        <v>3.0</v>
      </c>
      <c r="R8" s="88">
        <v>600.0</v>
      </c>
      <c r="S8" s="7">
        <f t="shared" si="2"/>
        <v>18000</v>
      </c>
      <c r="T8" s="7">
        <f t="shared" si="3"/>
        <v>3.33</v>
      </c>
      <c r="U8" s="60">
        <f t="shared" si="4"/>
        <v>1998</v>
      </c>
      <c r="V8" s="91">
        <f t="shared" si="5"/>
        <v>1980</v>
      </c>
      <c r="W8" s="90">
        <v>16.4</v>
      </c>
      <c r="X8" s="88">
        <v>600.0</v>
      </c>
      <c r="Y8" s="88">
        <v>1.5</v>
      </c>
      <c r="Z8" s="13">
        <f t="shared" si="6"/>
        <v>900</v>
      </c>
      <c r="AA8" s="13">
        <f t="shared" si="7"/>
        <v>501.6</v>
      </c>
      <c r="AB8" s="7">
        <f t="shared" si="8"/>
        <v>147.6</v>
      </c>
      <c r="AC8" s="93">
        <f t="shared" si="9"/>
        <v>1476</v>
      </c>
      <c r="AD8" s="100">
        <v>0.0</v>
      </c>
      <c r="AE8" s="88">
        <v>800.0</v>
      </c>
      <c r="AF8" s="95">
        <v>0.8</v>
      </c>
      <c r="AG8" s="13">
        <f t="shared" si="10"/>
        <v>640</v>
      </c>
      <c r="AH8" s="13">
        <f t="shared" si="11"/>
        <v>800</v>
      </c>
      <c r="AI8" s="13">
        <f t="shared" si="12"/>
        <v>0</v>
      </c>
      <c r="AJ8" s="17">
        <f t="shared" si="13"/>
        <v>0</v>
      </c>
      <c r="AK8" s="96">
        <v>35.0</v>
      </c>
      <c r="AL8" s="95">
        <v>2.0</v>
      </c>
      <c r="AM8" s="95">
        <v>24.0</v>
      </c>
      <c r="AN8" s="13">
        <f t="shared" si="14"/>
        <v>48</v>
      </c>
      <c r="AO8" s="13">
        <f t="shared" si="15"/>
        <v>1.3</v>
      </c>
      <c r="AP8" s="13">
        <f t="shared" si="16"/>
        <v>16.8</v>
      </c>
      <c r="AQ8" s="17">
        <f t="shared" si="17"/>
        <v>168</v>
      </c>
      <c r="AR8" s="97">
        <v>0.0</v>
      </c>
      <c r="AS8" s="95">
        <v>15000.0</v>
      </c>
      <c r="AT8" s="17">
        <f t="shared" si="18"/>
        <v>0</v>
      </c>
      <c r="AU8" s="96">
        <v>10.0</v>
      </c>
      <c r="AV8" s="95">
        <v>5000.0</v>
      </c>
      <c r="AW8" s="17">
        <f t="shared" si="19"/>
        <v>500</v>
      </c>
      <c r="AX8" s="98">
        <f t="shared" si="20"/>
        <v>20620</v>
      </c>
      <c r="AY8" s="99">
        <f t="shared" si="21"/>
        <v>242.5882353</v>
      </c>
      <c r="AZ8" s="98">
        <f t="shared" si="22"/>
        <v>18920</v>
      </c>
      <c r="BA8" s="54"/>
      <c r="BB8" s="54"/>
    </row>
    <row r="9" ht="15.75" customHeight="1">
      <c r="A9" s="14"/>
      <c r="B9" s="33" t="s">
        <v>14</v>
      </c>
      <c r="C9" s="50" t="s">
        <v>91</v>
      </c>
      <c r="D9" s="7" t="s">
        <v>477</v>
      </c>
      <c r="E9" s="7" t="s">
        <v>478</v>
      </c>
      <c r="F9" s="7" t="s">
        <v>156</v>
      </c>
      <c r="G9" s="57" t="s">
        <v>479</v>
      </c>
      <c r="H9" s="88">
        <v>5.0</v>
      </c>
      <c r="I9" s="7"/>
      <c r="J9" s="7"/>
      <c r="K9" s="13">
        <v>20.0</v>
      </c>
      <c r="L9" s="7">
        <v>240.0</v>
      </c>
      <c r="M9" s="7">
        <v>1.0</v>
      </c>
      <c r="N9" s="60">
        <f t="shared" si="1"/>
        <v>1200</v>
      </c>
      <c r="O9" s="89">
        <v>10.0</v>
      </c>
      <c r="P9" s="90">
        <v>11.0</v>
      </c>
      <c r="Q9" s="88">
        <v>3.0</v>
      </c>
      <c r="R9" s="88">
        <v>600.0</v>
      </c>
      <c r="S9" s="7">
        <f t="shared" si="2"/>
        <v>18000</v>
      </c>
      <c r="T9" s="7">
        <f t="shared" si="3"/>
        <v>3.33</v>
      </c>
      <c r="U9" s="60">
        <f t="shared" si="4"/>
        <v>1998</v>
      </c>
      <c r="V9" s="91">
        <f t="shared" si="5"/>
        <v>1980</v>
      </c>
      <c r="W9" s="90">
        <v>16.4</v>
      </c>
      <c r="X9" s="88">
        <v>600.0</v>
      </c>
      <c r="Y9" s="88">
        <v>1.5</v>
      </c>
      <c r="Z9" s="13">
        <f t="shared" si="6"/>
        <v>900</v>
      </c>
      <c r="AA9" s="13">
        <f t="shared" si="7"/>
        <v>501.6</v>
      </c>
      <c r="AB9" s="7">
        <f t="shared" si="8"/>
        <v>147.6</v>
      </c>
      <c r="AC9" s="93">
        <f t="shared" si="9"/>
        <v>1476</v>
      </c>
      <c r="AD9" s="100">
        <v>0.0</v>
      </c>
      <c r="AE9" s="88">
        <v>800.0</v>
      </c>
      <c r="AF9" s="95">
        <v>0.8</v>
      </c>
      <c r="AG9" s="13">
        <f t="shared" si="10"/>
        <v>640</v>
      </c>
      <c r="AH9" s="13">
        <f t="shared" si="11"/>
        <v>800</v>
      </c>
      <c r="AI9" s="13">
        <f t="shared" si="12"/>
        <v>0</v>
      </c>
      <c r="AJ9" s="17">
        <f t="shared" si="13"/>
        <v>0</v>
      </c>
      <c r="AK9" s="96">
        <v>35.0</v>
      </c>
      <c r="AL9" s="95">
        <v>2.0</v>
      </c>
      <c r="AM9" s="95">
        <v>24.0</v>
      </c>
      <c r="AN9" s="13">
        <f t="shared" si="14"/>
        <v>48</v>
      </c>
      <c r="AO9" s="13">
        <f t="shared" si="15"/>
        <v>1.3</v>
      </c>
      <c r="AP9" s="13">
        <f t="shared" si="16"/>
        <v>16.8</v>
      </c>
      <c r="AQ9" s="17">
        <f t="shared" si="17"/>
        <v>168</v>
      </c>
      <c r="AR9" s="97">
        <v>0.0</v>
      </c>
      <c r="AS9" s="95">
        <v>15000.0</v>
      </c>
      <c r="AT9" s="17">
        <f t="shared" si="18"/>
        <v>0</v>
      </c>
      <c r="AU9" s="96">
        <v>10.0</v>
      </c>
      <c r="AV9" s="95">
        <v>5000.0</v>
      </c>
      <c r="AW9" s="17">
        <f t="shared" si="19"/>
        <v>500</v>
      </c>
      <c r="AX9" s="98">
        <f t="shared" si="20"/>
        <v>20620</v>
      </c>
      <c r="AY9" s="99">
        <f t="shared" si="21"/>
        <v>343.6666667</v>
      </c>
      <c r="AZ9" s="98">
        <f t="shared" si="22"/>
        <v>19420</v>
      </c>
      <c r="BA9" s="54"/>
      <c r="BB9" s="54"/>
    </row>
    <row r="10" ht="15.75" customHeight="1">
      <c r="A10" s="14"/>
      <c r="B10" s="33" t="s">
        <v>14</v>
      </c>
      <c r="C10" s="50" t="s">
        <v>15</v>
      </c>
      <c r="D10" s="7" t="s">
        <v>124</v>
      </c>
      <c r="E10" s="7" t="s">
        <v>125</v>
      </c>
      <c r="F10" s="7" t="s">
        <v>480</v>
      </c>
      <c r="G10" s="57" t="s">
        <v>128</v>
      </c>
      <c r="H10" s="88">
        <v>5.0</v>
      </c>
      <c r="I10" s="7"/>
      <c r="J10" s="7"/>
      <c r="L10" s="7">
        <v>400.0</v>
      </c>
      <c r="M10" s="7">
        <v>1.0</v>
      </c>
      <c r="N10" s="60">
        <f t="shared" si="1"/>
        <v>2000</v>
      </c>
      <c r="O10" s="89">
        <v>10.0</v>
      </c>
      <c r="P10" s="90">
        <v>11.0</v>
      </c>
      <c r="Q10" s="88">
        <v>3.0</v>
      </c>
      <c r="R10" s="88">
        <v>600.0</v>
      </c>
      <c r="S10" s="7">
        <f t="shared" si="2"/>
        <v>18000</v>
      </c>
      <c r="T10" s="7">
        <f t="shared" si="3"/>
        <v>3.33</v>
      </c>
      <c r="U10" s="60">
        <f t="shared" si="4"/>
        <v>1998</v>
      </c>
      <c r="V10" s="91">
        <f t="shared" si="5"/>
        <v>1980</v>
      </c>
      <c r="W10" s="92">
        <v>0.0</v>
      </c>
      <c r="X10" s="88">
        <v>600.0</v>
      </c>
      <c r="Y10" s="88">
        <v>1.5</v>
      </c>
      <c r="Z10" s="13">
        <f t="shared" si="6"/>
        <v>900</v>
      </c>
      <c r="AA10" s="13">
        <f t="shared" si="7"/>
        <v>600</v>
      </c>
      <c r="AB10" s="7">
        <f t="shared" si="8"/>
        <v>0</v>
      </c>
      <c r="AC10" s="93">
        <f t="shared" si="9"/>
        <v>0</v>
      </c>
      <c r="AD10" s="94">
        <v>17.4</v>
      </c>
      <c r="AE10" s="88">
        <v>800.0</v>
      </c>
      <c r="AF10" s="95">
        <v>0.8</v>
      </c>
      <c r="AG10" s="13">
        <f t="shared" si="10"/>
        <v>640</v>
      </c>
      <c r="AH10" s="13">
        <f t="shared" si="11"/>
        <v>660.8</v>
      </c>
      <c r="AI10" s="13">
        <f t="shared" si="12"/>
        <v>111.36</v>
      </c>
      <c r="AJ10" s="17">
        <f t="shared" si="13"/>
        <v>1113.6</v>
      </c>
      <c r="AK10" s="96">
        <v>0.0</v>
      </c>
      <c r="AL10" s="95">
        <v>2.0</v>
      </c>
      <c r="AM10" s="95">
        <v>24.0</v>
      </c>
      <c r="AN10" s="13">
        <f t="shared" si="14"/>
        <v>48</v>
      </c>
      <c r="AO10" s="13">
        <f t="shared" si="15"/>
        <v>2</v>
      </c>
      <c r="AP10" s="13">
        <f t="shared" si="16"/>
        <v>0</v>
      </c>
      <c r="AQ10" s="17">
        <f t="shared" si="17"/>
        <v>0</v>
      </c>
      <c r="AR10" s="97">
        <v>0.0</v>
      </c>
      <c r="AS10" s="95">
        <v>15000.0</v>
      </c>
      <c r="AT10" s="17">
        <f t="shared" si="18"/>
        <v>0</v>
      </c>
      <c r="AU10" s="97">
        <v>0.0</v>
      </c>
      <c r="AV10" s="95">
        <v>5000.0</v>
      </c>
      <c r="AW10" s="17">
        <f t="shared" si="19"/>
        <v>0</v>
      </c>
      <c r="AX10" s="98">
        <f t="shared" si="20"/>
        <v>15468</v>
      </c>
      <c r="AY10" s="99">
        <f t="shared" si="21"/>
        <v>154.68</v>
      </c>
      <c r="AZ10" s="98">
        <f t="shared" si="22"/>
        <v>13468</v>
      </c>
      <c r="BA10" s="54"/>
      <c r="BB10" s="54"/>
    </row>
    <row r="11" ht="15.75" customHeight="1">
      <c r="A11" s="14"/>
      <c r="B11" s="33" t="s">
        <v>14</v>
      </c>
      <c r="C11" s="50" t="s">
        <v>91</v>
      </c>
      <c r="D11" s="7" t="s">
        <v>481</v>
      </c>
      <c r="E11" s="7" t="s">
        <v>482</v>
      </c>
      <c r="F11" s="7" t="s">
        <v>389</v>
      </c>
      <c r="G11" s="57" t="s">
        <v>483</v>
      </c>
      <c r="H11" s="88">
        <v>5.0</v>
      </c>
      <c r="I11" s="7"/>
      <c r="J11" s="7"/>
      <c r="L11" s="7">
        <v>70.0</v>
      </c>
      <c r="M11" s="7">
        <v>1.0</v>
      </c>
      <c r="N11" s="60">
        <f t="shared" si="1"/>
        <v>350</v>
      </c>
      <c r="O11" s="89">
        <v>10.0</v>
      </c>
      <c r="P11" s="90">
        <v>11.0</v>
      </c>
      <c r="Q11" s="88">
        <v>3.0</v>
      </c>
      <c r="R11" s="88">
        <v>600.0</v>
      </c>
      <c r="S11" s="7">
        <f t="shared" si="2"/>
        <v>18000</v>
      </c>
      <c r="T11" s="7">
        <f t="shared" si="3"/>
        <v>3.33</v>
      </c>
      <c r="U11" s="60">
        <f t="shared" si="4"/>
        <v>1998</v>
      </c>
      <c r="V11" s="91">
        <f t="shared" si="5"/>
        <v>1980</v>
      </c>
      <c r="W11" s="90">
        <v>16.4</v>
      </c>
      <c r="X11" s="88">
        <v>600.0</v>
      </c>
      <c r="Y11" s="88">
        <v>1.5</v>
      </c>
      <c r="Z11" s="13">
        <f t="shared" si="6"/>
        <v>900</v>
      </c>
      <c r="AA11" s="13">
        <f t="shared" ref="AA11:AA12" si="23">X11*(1-W12%)</f>
        <v>501.6</v>
      </c>
      <c r="AB11" s="7">
        <f t="shared" si="8"/>
        <v>147.6</v>
      </c>
      <c r="AC11" s="93">
        <f t="shared" si="9"/>
        <v>1476</v>
      </c>
      <c r="AD11" s="97">
        <v>0.0</v>
      </c>
      <c r="AE11" s="88">
        <v>800.0</v>
      </c>
      <c r="AF11" s="95">
        <v>0.8</v>
      </c>
      <c r="AG11" s="13">
        <f t="shared" si="10"/>
        <v>640</v>
      </c>
      <c r="AH11" s="13">
        <f t="shared" si="11"/>
        <v>800</v>
      </c>
      <c r="AI11" s="13">
        <f t="shared" si="12"/>
        <v>0</v>
      </c>
      <c r="AJ11" s="17">
        <f t="shared" si="13"/>
        <v>0</v>
      </c>
      <c r="AK11" s="96">
        <v>35.0</v>
      </c>
      <c r="AL11" s="95">
        <v>2.0</v>
      </c>
      <c r="AM11" s="95">
        <v>24.0</v>
      </c>
      <c r="AN11" s="13">
        <f t="shared" si="14"/>
        <v>48</v>
      </c>
      <c r="AO11" s="13">
        <f t="shared" si="15"/>
        <v>1.3</v>
      </c>
      <c r="AP11" s="13">
        <f t="shared" si="16"/>
        <v>16.8</v>
      </c>
      <c r="AQ11" s="17">
        <f t="shared" si="17"/>
        <v>168</v>
      </c>
      <c r="AR11" s="97">
        <v>0.0</v>
      </c>
      <c r="AS11" s="95">
        <v>15000.0</v>
      </c>
      <c r="AT11" s="17">
        <f t="shared" si="18"/>
        <v>0</v>
      </c>
      <c r="AU11" s="96">
        <v>10.0</v>
      </c>
      <c r="AV11" s="95">
        <v>5000.0</v>
      </c>
      <c r="AW11" s="17">
        <f t="shared" si="19"/>
        <v>500</v>
      </c>
      <c r="AX11" s="98">
        <f t="shared" si="20"/>
        <v>20620</v>
      </c>
      <c r="AY11" s="99">
        <f t="shared" si="21"/>
        <v>1178.285714</v>
      </c>
      <c r="AZ11" s="98">
        <f t="shared" si="22"/>
        <v>20270</v>
      </c>
      <c r="BA11" s="54"/>
      <c r="BB11" s="54"/>
    </row>
    <row r="12" ht="15.75" customHeight="1">
      <c r="A12" s="14"/>
      <c r="B12" s="33" t="s">
        <v>36</v>
      </c>
      <c r="C12" s="50" t="s">
        <v>91</v>
      </c>
      <c r="D12" s="7" t="s">
        <v>46</v>
      </c>
      <c r="E12" s="7" t="s">
        <v>47</v>
      </c>
      <c r="F12" s="7" t="s">
        <v>51</v>
      </c>
      <c r="G12" s="57" t="s">
        <v>52</v>
      </c>
      <c r="H12" s="88">
        <v>5.0</v>
      </c>
      <c r="I12" s="7">
        <v>4900.0</v>
      </c>
      <c r="J12" s="7"/>
      <c r="K12" s="13">
        <v>150.0</v>
      </c>
      <c r="L12" s="7">
        <v>1800.0</v>
      </c>
      <c r="M12" s="7">
        <v>1.0</v>
      </c>
      <c r="N12" s="60">
        <f t="shared" si="1"/>
        <v>13900</v>
      </c>
      <c r="O12" s="89">
        <v>10.0</v>
      </c>
      <c r="P12" s="90">
        <v>11.0</v>
      </c>
      <c r="Q12" s="88">
        <v>3.0</v>
      </c>
      <c r="R12" s="88">
        <v>600.0</v>
      </c>
      <c r="S12" s="7">
        <f t="shared" si="2"/>
        <v>18000</v>
      </c>
      <c r="T12" s="7">
        <f t="shared" si="3"/>
        <v>3.33</v>
      </c>
      <c r="U12" s="60">
        <f t="shared" si="4"/>
        <v>1998</v>
      </c>
      <c r="V12" s="91">
        <f t="shared" si="5"/>
        <v>1980</v>
      </c>
      <c r="W12" s="90">
        <v>16.4</v>
      </c>
      <c r="X12" s="88">
        <v>600.0</v>
      </c>
      <c r="Y12" s="88">
        <v>1.5</v>
      </c>
      <c r="Z12" s="13">
        <f t="shared" si="6"/>
        <v>900</v>
      </c>
      <c r="AA12" s="13">
        <f t="shared" si="23"/>
        <v>501.6</v>
      </c>
      <c r="AB12" s="7">
        <f t="shared" si="8"/>
        <v>147.6</v>
      </c>
      <c r="AC12" s="93">
        <f t="shared" si="9"/>
        <v>1476</v>
      </c>
      <c r="AD12" s="97">
        <v>0.0</v>
      </c>
      <c r="AE12" s="88">
        <v>800.0</v>
      </c>
      <c r="AF12" s="95">
        <v>0.8</v>
      </c>
      <c r="AG12" s="13">
        <f t="shared" si="10"/>
        <v>640</v>
      </c>
      <c r="AH12" s="13">
        <f t="shared" si="11"/>
        <v>800</v>
      </c>
      <c r="AI12" s="13">
        <f t="shared" si="12"/>
        <v>0</v>
      </c>
      <c r="AJ12" s="17">
        <f t="shared" si="13"/>
        <v>0</v>
      </c>
      <c r="AK12" s="96">
        <v>35.0</v>
      </c>
      <c r="AL12" s="95">
        <v>2.0</v>
      </c>
      <c r="AM12" s="95">
        <v>24.0</v>
      </c>
      <c r="AN12" s="13">
        <f t="shared" si="14"/>
        <v>48</v>
      </c>
      <c r="AO12" s="13">
        <f t="shared" si="15"/>
        <v>1.3</v>
      </c>
      <c r="AP12" s="13">
        <f t="shared" si="16"/>
        <v>16.8</v>
      </c>
      <c r="AQ12" s="17">
        <f t="shared" si="17"/>
        <v>168</v>
      </c>
      <c r="AR12" s="97">
        <v>0.0</v>
      </c>
      <c r="AS12" s="95">
        <v>15000.0</v>
      </c>
      <c r="AT12" s="17">
        <f t="shared" si="18"/>
        <v>0</v>
      </c>
      <c r="AU12" s="96">
        <v>10.0</v>
      </c>
      <c r="AV12" s="95">
        <v>5000.0</v>
      </c>
      <c r="AW12" s="17">
        <f t="shared" si="19"/>
        <v>500</v>
      </c>
      <c r="AX12" s="98">
        <f t="shared" si="20"/>
        <v>20620</v>
      </c>
      <c r="AY12" s="99">
        <f t="shared" si="21"/>
        <v>29.66906475</v>
      </c>
      <c r="AZ12" s="98">
        <f t="shared" si="22"/>
        <v>6720</v>
      </c>
      <c r="BA12" s="7"/>
      <c r="BB12" s="7"/>
    </row>
    <row r="13" ht="15.75" customHeight="1">
      <c r="A13" s="14"/>
      <c r="B13" s="33" t="s">
        <v>36</v>
      </c>
      <c r="C13" s="50" t="s">
        <v>91</v>
      </c>
      <c r="D13" s="7" t="s">
        <v>53</v>
      </c>
      <c r="E13" s="7" t="s">
        <v>54</v>
      </c>
      <c r="F13" s="7" t="s">
        <v>51</v>
      </c>
      <c r="G13" s="57" t="s">
        <v>484</v>
      </c>
      <c r="H13" s="88">
        <v>5.0</v>
      </c>
      <c r="I13" s="7"/>
      <c r="J13" s="7"/>
      <c r="K13" s="13">
        <v>30.0</v>
      </c>
      <c r="L13" s="7">
        <v>360.0</v>
      </c>
      <c r="M13" s="7">
        <v>1.0</v>
      </c>
      <c r="N13" s="60">
        <f t="shared" si="1"/>
        <v>1800</v>
      </c>
      <c r="O13" s="89">
        <v>10.0</v>
      </c>
      <c r="P13" s="51">
        <v>11.0</v>
      </c>
      <c r="Q13" s="88">
        <v>3.0</v>
      </c>
      <c r="R13" s="88">
        <v>600.0</v>
      </c>
      <c r="S13" s="7">
        <f t="shared" si="2"/>
        <v>18000</v>
      </c>
      <c r="T13" s="7">
        <f t="shared" si="3"/>
        <v>3.33</v>
      </c>
      <c r="U13" s="60">
        <f t="shared" si="4"/>
        <v>1998</v>
      </c>
      <c r="V13" s="91">
        <f t="shared" si="5"/>
        <v>1980</v>
      </c>
      <c r="W13" s="90">
        <v>16.4</v>
      </c>
      <c r="X13" s="88">
        <v>600.0</v>
      </c>
      <c r="Y13" s="88">
        <v>1.5</v>
      </c>
      <c r="Z13" s="13">
        <f t="shared" si="6"/>
        <v>900</v>
      </c>
      <c r="AA13" s="13">
        <f t="shared" ref="AA13:AA68" si="24">X13*(1-W13%)</f>
        <v>501.6</v>
      </c>
      <c r="AB13" s="7">
        <f t="shared" si="8"/>
        <v>147.6</v>
      </c>
      <c r="AC13" s="93">
        <f t="shared" si="9"/>
        <v>1476</v>
      </c>
      <c r="AD13" s="97">
        <v>0.0</v>
      </c>
      <c r="AE13" s="88">
        <v>800.0</v>
      </c>
      <c r="AF13" s="95">
        <v>0.8</v>
      </c>
      <c r="AG13" s="13">
        <f t="shared" si="10"/>
        <v>640</v>
      </c>
      <c r="AH13" s="13">
        <f t="shared" si="11"/>
        <v>800</v>
      </c>
      <c r="AI13" s="13">
        <f t="shared" si="12"/>
        <v>0</v>
      </c>
      <c r="AJ13" s="17">
        <f t="shared" si="13"/>
        <v>0</v>
      </c>
      <c r="AK13" s="96">
        <v>35.0</v>
      </c>
      <c r="AL13" s="95">
        <v>2.0</v>
      </c>
      <c r="AM13" s="95">
        <v>24.0</v>
      </c>
      <c r="AN13" s="13">
        <f t="shared" si="14"/>
        <v>48</v>
      </c>
      <c r="AO13" s="13">
        <f t="shared" si="15"/>
        <v>1.3</v>
      </c>
      <c r="AP13" s="13">
        <f t="shared" si="16"/>
        <v>16.8</v>
      </c>
      <c r="AQ13" s="17">
        <f t="shared" si="17"/>
        <v>168</v>
      </c>
      <c r="AR13" s="97">
        <v>0.0</v>
      </c>
      <c r="AS13" s="95">
        <v>15000.0</v>
      </c>
      <c r="AT13" s="17">
        <f t="shared" si="18"/>
        <v>0</v>
      </c>
      <c r="AU13" s="96">
        <v>10.0</v>
      </c>
      <c r="AV13" s="95">
        <v>5000.0</v>
      </c>
      <c r="AW13" s="17">
        <f t="shared" si="19"/>
        <v>500</v>
      </c>
      <c r="AX13" s="98">
        <f t="shared" si="20"/>
        <v>20620</v>
      </c>
      <c r="AY13" s="99">
        <f t="shared" si="21"/>
        <v>229.1111111</v>
      </c>
      <c r="AZ13" s="98">
        <f t="shared" si="22"/>
        <v>18820</v>
      </c>
      <c r="BA13" s="7"/>
      <c r="BB13" s="7"/>
    </row>
    <row r="14" ht="15.75" customHeight="1">
      <c r="A14" s="14"/>
      <c r="B14" s="33" t="s">
        <v>36</v>
      </c>
      <c r="C14" s="50" t="s">
        <v>91</v>
      </c>
      <c r="D14" s="7" t="s">
        <v>485</v>
      </c>
      <c r="E14" s="7" t="s">
        <v>60</v>
      </c>
      <c r="F14" s="7" t="s">
        <v>51</v>
      </c>
      <c r="G14" s="57" t="s">
        <v>486</v>
      </c>
      <c r="H14" s="88">
        <v>5.0</v>
      </c>
      <c r="I14" s="7"/>
      <c r="J14" s="7"/>
      <c r="L14" s="7">
        <v>250.0</v>
      </c>
      <c r="M14" s="7">
        <v>1.0</v>
      </c>
      <c r="N14" s="60">
        <f t="shared" si="1"/>
        <v>1250</v>
      </c>
      <c r="O14" s="89">
        <v>10.0</v>
      </c>
      <c r="P14" s="51">
        <v>11.0</v>
      </c>
      <c r="Q14" s="88">
        <v>3.0</v>
      </c>
      <c r="R14" s="88">
        <v>600.0</v>
      </c>
      <c r="S14" s="7">
        <f t="shared" si="2"/>
        <v>18000</v>
      </c>
      <c r="T14" s="7">
        <f t="shared" si="3"/>
        <v>3.33</v>
      </c>
      <c r="U14" s="60">
        <f t="shared" si="4"/>
        <v>1998</v>
      </c>
      <c r="V14" s="91">
        <f t="shared" si="5"/>
        <v>1980</v>
      </c>
      <c r="W14" s="90">
        <v>16.4</v>
      </c>
      <c r="X14" s="88">
        <v>600.0</v>
      </c>
      <c r="Y14" s="88">
        <v>1.5</v>
      </c>
      <c r="Z14" s="13">
        <f t="shared" si="6"/>
        <v>900</v>
      </c>
      <c r="AA14" s="13">
        <f t="shared" si="24"/>
        <v>501.6</v>
      </c>
      <c r="AB14" s="7">
        <f t="shared" si="8"/>
        <v>147.6</v>
      </c>
      <c r="AC14" s="93">
        <f t="shared" si="9"/>
        <v>1476</v>
      </c>
      <c r="AD14" s="97">
        <v>0.0</v>
      </c>
      <c r="AE14" s="88">
        <v>800.0</v>
      </c>
      <c r="AF14" s="95">
        <v>0.8</v>
      </c>
      <c r="AG14" s="13">
        <f t="shared" si="10"/>
        <v>640</v>
      </c>
      <c r="AH14" s="13">
        <f t="shared" si="11"/>
        <v>800</v>
      </c>
      <c r="AI14" s="13">
        <f t="shared" si="12"/>
        <v>0</v>
      </c>
      <c r="AJ14" s="17">
        <f t="shared" si="13"/>
        <v>0</v>
      </c>
      <c r="AK14" s="96">
        <v>35.0</v>
      </c>
      <c r="AL14" s="95">
        <v>2.0</v>
      </c>
      <c r="AM14" s="95">
        <v>24.0</v>
      </c>
      <c r="AN14" s="13">
        <f t="shared" si="14"/>
        <v>48</v>
      </c>
      <c r="AO14" s="13">
        <f t="shared" si="15"/>
        <v>1.3</v>
      </c>
      <c r="AP14" s="13">
        <f t="shared" si="16"/>
        <v>16.8</v>
      </c>
      <c r="AQ14" s="17">
        <f t="shared" si="17"/>
        <v>168</v>
      </c>
      <c r="AR14" s="97">
        <v>0.0</v>
      </c>
      <c r="AS14" s="95">
        <v>15000.0</v>
      </c>
      <c r="AT14" s="17">
        <f t="shared" si="18"/>
        <v>0</v>
      </c>
      <c r="AU14" s="96">
        <v>10.0</v>
      </c>
      <c r="AV14" s="95">
        <v>5000.0</v>
      </c>
      <c r="AW14" s="17">
        <f t="shared" si="19"/>
        <v>500</v>
      </c>
      <c r="AX14" s="98">
        <f t="shared" si="20"/>
        <v>20620</v>
      </c>
      <c r="AY14" s="99">
        <f t="shared" si="21"/>
        <v>329.92</v>
      </c>
      <c r="AZ14" s="98">
        <f t="shared" si="22"/>
        <v>19370</v>
      </c>
      <c r="BA14" s="7"/>
      <c r="BB14" s="7"/>
    </row>
    <row r="15" ht="15.75" customHeight="1">
      <c r="A15" s="14"/>
      <c r="B15" s="33" t="s">
        <v>36</v>
      </c>
      <c r="C15" s="50" t="s">
        <v>91</v>
      </c>
      <c r="D15" s="7" t="s">
        <v>487</v>
      </c>
      <c r="E15" s="7"/>
      <c r="F15" s="7" t="s">
        <v>488</v>
      </c>
      <c r="G15" s="57" t="s">
        <v>489</v>
      </c>
      <c r="H15" s="88">
        <v>5.0</v>
      </c>
      <c r="I15" s="7"/>
      <c r="J15" s="7"/>
      <c r="L15" s="7">
        <v>950.0</v>
      </c>
      <c r="M15" s="7">
        <v>1.0</v>
      </c>
      <c r="N15" s="60">
        <f t="shared" si="1"/>
        <v>4750</v>
      </c>
      <c r="O15" s="89">
        <v>10.0</v>
      </c>
      <c r="P15" s="51">
        <v>11.0</v>
      </c>
      <c r="Q15" s="88">
        <v>3.0</v>
      </c>
      <c r="R15" s="88">
        <v>600.0</v>
      </c>
      <c r="S15" s="7">
        <f t="shared" si="2"/>
        <v>18000</v>
      </c>
      <c r="T15" s="7">
        <f t="shared" si="3"/>
        <v>3.33</v>
      </c>
      <c r="U15" s="60">
        <f t="shared" si="4"/>
        <v>1998</v>
      </c>
      <c r="V15" s="91">
        <f t="shared" si="5"/>
        <v>1980</v>
      </c>
      <c r="W15" s="90">
        <v>16.4</v>
      </c>
      <c r="X15" s="88">
        <v>600.0</v>
      </c>
      <c r="Y15" s="88">
        <v>1.5</v>
      </c>
      <c r="Z15" s="13">
        <f t="shared" si="6"/>
        <v>900</v>
      </c>
      <c r="AA15" s="13">
        <f t="shared" si="24"/>
        <v>501.6</v>
      </c>
      <c r="AB15" s="7">
        <f t="shared" si="8"/>
        <v>147.6</v>
      </c>
      <c r="AC15" s="93">
        <f t="shared" si="9"/>
        <v>1476</v>
      </c>
      <c r="AD15" s="97">
        <v>0.0</v>
      </c>
      <c r="AE15" s="88">
        <v>800.0</v>
      </c>
      <c r="AF15" s="95">
        <v>0.8</v>
      </c>
      <c r="AG15" s="13">
        <f t="shared" si="10"/>
        <v>640</v>
      </c>
      <c r="AH15" s="13">
        <f t="shared" si="11"/>
        <v>800</v>
      </c>
      <c r="AI15" s="13">
        <f t="shared" si="12"/>
        <v>0</v>
      </c>
      <c r="AJ15" s="17">
        <f t="shared" si="13"/>
        <v>0</v>
      </c>
      <c r="AK15" s="96">
        <v>35.0</v>
      </c>
      <c r="AL15" s="95">
        <v>2.0</v>
      </c>
      <c r="AM15" s="95">
        <v>24.0</v>
      </c>
      <c r="AN15" s="13">
        <f t="shared" si="14"/>
        <v>48</v>
      </c>
      <c r="AO15" s="13">
        <f t="shared" si="15"/>
        <v>1.3</v>
      </c>
      <c r="AP15" s="13">
        <f t="shared" si="16"/>
        <v>16.8</v>
      </c>
      <c r="AQ15" s="17">
        <f t="shared" si="17"/>
        <v>168</v>
      </c>
      <c r="AR15" s="97">
        <v>0.0</v>
      </c>
      <c r="AS15" s="95">
        <v>15000.0</v>
      </c>
      <c r="AT15" s="17">
        <f t="shared" si="18"/>
        <v>0</v>
      </c>
      <c r="AU15" s="96">
        <v>10.0</v>
      </c>
      <c r="AV15" s="95">
        <v>5000.0</v>
      </c>
      <c r="AW15" s="17">
        <f t="shared" si="19"/>
        <v>500</v>
      </c>
      <c r="AX15" s="98">
        <f t="shared" si="20"/>
        <v>20620</v>
      </c>
      <c r="AY15" s="99">
        <f t="shared" si="21"/>
        <v>86.82105263</v>
      </c>
      <c r="AZ15" s="98">
        <f t="shared" si="22"/>
        <v>15870</v>
      </c>
      <c r="BA15" s="7"/>
      <c r="BB15" s="7"/>
    </row>
    <row r="16" ht="15.75" customHeight="1">
      <c r="A16" s="14"/>
      <c r="B16" s="33" t="s">
        <v>36</v>
      </c>
      <c r="C16" s="50" t="s">
        <v>91</v>
      </c>
      <c r="D16" s="7" t="s">
        <v>490</v>
      </c>
      <c r="E16" s="7" t="s">
        <v>72</v>
      </c>
      <c r="F16" s="7" t="s">
        <v>51</v>
      </c>
      <c r="G16" s="57" t="s">
        <v>491</v>
      </c>
      <c r="H16" s="88">
        <v>5.0</v>
      </c>
      <c r="I16" s="7"/>
      <c r="J16" s="7"/>
      <c r="L16" s="7">
        <v>60.0</v>
      </c>
      <c r="M16" s="7">
        <v>1.0</v>
      </c>
      <c r="N16" s="60">
        <f t="shared" si="1"/>
        <v>300</v>
      </c>
      <c r="O16" s="89">
        <v>10.0</v>
      </c>
      <c r="P16" s="51">
        <v>11.0</v>
      </c>
      <c r="Q16" s="88">
        <v>3.0</v>
      </c>
      <c r="R16" s="88">
        <v>600.0</v>
      </c>
      <c r="S16" s="7">
        <f t="shared" si="2"/>
        <v>18000</v>
      </c>
      <c r="T16" s="7">
        <f t="shared" si="3"/>
        <v>3.33</v>
      </c>
      <c r="U16" s="60">
        <f t="shared" si="4"/>
        <v>1998</v>
      </c>
      <c r="V16" s="91">
        <f t="shared" si="5"/>
        <v>1980</v>
      </c>
      <c r="W16" s="101">
        <v>0.0</v>
      </c>
      <c r="X16" s="88">
        <v>600.0</v>
      </c>
      <c r="Y16" s="88">
        <v>1.5</v>
      </c>
      <c r="Z16" s="13">
        <f t="shared" si="6"/>
        <v>900</v>
      </c>
      <c r="AA16" s="13">
        <f t="shared" si="24"/>
        <v>600</v>
      </c>
      <c r="AB16" s="7">
        <f t="shared" si="8"/>
        <v>0</v>
      </c>
      <c r="AC16" s="93">
        <f t="shared" si="9"/>
        <v>0</v>
      </c>
      <c r="AD16" s="94">
        <v>17.4</v>
      </c>
      <c r="AE16" s="88">
        <v>800.0</v>
      </c>
      <c r="AF16" s="95">
        <v>0.8</v>
      </c>
      <c r="AG16" s="13">
        <f t="shared" si="10"/>
        <v>640</v>
      </c>
      <c r="AH16" s="13">
        <f t="shared" si="11"/>
        <v>660.8</v>
      </c>
      <c r="AI16" s="13">
        <f t="shared" si="12"/>
        <v>111.36</v>
      </c>
      <c r="AJ16" s="17">
        <f t="shared" si="13"/>
        <v>1113.6</v>
      </c>
      <c r="AK16" s="94">
        <v>0.0</v>
      </c>
      <c r="AL16" s="95">
        <v>2.0</v>
      </c>
      <c r="AM16" s="95">
        <v>24.0</v>
      </c>
      <c r="AN16" s="13">
        <f t="shared" si="14"/>
        <v>48</v>
      </c>
      <c r="AO16" s="13">
        <f t="shared" si="15"/>
        <v>2</v>
      </c>
      <c r="AP16" s="13">
        <f t="shared" si="16"/>
        <v>0</v>
      </c>
      <c r="AQ16" s="17">
        <f t="shared" si="17"/>
        <v>0</v>
      </c>
      <c r="AR16" s="97">
        <v>0.0</v>
      </c>
      <c r="AS16" s="95">
        <v>15000.0</v>
      </c>
      <c r="AT16" s="17">
        <f t="shared" si="18"/>
        <v>0</v>
      </c>
      <c r="AU16" s="96">
        <v>10.0</v>
      </c>
      <c r="AV16" s="95">
        <v>5000.0</v>
      </c>
      <c r="AW16" s="17">
        <f t="shared" si="19"/>
        <v>500</v>
      </c>
      <c r="AX16" s="98">
        <f t="shared" si="20"/>
        <v>17968</v>
      </c>
      <c r="AY16" s="99">
        <f t="shared" si="21"/>
        <v>1197.866667</v>
      </c>
      <c r="AZ16" s="98">
        <f t="shared" si="22"/>
        <v>17668</v>
      </c>
      <c r="BA16" s="7"/>
      <c r="BB16" s="7"/>
    </row>
    <row r="17" ht="15.75" customHeight="1">
      <c r="A17" s="14"/>
      <c r="B17" s="33" t="s">
        <v>77</v>
      </c>
      <c r="C17" s="50" t="s">
        <v>91</v>
      </c>
      <c r="D17" s="7" t="s">
        <v>79</v>
      </c>
      <c r="E17" s="7" t="s">
        <v>80</v>
      </c>
      <c r="F17" s="7" t="s">
        <v>51</v>
      </c>
      <c r="G17" s="57" t="s">
        <v>492</v>
      </c>
      <c r="H17" s="88">
        <v>5.0</v>
      </c>
      <c r="I17" s="7"/>
      <c r="J17" s="7">
        <v>6.0</v>
      </c>
      <c r="L17" s="88"/>
      <c r="M17" s="7">
        <v>1.0</v>
      </c>
      <c r="N17" s="60">
        <f t="shared" si="1"/>
        <v>60</v>
      </c>
      <c r="O17" s="89">
        <v>10.0</v>
      </c>
      <c r="P17" s="51">
        <v>11.0</v>
      </c>
      <c r="Q17" s="88">
        <v>3.0</v>
      </c>
      <c r="R17" s="88">
        <v>600.0</v>
      </c>
      <c r="S17" s="7">
        <f t="shared" si="2"/>
        <v>18000</v>
      </c>
      <c r="T17" s="7">
        <f t="shared" si="3"/>
        <v>3.33</v>
      </c>
      <c r="U17" s="60">
        <f t="shared" si="4"/>
        <v>1998</v>
      </c>
      <c r="V17" s="91">
        <f t="shared" si="5"/>
        <v>1980</v>
      </c>
      <c r="W17" s="90">
        <v>16.4</v>
      </c>
      <c r="X17" s="88">
        <v>600.0</v>
      </c>
      <c r="Y17" s="88">
        <v>1.5</v>
      </c>
      <c r="Z17" s="13">
        <f t="shared" si="6"/>
        <v>900</v>
      </c>
      <c r="AA17" s="13">
        <f t="shared" si="24"/>
        <v>501.6</v>
      </c>
      <c r="AB17" s="7">
        <f t="shared" si="8"/>
        <v>147.6</v>
      </c>
      <c r="AC17" s="93">
        <f t="shared" si="9"/>
        <v>1476</v>
      </c>
      <c r="AD17" s="97">
        <v>0.0</v>
      </c>
      <c r="AE17" s="88">
        <v>800.0</v>
      </c>
      <c r="AF17" s="95">
        <v>0.8</v>
      </c>
      <c r="AG17" s="13">
        <f t="shared" si="10"/>
        <v>640</v>
      </c>
      <c r="AH17" s="13">
        <f t="shared" si="11"/>
        <v>800</v>
      </c>
      <c r="AI17" s="13">
        <f t="shared" si="12"/>
        <v>0</v>
      </c>
      <c r="AJ17" s="17">
        <f t="shared" si="13"/>
        <v>0</v>
      </c>
      <c r="AK17" s="96">
        <v>35.0</v>
      </c>
      <c r="AL17" s="95">
        <v>2.0</v>
      </c>
      <c r="AM17" s="95">
        <v>24.0</v>
      </c>
      <c r="AN17" s="13">
        <f t="shared" si="14"/>
        <v>48</v>
      </c>
      <c r="AO17" s="13">
        <f t="shared" si="15"/>
        <v>1.3</v>
      </c>
      <c r="AP17" s="13">
        <f t="shared" si="16"/>
        <v>16.8</v>
      </c>
      <c r="AQ17" s="17">
        <f t="shared" si="17"/>
        <v>168</v>
      </c>
      <c r="AR17" s="96">
        <v>0.0</v>
      </c>
      <c r="AS17" s="95">
        <v>15000.0</v>
      </c>
      <c r="AT17" s="17">
        <f t="shared" si="18"/>
        <v>0</v>
      </c>
      <c r="AU17" s="102">
        <v>0.0</v>
      </c>
      <c r="AV17" s="95">
        <v>5000.0</v>
      </c>
      <c r="AW17" s="17">
        <f t="shared" si="19"/>
        <v>0</v>
      </c>
      <c r="AX17" s="98">
        <f t="shared" si="20"/>
        <v>18120</v>
      </c>
      <c r="AY17" s="99">
        <f t="shared" si="21"/>
        <v>6040</v>
      </c>
      <c r="AZ17" s="98">
        <f t="shared" si="22"/>
        <v>18060</v>
      </c>
      <c r="BA17" s="7"/>
      <c r="BB17" s="7"/>
    </row>
    <row r="18" ht="15.75" customHeight="1">
      <c r="A18" s="14"/>
      <c r="B18" s="33" t="s">
        <v>14</v>
      </c>
      <c r="C18" s="50" t="s">
        <v>37</v>
      </c>
      <c r="D18" s="7" t="s">
        <v>135</v>
      </c>
      <c r="E18" s="7" t="s">
        <v>136</v>
      </c>
      <c r="F18" s="7" t="s">
        <v>51</v>
      </c>
      <c r="G18" s="57" t="s">
        <v>139</v>
      </c>
      <c r="H18" s="88">
        <v>5.0</v>
      </c>
      <c r="I18" s="7"/>
      <c r="J18" s="7"/>
      <c r="L18" s="7">
        <v>1000.0</v>
      </c>
      <c r="M18" s="7">
        <v>1.0</v>
      </c>
      <c r="N18" s="60">
        <f t="shared" si="1"/>
        <v>5000</v>
      </c>
      <c r="O18" s="89">
        <v>10.0</v>
      </c>
      <c r="P18" s="51">
        <v>11.0</v>
      </c>
      <c r="Q18" s="88">
        <v>3.0</v>
      </c>
      <c r="R18" s="88">
        <v>600.0</v>
      </c>
      <c r="S18" s="7">
        <f t="shared" si="2"/>
        <v>18000</v>
      </c>
      <c r="T18" s="7">
        <f t="shared" si="3"/>
        <v>3.33</v>
      </c>
      <c r="U18" s="60">
        <f t="shared" si="4"/>
        <v>1998</v>
      </c>
      <c r="V18" s="91">
        <f t="shared" si="5"/>
        <v>1980</v>
      </c>
      <c r="W18" s="90">
        <v>16.4</v>
      </c>
      <c r="X18" s="88">
        <v>600.0</v>
      </c>
      <c r="Y18" s="88">
        <v>1.5</v>
      </c>
      <c r="Z18" s="13">
        <f t="shared" si="6"/>
        <v>900</v>
      </c>
      <c r="AA18" s="13">
        <f t="shared" si="24"/>
        <v>501.6</v>
      </c>
      <c r="AB18" s="7">
        <f t="shared" si="8"/>
        <v>147.6</v>
      </c>
      <c r="AC18" s="93">
        <f t="shared" si="9"/>
        <v>1476</v>
      </c>
      <c r="AD18" s="97">
        <v>0.0</v>
      </c>
      <c r="AE18" s="88">
        <v>800.0</v>
      </c>
      <c r="AF18" s="95">
        <v>0.8</v>
      </c>
      <c r="AG18" s="13">
        <f t="shared" si="10"/>
        <v>640</v>
      </c>
      <c r="AH18" s="13">
        <f t="shared" si="11"/>
        <v>800</v>
      </c>
      <c r="AI18" s="13">
        <f t="shared" si="12"/>
        <v>0</v>
      </c>
      <c r="AJ18" s="17">
        <f t="shared" si="13"/>
        <v>0</v>
      </c>
      <c r="AK18" s="96">
        <v>35.0</v>
      </c>
      <c r="AL18" s="95">
        <v>2.0</v>
      </c>
      <c r="AM18" s="95">
        <v>24.0</v>
      </c>
      <c r="AN18" s="13">
        <f t="shared" si="14"/>
        <v>48</v>
      </c>
      <c r="AO18" s="13">
        <f t="shared" si="15"/>
        <v>1.3</v>
      </c>
      <c r="AP18" s="13">
        <f t="shared" si="16"/>
        <v>16.8</v>
      </c>
      <c r="AQ18" s="17">
        <f t="shared" si="17"/>
        <v>168</v>
      </c>
      <c r="AR18" s="97">
        <v>0.0</v>
      </c>
      <c r="AS18" s="95">
        <v>15000.0</v>
      </c>
      <c r="AT18" s="17">
        <f t="shared" si="18"/>
        <v>0</v>
      </c>
      <c r="AU18" s="96">
        <v>10.0</v>
      </c>
      <c r="AV18" s="95">
        <v>5000.0</v>
      </c>
      <c r="AW18" s="17">
        <f t="shared" si="19"/>
        <v>500</v>
      </c>
      <c r="AX18" s="98">
        <f t="shared" si="20"/>
        <v>20620</v>
      </c>
      <c r="AY18" s="99">
        <f t="shared" si="21"/>
        <v>82.48</v>
      </c>
      <c r="AZ18" s="98">
        <f t="shared" si="22"/>
        <v>15620</v>
      </c>
      <c r="BA18" s="7"/>
      <c r="BB18" s="7"/>
    </row>
    <row r="19" ht="15.75" customHeight="1">
      <c r="A19" s="14"/>
      <c r="B19" s="33" t="s">
        <v>14</v>
      </c>
      <c r="C19" s="50" t="s">
        <v>37</v>
      </c>
      <c r="D19" s="7" t="s">
        <v>130</v>
      </c>
      <c r="E19" s="7" t="s">
        <v>130</v>
      </c>
      <c r="F19" s="7" t="s">
        <v>51</v>
      </c>
      <c r="G19" s="57" t="s">
        <v>493</v>
      </c>
      <c r="H19" s="88">
        <v>5.0</v>
      </c>
      <c r="I19" s="7"/>
      <c r="J19" s="7"/>
      <c r="L19" s="7">
        <v>500.0</v>
      </c>
      <c r="M19" s="7">
        <v>1.0</v>
      </c>
      <c r="N19" s="60">
        <f t="shared" si="1"/>
        <v>2500</v>
      </c>
      <c r="O19" s="89">
        <v>10.0</v>
      </c>
      <c r="P19" s="51">
        <v>11.0</v>
      </c>
      <c r="Q19" s="88">
        <v>3.0</v>
      </c>
      <c r="R19" s="88">
        <v>600.0</v>
      </c>
      <c r="S19" s="7">
        <f t="shared" si="2"/>
        <v>18000</v>
      </c>
      <c r="T19" s="7">
        <f t="shared" si="3"/>
        <v>3.33</v>
      </c>
      <c r="U19" s="60">
        <f t="shared" si="4"/>
        <v>1998</v>
      </c>
      <c r="V19" s="91">
        <f t="shared" si="5"/>
        <v>1980</v>
      </c>
      <c r="W19" s="90">
        <v>16.4</v>
      </c>
      <c r="X19" s="88">
        <v>600.0</v>
      </c>
      <c r="Y19" s="88">
        <v>1.5</v>
      </c>
      <c r="Z19" s="13">
        <f t="shared" si="6"/>
        <v>900</v>
      </c>
      <c r="AA19" s="13">
        <f t="shared" si="24"/>
        <v>501.6</v>
      </c>
      <c r="AB19" s="7">
        <f t="shared" si="8"/>
        <v>147.6</v>
      </c>
      <c r="AC19" s="93">
        <f t="shared" si="9"/>
        <v>1476</v>
      </c>
      <c r="AD19" s="97">
        <v>0.0</v>
      </c>
      <c r="AE19" s="88">
        <v>800.0</v>
      </c>
      <c r="AF19" s="95">
        <v>0.8</v>
      </c>
      <c r="AG19" s="13">
        <f t="shared" si="10"/>
        <v>640</v>
      </c>
      <c r="AH19" s="13">
        <f t="shared" si="11"/>
        <v>800</v>
      </c>
      <c r="AI19" s="13">
        <f t="shared" si="12"/>
        <v>0</v>
      </c>
      <c r="AJ19" s="17">
        <f t="shared" si="13"/>
        <v>0</v>
      </c>
      <c r="AK19" s="96">
        <v>35.0</v>
      </c>
      <c r="AL19" s="95">
        <v>2.0</v>
      </c>
      <c r="AM19" s="95">
        <v>24.0</v>
      </c>
      <c r="AN19" s="13">
        <f t="shared" si="14"/>
        <v>48</v>
      </c>
      <c r="AO19" s="13">
        <f t="shared" si="15"/>
        <v>1.3</v>
      </c>
      <c r="AP19" s="13">
        <f t="shared" si="16"/>
        <v>16.8</v>
      </c>
      <c r="AQ19" s="17">
        <f t="shared" si="17"/>
        <v>168</v>
      </c>
      <c r="AR19" s="97">
        <v>0.0</v>
      </c>
      <c r="AS19" s="95">
        <v>15000.0</v>
      </c>
      <c r="AT19" s="17">
        <f t="shared" si="18"/>
        <v>0</v>
      </c>
      <c r="AU19" s="96">
        <v>10.0</v>
      </c>
      <c r="AV19" s="95">
        <v>5000.0</v>
      </c>
      <c r="AW19" s="17">
        <f t="shared" si="19"/>
        <v>500</v>
      </c>
      <c r="AX19" s="98">
        <f t="shared" si="20"/>
        <v>20620</v>
      </c>
      <c r="AY19" s="99">
        <f t="shared" si="21"/>
        <v>164.96</v>
      </c>
      <c r="AZ19" s="98">
        <f t="shared" si="22"/>
        <v>18120</v>
      </c>
      <c r="BA19" s="54"/>
      <c r="BB19" s="54"/>
    </row>
    <row r="20" ht="15.75" customHeight="1">
      <c r="A20" s="14"/>
      <c r="B20" s="33" t="s">
        <v>14</v>
      </c>
      <c r="C20" s="50" t="s">
        <v>91</v>
      </c>
      <c r="D20" s="7" t="s">
        <v>494</v>
      </c>
      <c r="E20" s="7" t="s">
        <v>109</v>
      </c>
      <c r="F20" s="7" t="s">
        <v>480</v>
      </c>
      <c r="G20" s="57" t="s">
        <v>495</v>
      </c>
      <c r="H20" s="88">
        <v>5.0</v>
      </c>
      <c r="I20" s="103">
        <v>6300.0</v>
      </c>
      <c r="J20" s="7"/>
      <c r="L20" s="7"/>
      <c r="M20" s="7">
        <v>1.0</v>
      </c>
      <c r="N20" s="60">
        <f t="shared" si="1"/>
        <v>6300</v>
      </c>
      <c r="O20" s="89">
        <v>10.0</v>
      </c>
      <c r="P20" s="51">
        <v>11.0</v>
      </c>
      <c r="Q20" s="88">
        <v>3.0</v>
      </c>
      <c r="R20" s="88">
        <v>600.0</v>
      </c>
      <c r="S20" s="7">
        <f t="shared" si="2"/>
        <v>18000</v>
      </c>
      <c r="T20" s="7">
        <f t="shared" si="3"/>
        <v>3.33</v>
      </c>
      <c r="U20" s="60">
        <f t="shared" si="4"/>
        <v>1998</v>
      </c>
      <c r="V20" s="91">
        <f t="shared" si="5"/>
        <v>1980</v>
      </c>
      <c r="W20" s="90">
        <v>16.4</v>
      </c>
      <c r="X20" s="88">
        <v>600.0</v>
      </c>
      <c r="Y20" s="88">
        <v>1.5</v>
      </c>
      <c r="Z20" s="13">
        <f t="shared" si="6"/>
        <v>900</v>
      </c>
      <c r="AA20" s="13">
        <f t="shared" si="24"/>
        <v>501.6</v>
      </c>
      <c r="AB20" s="7">
        <f t="shared" si="8"/>
        <v>147.6</v>
      </c>
      <c r="AC20" s="93">
        <f t="shared" si="9"/>
        <v>1476</v>
      </c>
      <c r="AD20" s="97">
        <v>0.0</v>
      </c>
      <c r="AE20" s="88">
        <v>800.0</v>
      </c>
      <c r="AF20" s="95">
        <v>0.8</v>
      </c>
      <c r="AG20" s="13">
        <f t="shared" si="10"/>
        <v>640</v>
      </c>
      <c r="AH20" s="13">
        <f t="shared" si="11"/>
        <v>800</v>
      </c>
      <c r="AI20" s="13">
        <f t="shared" si="12"/>
        <v>0</v>
      </c>
      <c r="AJ20" s="17">
        <f t="shared" si="13"/>
        <v>0</v>
      </c>
      <c r="AK20" s="96">
        <v>35.0</v>
      </c>
      <c r="AL20" s="95">
        <v>2.0</v>
      </c>
      <c r="AM20" s="95">
        <v>24.0</v>
      </c>
      <c r="AN20" s="13">
        <f t="shared" si="14"/>
        <v>48</v>
      </c>
      <c r="AO20" s="13">
        <f t="shared" si="15"/>
        <v>1.3</v>
      </c>
      <c r="AP20" s="13">
        <f t="shared" si="16"/>
        <v>16.8</v>
      </c>
      <c r="AQ20" s="17">
        <f t="shared" si="17"/>
        <v>168</v>
      </c>
      <c r="AR20" s="97">
        <v>0.0</v>
      </c>
      <c r="AS20" s="95">
        <v>15000.0</v>
      </c>
      <c r="AT20" s="17">
        <f t="shared" si="18"/>
        <v>0</v>
      </c>
      <c r="AU20" s="96">
        <v>10.0</v>
      </c>
      <c r="AV20" s="95">
        <v>5000.0</v>
      </c>
      <c r="AW20" s="17">
        <f t="shared" si="19"/>
        <v>500</v>
      </c>
      <c r="AX20" s="98">
        <f t="shared" si="20"/>
        <v>20620</v>
      </c>
      <c r="AY20" s="99">
        <f t="shared" si="21"/>
        <v>65.46031746</v>
      </c>
      <c r="AZ20" s="98">
        <f t="shared" si="22"/>
        <v>14320</v>
      </c>
      <c r="BA20" s="54"/>
      <c r="BB20" s="54"/>
    </row>
    <row r="21" ht="15.75" customHeight="1">
      <c r="A21" s="21"/>
      <c r="B21" s="104" t="s">
        <v>14</v>
      </c>
      <c r="C21" s="105" t="s">
        <v>91</v>
      </c>
      <c r="D21" s="106" t="s">
        <v>108</v>
      </c>
      <c r="E21" s="106" t="s">
        <v>109</v>
      </c>
      <c r="F21" s="106" t="s">
        <v>156</v>
      </c>
      <c r="G21" s="107" t="s">
        <v>496</v>
      </c>
      <c r="H21" s="108">
        <v>5.0</v>
      </c>
      <c r="I21" s="106">
        <v>3300.0</v>
      </c>
      <c r="J21" s="106"/>
      <c r="K21" s="109"/>
      <c r="L21" s="106"/>
      <c r="M21" s="106">
        <v>1.0</v>
      </c>
      <c r="N21" s="110">
        <f t="shared" si="1"/>
        <v>3300</v>
      </c>
      <c r="O21" s="111">
        <v>10.0</v>
      </c>
      <c r="P21" s="112">
        <v>11.0</v>
      </c>
      <c r="Q21" s="108">
        <v>3.0</v>
      </c>
      <c r="R21" s="108">
        <v>600.0</v>
      </c>
      <c r="S21" s="106">
        <f t="shared" si="2"/>
        <v>18000</v>
      </c>
      <c r="T21" s="106">
        <f t="shared" si="3"/>
        <v>3.33</v>
      </c>
      <c r="U21" s="110">
        <f t="shared" si="4"/>
        <v>1998</v>
      </c>
      <c r="V21" s="113">
        <f t="shared" si="5"/>
        <v>1980</v>
      </c>
      <c r="W21" s="114">
        <v>16.4</v>
      </c>
      <c r="X21" s="108">
        <v>600.0</v>
      </c>
      <c r="Y21" s="108">
        <v>1.5</v>
      </c>
      <c r="Z21" s="22">
        <f t="shared" si="6"/>
        <v>900</v>
      </c>
      <c r="AA21" s="22">
        <f t="shared" si="24"/>
        <v>501.6</v>
      </c>
      <c r="AB21" s="106">
        <f t="shared" si="8"/>
        <v>147.6</v>
      </c>
      <c r="AC21" s="115">
        <f t="shared" si="9"/>
        <v>1476</v>
      </c>
      <c r="AD21" s="116">
        <v>0.0</v>
      </c>
      <c r="AE21" s="108">
        <v>800.0</v>
      </c>
      <c r="AF21" s="117">
        <v>0.8</v>
      </c>
      <c r="AG21" s="22">
        <f t="shared" si="10"/>
        <v>640</v>
      </c>
      <c r="AH21" s="22">
        <f t="shared" si="11"/>
        <v>800</v>
      </c>
      <c r="AI21" s="22">
        <f t="shared" si="12"/>
        <v>0</v>
      </c>
      <c r="AJ21" s="25">
        <f t="shared" si="13"/>
        <v>0</v>
      </c>
      <c r="AK21" s="118">
        <v>35.0</v>
      </c>
      <c r="AL21" s="117">
        <v>2.0</v>
      </c>
      <c r="AM21" s="117">
        <v>24.0</v>
      </c>
      <c r="AN21" s="22">
        <f t="shared" si="14"/>
        <v>48</v>
      </c>
      <c r="AO21" s="22">
        <f t="shared" si="15"/>
        <v>1.3</v>
      </c>
      <c r="AP21" s="22">
        <f t="shared" si="16"/>
        <v>16.8</v>
      </c>
      <c r="AQ21" s="25">
        <f t="shared" si="17"/>
        <v>168</v>
      </c>
      <c r="AR21" s="116">
        <v>0.0</v>
      </c>
      <c r="AS21" s="117">
        <v>15000.0</v>
      </c>
      <c r="AT21" s="25">
        <f t="shared" si="18"/>
        <v>0</v>
      </c>
      <c r="AU21" s="118">
        <v>10.0</v>
      </c>
      <c r="AV21" s="117">
        <v>5000.0</v>
      </c>
      <c r="AW21" s="25">
        <f t="shared" si="19"/>
        <v>500</v>
      </c>
      <c r="AX21" s="119">
        <f t="shared" si="20"/>
        <v>20620</v>
      </c>
      <c r="AY21" s="120">
        <f t="shared" si="21"/>
        <v>124.969697</v>
      </c>
      <c r="AZ21" s="119">
        <f t="shared" si="22"/>
        <v>17320</v>
      </c>
      <c r="BA21" s="54"/>
      <c r="BB21" s="54"/>
    </row>
    <row r="22" ht="15.75" customHeight="1">
      <c r="A22" s="71" t="s">
        <v>140</v>
      </c>
      <c r="B22" s="72" t="s">
        <v>14</v>
      </c>
      <c r="C22" s="73" t="s">
        <v>141</v>
      </c>
      <c r="D22" s="74" t="s">
        <v>142</v>
      </c>
      <c r="E22" s="74" t="s">
        <v>143</v>
      </c>
      <c r="F22" s="74" t="s">
        <v>156</v>
      </c>
      <c r="G22" s="75" t="s">
        <v>497</v>
      </c>
      <c r="H22" s="76">
        <v>5.0</v>
      </c>
      <c r="I22" s="74">
        <v>6290.0</v>
      </c>
      <c r="J22" s="74"/>
      <c r="K22" s="77"/>
      <c r="L22" s="74"/>
      <c r="M22" s="74">
        <v>1.0</v>
      </c>
      <c r="N22" s="78">
        <f t="shared" si="1"/>
        <v>6290</v>
      </c>
      <c r="O22" s="121">
        <v>10.0</v>
      </c>
      <c r="P22" s="122">
        <v>12.5</v>
      </c>
      <c r="Q22" s="76">
        <v>3.0</v>
      </c>
      <c r="R22" s="76">
        <v>600.0</v>
      </c>
      <c r="S22" s="74">
        <f t="shared" si="2"/>
        <v>18000</v>
      </c>
      <c r="T22" s="74">
        <f t="shared" si="3"/>
        <v>3.375</v>
      </c>
      <c r="U22" s="78">
        <f t="shared" si="4"/>
        <v>2025</v>
      </c>
      <c r="V22" s="80">
        <f t="shared" si="5"/>
        <v>2250</v>
      </c>
      <c r="W22" s="122">
        <v>12.5</v>
      </c>
      <c r="X22" s="76">
        <v>600.0</v>
      </c>
      <c r="Y22" s="76">
        <v>1.5</v>
      </c>
      <c r="Z22" s="9">
        <f t="shared" si="6"/>
        <v>900</v>
      </c>
      <c r="AA22" s="9">
        <f t="shared" si="24"/>
        <v>525</v>
      </c>
      <c r="AB22" s="74">
        <f t="shared" si="8"/>
        <v>112.5</v>
      </c>
      <c r="AC22" s="81">
        <f t="shared" si="9"/>
        <v>1125</v>
      </c>
      <c r="AD22" s="84">
        <v>65.0</v>
      </c>
      <c r="AE22" s="76">
        <v>800.0</v>
      </c>
      <c r="AF22" s="83">
        <v>0.8</v>
      </c>
      <c r="AG22" s="9">
        <f t="shared" si="10"/>
        <v>640</v>
      </c>
      <c r="AH22" s="9">
        <f t="shared" si="11"/>
        <v>280</v>
      </c>
      <c r="AI22" s="9">
        <f t="shared" si="12"/>
        <v>416</v>
      </c>
      <c r="AJ22" s="12">
        <f t="shared" si="13"/>
        <v>4160</v>
      </c>
      <c r="AK22" s="84">
        <v>5.0</v>
      </c>
      <c r="AL22" s="83">
        <v>2.0</v>
      </c>
      <c r="AM22" s="83">
        <v>24.0</v>
      </c>
      <c r="AN22" s="9">
        <f t="shared" si="14"/>
        <v>48</v>
      </c>
      <c r="AO22" s="9">
        <f t="shared" si="15"/>
        <v>1.9</v>
      </c>
      <c r="AP22" s="9">
        <f t="shared" si="16"/>
        <v>2.4</v>
      </c>
      <c r="AQ22" s="12">
        <f t="shared" si="17"/>
        <v>24</v>
      </c>
      <c r="AR22" s="84">
        <v>8.0</v>
      </c>
      <c r="AS22" s="83">
        <v>15000.0</v>
      </c>
      <c r="AT22" s="9">
        <f t="shared" si="18"/>
        <v>1200</v>
      </c>
      <c r="AU22" s="123">
        <v>26.0</v>
      </c>
      <c r="AV22" s="83">
        <v>5000.0</v>
      </c>
      <c r="AW22" s="12">
        <f t="shared" si="19"/>
        <v>1300</v>
      </c>
      <c r="AX22" s="86">
        <f t="shared" si="20"/>
        <v>50295</v>
      </c>
      <c r="AY22" s="87">
        <f t="shared" si="21"/>
        <v>159.9205087</v>
      </c>
      <c r="AZ22" s="86">
        <f t="shared" si="22"/>
        <v>44005</v>
      </c>
    </row>
    <row r="23" ht="15.75" customHeight="1">
      <c r="A23" s="14"/>
      <c r="B23" s="33" t="s">
        <v>14</v>
      </c>
      <c r="C23" s="50" t="s">
        <v>141</v>
      </c>
      <c r="D23" s="7" t="s">
        <v>147</v>
      </c>
      <c r="E23" s="7" t="s">
        <v>148</v>
      </c>
      <c r="F23" s="7" t="s">
        <v>156</v>
      </c>
      <c r="G23" s="57" t="s">
        <v>498</v>
      </c>
      <c r="H23" s="88">
        <v>5.0</v>
      </c>
      <c r="I23" s="7">
        <v>5100.0</v>
      </c>
      <c r="J23" s="7"/>
      <c r="L23" s="7"/>
      <c r="M23" s="7">
        <v>1.0</v>
      </c>
      <c r="N23" s="60">
        <f t="shared" si="1"/>
        <v>5100</v>
      </c>
      <c r="O23" s="89">
        <v>10.0</v>
      </c>
      <c r="P23" s="101">
        <v>12.5</v>
      </c>
      <c r="Q23" s="88">
        <v>3.0</v>
      </c>
      <c r="R23" s="124">
        <v>600.0</v>
      </c>
      <c r="S23" s="7">
        <f t="shared" si="2"/>
        <v>18000</v>
      </c>
      <c r="T23" s="7">
        <f t="shared" si="3"/>
        <v>3.375</v>
      </c>
      <c r="U23" s="60">
        <f t="shared" si="4"/>
        <v>2025</v>
      </c>
      <c r="V23" s="125">
        <f t="shared" si="5"/>
        <v>2250</v>
      </c>
      <c r="W23" s="101">
        <v>12.5</v>
      </c>
      <c r="X23" s="88">
        <v>600.0</v>
      </c>
      <c r="Y23" s="88">
        <v>1.5</v>
      </c>
      <c r="Z23" s="13">
        <f t="shared" si="6"/>
        <v>900</v>
      </c>
      <c r="AA23" s="13">
        <f t="shared" si="24"/>
        <v>525</v>
      </c>
      <c r="AB23" s="7">
        <f t="shared" si="8"/>
        <v>112.5</v>
      </c>
      <c r="AC23" s="93">
        <f t="shared" si="9"/>
        <v>1125</v>
      </c>
      <c r="AD23" s="96">
        <v>65.0</v>
      </c>
      <c r="AE23" s="88">
        <v>800.0</v>
      </c>
      <c r="AF23" s="95">
        <v>0.8</v>
      </c>
      <c r="AG23" s="13">
        <f t="shared" si="10"/>
        <v>640</v>
      </c>
      <c r="AH23" s="13">
        <f t="shared" si="11"/>
        <v>280</v>
      </c>
      <c r="AI23" s="13">
        <f t="shared" si="12"/>
        <v>416</v>
      </c>
      <c r="AJ23" s="17">
        <f t="shared" si="13"/>
        <v>4160</v>
      </c>
      <c r="AK23" s="96">
        <v>5.0</v>
      </c>
      <c r="AL23" s="95">
        <v>2.0</v>
      </c>
      <c r="AM23" s="95">
        <v>24.0</v>
      </c>
      <c r="AN23" s="13">
        <f t="shared" si="14"/>
        <v>48</v>
      </c>
      <c r="AO23" s="13">
        <f t="shared" si="15"/>
        <v>1.9</v>
      </c>
      <c r="AP23" s="13">
        <f t="shared" si="16"/>
        <v>2.4</v>
      </c>
      <c r="AQ23" s="17">
        <f t="shared" si="17"/>
        <v>24</v>
      </c>
      <c r="AR23" s="96">
        <v>8.0</v>
      </c>
      <c r="AS23" s="95">
        <v>15000.0</v>
      </c>
      <c r="AT23" s="13">
        <f t="shared" si="18"/>
        <v>1200</v>
      </c>
      <c r="AU23" s="94">
        <v>26.0</v>
      </c>
      <c r="AV23" s="95">
        <v>5000.0</v>
      </c>
      <c r="AW23" s="17">
        <f t="shared" si="19"/>
        <v>1300</v>
      </c>
      <c r="AX23" s="98">
        <f t="shared" si="20"/>
        <v>50295</v>
      </c>
      <c r="AY23" s="99">
        <f t="shared" si="21"/>
        <v>197.2352941</v>
      </c>
      <c r="AZ23" s="98">
        <f t="shared" si="22"/>
        <v>45195</v>
      </c>
    </row>
    <row r="24" ht="15.75" customHeight="1">
      <c r="A24" s="14"/>
      <c r="B24" s="13" t="s">
        <v>14</v>
      </c>
      <c r="C24" s="13" t="s">
        <v>141</v>
      </c>
      <c r="D24" s="126" t="s">
        <v>152</v>
      </c>
      <c r="E24" s="27" t="s">
        <v>153</v>
      </c>
      <c r="F24" s="29"/>
      <c r="G24" s="57" t="s">
        <v>499</v>
      </c>
      <c r="H24" s="88">
        <v>5.0</v>
      </c>
      <c r="I24" s="7">
        <v>849.0</v>
      </c>
      <c r="J24" s="7"/>
      <c r="L24" s="7"/>
      <c r="M24" s="7">
        <v>1.0</v>
      </c>
      <c r="N24" s="60">
        <f t="shared" si="1"/>
        <v>849</v>
      </c>
      <c r="O24" s="89">
        <v>10.0</v>
      </c>
      <c r="P24" s="101">
        <v>12.5</v>
      </c>
      <c r="Q24" s="88">
        <v>3.0</v>
      </c>
      <c r="R24" s="124">
        <v>600.0</v>
      </c>
      <c r="S24" s="7">
        <f t="shared" si="2"/>
        <v>18000</v>
      </c>
      <c r="T24" s="7">
        <f t="shared" si="3"/>
        <v>3.375</v>
      </c>
      <c r="U24" s="60">
        <f t="shared" si="4"/>
        <v>2025</v>
      </c>
      <c r="V24" s="125">
        <f t="shared" si="5"/>
        <v>2250</v>
      </c>
      <c r="W24" s="101">
        <v>12.5</v>
      </c>
      <c r="X24" s="88">
        <v>600.0</v>
      </c>
      <c r="Y24" s="88">
        <v>1.5</v>
      </c>
      <c r="Z24" s="13">
        <f t="shared" si="6"/>
        <v>900</v>
      </c>
      <c r="AA24" s="13">
        <f t="shared" si="24"/>
        <v>525</v>
      </c>
      <c r="AB24" s="7">
        <f t="shared" si="8"/>
        <v>112.5</v>
      </c>
      <c r="AC24" s="93">
        <f t="shared" si="9"/>
        <v>1125</v>
      </c>
      <c r="AD24" s="96">
        <v>65.0</v>
      </c>
      <c r="AE24" s="88">
        <v>800.0</v>
      </c>
      <c r="AF24" s="95">
        <v>0.8</v>
      </c>
      <c r="AG24" s="13">
        <f t="shared" si="10"/>
        <v>640</v>
      </c>
      <c r="AH24" s="13">
        <f t="shared" si="11"/>
        <v>280</v>
      </c>
      <c r="AI24" s="13">
        <f t="shared" si="12"/>
        <v>416</v>
      </c>
      <c r="AJ24" s="17">
        <f t="shared" si="13"/>
        <v>4160</v>
      </c>
      <c r="AK24" s="96">
        <v>5.0</v>
      </c>
      <c r="AL24" s="95">
        <v>2.0</v>
      </c>
      <c r="AM24" s="95">
        <v>24.0</v>
      </c>
      <c r="AN24" s="13">
        <f t="shared" si="14"/>
        <v>48</v>
      </c>
      <c r="AO24" s="13">
        <f t="shared" si="15"/>
        <v>1.9</v>
      </c>
      <c r="AP24" s="13">
        <f t="shared" si="16"/>
        <v>2.4</v>
      </c>
      <c r="AQ24" s="17">
        <f t="shared" si="17"/>
        <v>24</v>
      </c>
      <c r="AR24" s="100">
        <v>8.0</v>
      </c>
      <c r="AS24" s="95">
        <v>15000.0</v>
      </c>
      <c r="AT24" s="13">
        <f t="shared" si="18"/>
        <v>1200</v>
      </c>
      <c r="AU24" s="94">
        <v>26.0</v>
      </c>
      <c r="AV24" s="95">
        <v>5000.0</v>
      </c>
      <c r="AW24" s="17">
        <f t="shared" si="19"/>
        <v>1300</v>
      </c>
      <c r="AX24" s="98">
        <f t="shared" si="20"/>
        <v>50295</v>
      </c>
      <c r="AY24" s="99">
        <f t="shared" si="21"/>
        <v>1184.805654</v>
      </c>
      <c r="AZ24" s="98">
        <f t="shared" si="22"/>
        <v>49446</v>
      </c>
    </row>
    <row r="25" ht="15.75" customHeight="1">
      <c r="A25" s="14"/>
      <c r="B25" s="33" t="s">
        <v>14</v>
      </c>
      <c r="C25" s="50" t="s">
        <v>500</v>
      </c>
      <c r="D25" s="7" t="s">
        <v>160</v>
      </c>
      <c r="E25" s="7" t="s">
        <v>161</v>
      </c>
      <c r="F25" s="7" t="s">
        <v>156</v>
      </c>
      <c r="G25" s="57" t="s">
        <v>501</v>
      </c>
      <c r="H25" s="88">
        <v>5.0</v>
      </c>
      <c r="I25" s="7">
        <v>15000.0</v>
      </c>
      <c r="J25" s="7"/>
      <c r="L25" s="7"/>
      <c r="M25" s="7">
        <v>1.0</v>
      </c>
      <c r="N25" s="60">
        <f t="shared" si="1"/>
        <v>15000</v>
      </c>
      <c r="O25" s="89">
        <v>10.0</v>
      </c>
      <c r="P25" s="101">
        <v>12.5</v>
      </c>
      <c r="Q25" s="88">
        <v>3.0</v>
      </c>
      <c r="R25" s="124">
        <v>600.0</v>
      </c>
      <c r="S25" s="7">
        <f t="shared" si="2"/>
        <v>18000</v>
      </c>
      <c r="T25" s="7">
        <f t="shared" si="3"/>
        <v>3.375</v>
      </c>
      <c r="U25" s="60">
        <f t="shared" si="4"/>
        <v>2025</v>
      </c>
      <c r="V25" s="125">
        <f t="shared" si="5"/>
        <v>2250</v>
      </c>
      <c r="W25" s="101">
        <v>12.5</v>
      </c>
      <c r="X25" s="88">
        <v>600.0</v>
      </c>
      <c r="Y25" s="88">
        <v>1.5</v>
      </c>
      <c r="Z25" s="13">
        <f t="shared" si="6"/>
        <v>900</v>
      </c>
      <c r="AA25" s="13">
        <f t="shared" si="24"/>
        <v>525</v>
      </c>
      <c r="AB25" s="7">
        <f t="shared" si="8"/>
        <v>112.5</v>
      </c>
      <c r="AC25" s="93">
        <f t="shared" si="9"/>
        <v>1125</v>
      </c>
      <c r="AD25" s="96">
        <v>65.0</v>
      </c>
      <c r="AE25" s="88">
        <v>800.0</v>
      </c>
      <c r="AF25" s="95">
        <v>0.8</v>
      </c>
      <c r="AG25" s="13">
        <f t="shared" si="10"/>
        <v>640</v>
      </c>
      <c r="AH25" s="13">
        <f t="shared" si="11"/>
        <v>280</v>
      </c>
      <c r="AI25" s="13">
        <f t="shared" si="12"/>
        <v>416</v>
      </c>
      <c r="AJ25" s="17">
        <f t="shared" si="13"/>
        <v>4160</v>
      </c>
      <c r="AK25" s="96">
        <v>5.0</v>
      </c>
      <c r="AL25" s="95">
        <v>2.0</v>
      </c>
      <c r="AM25" s="95">
        <v>24.0</v>
      </c>
      <c r="AN25" s="13">
        <f t="shared" si="14"/>
        <v>48</v>
      </c>
      <c r="AO25" s="13">
        <f t="shared" si="15"/>
        <v>1.9</v>
      </c>
      <c r="AP25" s="13">
        <f t="shared" si="16"/>
        <v>2.4</v>
      </c>
      <c r="AQ25" s="17">
        <f t="shared" si="17"/>
        <v>24</v>
      </c>
      <c r="AR25" s="96">
        <v>8.0</v>
      </c>
      <c r="AS25" s="95">
        <v>15000.0</v>
      </c>
      <c r="AT25" s="13">
        <f t="shared" si="18"/>
        <v>1200</v>
      </c>
      <c r="AU25" s="94">
        <v>26.0</v>
      </c>
      <c r="AV25" s="95">
        <v>5000.0</v>
      </c>
      <c r="AW25" s="17">
        <f t="shared" si="19"/>
        <v>1300</v>
      </c>
      <c r="AX25" s="98">
        <f t="shared" si="20"/>
        <v>50295</v>
      </c>
      <c r="AY25" s="99">
        <f t="shared" si="21"/>
        <v>67.06</v>
      </c>
      <c r="AZ25" s="98">
        <f t="shared" si="22"/>
        <v>35295</v>
      </c>
    </row>
    <row r="26" ht="15.75" customHeight="1">
      <c r="A26" s="14"/>
      <c r="B26" s="33" t="s">
        <v>502</v>
      </c>
      <c r="C26" s="50" t="s">
        <v>500</v>
      </c>
      <c r="D26" s="7" t="s">
        <v>171</v>
      </c>
      <c r="E26" s="7" t="s">
        <v>172</v>
      </c>
      <c r="F26" s="7" t="s">
        <v>51</v>
      </c>
      <c r="G26" s="57" t="s">
        <v>176</v>
      </c>
      <c r="H26" s="88">
        <v>5.0</v>
      </c>
      <c r="I26" s="7">
        <v>12500.0</v>
      </c>
      <c r="J26" s="7"/>
      <c r="L26" s="7"/>
      <c r="M26" s="7">
        <v>1.0</v>
      </c>
      <c r="N26" s="60">
        <f t="shared" si="1"/>
        <v>12500</v>
      </c>
      <c r="O26" s="89">
        <v>10.0</v>
      </c>
      <c r="P26" s="127">
        <v>12.5</v>
      </c>
      <c r="Q26" s="88">
        <v>3.0</v>
      </c>
      <c r="R26" s="124">
        <v>600.0</v>
      </c>
      <c r="S26" s="7">
        <f t="shared" si="2"/>
        <v>18000</v>
      </c>
      <c r="T26" s="7">
        <f t="shared" si="3"/>
        <v>3.375</v>
      </c>
      <c r="U26" s="60">
        <f t="shared" si="4"/>
        <v>2025</v>
      </c>
      <c r="V26" s="125">
        <f t="shared" si="5"/>
        <v>2250</v>
      </c>
      <c r="W26" s="127">
        <v>12.5</v>
      </c>
      <c r="X26" s="88">
        <v>600.0</v>
      </c>
      <c r="Y26" s="88">
        <v>1.5</v>
      </c>
      <c r="Z26" s="13">
        <f t="shared" si="6"/>
        <v>900</v>
      </c>
      <c r="AA26" s="13">
        <f t="shared" si="24"/>
        <v>525</v>
      </c>
      <c r="AB26" s="7">
        <f t="shared" si="8"/>
        <v>112.5</v>
      </c>
      <c r="AC26" s="93">
        <f t="shared" si="9"/>
        <v>1125</v>
      </c>
      <c r="AD26" s="96">
        <v>65.0</v>
      </c>
      <c r="AE26" s="88">
        <v>800.0</v>
      </c>
      <c r="AF26" s="95">
        <v>0.8</v>
      </c>
      <c r="AG26" s="13">
        <f t="shared" si="10"/>
        <v>640</v>
      </c>
      <c r="AH26" s="13">
        <f t="shared" si="11"/>
        <v>280</v>
      </c>
      <c r="AI26" s="13">
        <f t="shared" si="12"/>
        <v>416</v>
      </c>
      <c r="AJ26" s="17">
        <f t="shared" si="13"/>
        <v>4160</v>
      </c>
      <c r="AK26" s="96">
        <v>5.0</v>
      </c>
      <c r="AL26" s="95">
        <v>2.0</v>
      </c>
      <c r="AM26" s="95">
        <v>24.0</v>
      </c>
      <c r="AN26" s="13">
        <f t="shared" si="14"/>
        <v>48</v>
      </c>
      <c r="AO26" s="13">
        <f t="shared" si="15"/>
        <v>1.9</v>
      </c>
      <c r="AP26" s="13">
        <f t="shared" si="16"/>
        <v>2.4</v>
      </c>
      <c r="AQ26" s="17">
        <f t="shared" si="17"/>
        <v>24</v>
      </c>
      <c r="AR26" s="96">
        <v>8.0</v>
      </c>
      <c r="AS26" s="95">
        <v>15000.0</v>
      </c>
      <c r="AT26" s="13">
        <f t="shared" si="18"/>
        <v>1200</v>
      </c>
      <c r="AU26" s="94">
        <v>26.0</v>
      </c>
      <c r="AV26" s="95">
        <v>5000.0</v>
      </c>
      <c r="AW26" s="17">
        <f t="shared" si="19"/>
        <v>1300</v>
      </c>
      <c r="AX26" s="98">
        <f t="shared" si="20"/>
        <v>50295</v>
      </c>
      <c r="AY26" s="99">
        <f t="shared" si="21"/>
        <v>80.472</v>
      </c>
      <c r="AZ26" s="98">
        <f t="shared" si="22"/>
        <v>37795</v>
      </c>
    </row>
    <row r="27" ht="15.75" customHeight="1">
      <c r="A27" s="14"/>
      <c r="B27" s="33" t="s">
        <v>14</v>
      </c>
      <c r="C27" s="50" t="s">
        <v>141</v>
      </c>
      <c r="D27" s="7" t="s">
        <v>212</v>
      </c>
      <c r="E27" s="7" t="s">
        <v>136</v>
      </c>
      <c r="F27" s="7" t="s">
        <v>51</v>
      </c>
      <c r="G27" s="57" t="s">
        <v>503</v>
      </c>
      <c r="H27" s="88">
        <v>5.0</v>
      </c>
      <c r="I27" s="7">
        <v>15000.0</v>
      </c>
      <c r="J27" s="7"/>
      <c r="L27" s="7"/>
      <c r="M27" s="7">
        <v>1.0</v>
      </c>
      <c r="N27" s="60">
        <f t="shared" si="1"/>
        <v>15000</v>
      </c>
      <c r="O27" s="89">
        <v>10.0</v>
      </c>
      <c r="P27" s="101">
        <v>12.5</v>
      </c>
      <c r="Q27" s="88">
        <v>3.0</v>
      </c>
      <c r="R27" s="124">
        <v>600.0</v>
      </c>
      <c r="S27" s="7">
        <f t="shared" si="2"/>
        <v>18000</v>
      </c>
      <c r="T27" s="7">
        <f t="shared" si="3"/>
        <v>3.375</v>
      </c>
      <c r="U27" s="60">
        <f t="shared" si="4"/>
        <v>2025</v>
      </c>
      <c r="V27" s="125">
        <f t="shared" si="5"/>
        <v>2250</v>
      </c>
      <c r="W27" s="101">
        <v>12.5</v>
      </c>
      <c r="X27" s="88">
        <v>600.0</v>
      </c>
      <c r="Y27" s="88">
        <v>1.5</v>
      </c>
      <c r="Z27" s="13">
        <f t="shared" si="6"/>
        <v>900</v>
      </c>
      <c r="AA27" s="13">
        <f t="shared" si="24"/>
        <v>525</v>
      </c>
      <c r="AB27" s="7">
        <f t="shared" si="8"/>
        <v>112.5</v>
      </c>
      <c r="AC27" s="93">
        <f t="shared" si="9"/>
        <v>1125</v>
      </c>
      <c r="AD27" s="96">
        <v>65.0</v>
      </c>
      <c r="AE27" s="88">
        <v>800.0</v>
      </c>
      <c r="AF27" s="95">
        <v>0.8</v>
      </c>
      <c r="AG27" s="13">
        <f t="shared" si="10"/>
        <v>640</v>
      </c>
      <c r="AH27" s="13">
        <f t="shared" si="11"/>
        <v>280</v>
      </c>
      <c r="AI27" s="13">
        <f t="shared" si="12"/>
        <v>416</v>
      </c>
      <c r="AJ27" s="17">
        <f t="shared" si="13"/>
        <v>4160</v>
      </c>
      <c r="AK27" s="96">
        <v>5.0</v>
      </c>
      <c r="AL27" s="95">
        <v>2.0</v>
      </c>
      <c r="AM27" s="95">
        <v>24.0</v>
      </c>
      <c r="AN27" s="13">
        <f t="shared" si="14"/>
        <v>48</v>
      </c>
      <c r="AO27" s="13">
        <f t="shared" si="15"/>
        <v>1.9</v>
      </c>
      <c r="AP27" s="13">
        <f t="shared" si="16"/>
        <v>2.4</v>
      </c>
      <c r="AQ27" s="17">
        <f t="shared" si="17"/>
        <v>24</v>
      </c>
      <c r="AR27" s="96">
        <v>8.0</v>
      </c>
      <c r="AS27" s="95">
        <v>15000.0</v>
      </c>
      <c r="AT27" s="13">
        <f t="shared" si="18"/>
        <v>1200</v>
      </c>
      <c r="AU27" s="94">
        <v>26.0</v>
      </c>
      <c r="AV27" s="95">
        <v>5000.0</v>
      </c>
      <c r="AW27" s="17">
        <f t="shared" si="19"/>
        <v>1300</v>
      </c>
      <c r="AX27" s="98">
        <f t="shared" si="20"/>
        <v>50295</v>
      </c>
      <c r="AY27" s="99">
        <f t="shared" si="21"/>
        <v>67.06</v>
      </c>
      <c r="AZ27" s="98">
        <f t="shared" si="22"/>
        <v>35295</v>
      </c>
    </row>
    <row r="28" ht="15.75" customHeight="1">
      <c r="A28" s="14"/>
      <c r="B28" s="33" t="s">
        <v>14</v>
      </c>
      <c r="C28" s="50" t="s">
        <v>141</v>
      </c>
      <c r="D28" s="7" t="s">
        <v>216</v>
      </c>
      <c r="E28" s="7" t="s">
        <v>172</v>
      </c>
      <c r="F28" s="7" t="s">
        <v>51</v>
      </c>
      <c r="G28" s="57" t="s">
        <v>181</v>
      </c>
      <c r="H28" s="88">
        <v>5.0</v>
      </c>
      <c r="I28" s="7">
        <v>15000.0</v>
      </c>
      <c r="J28" s="7"/>
      <c r="L28" s="7"/>
      <c r="M28" s="7">
        <v>1.0</v>
      </c>
      <c r="N28" s="60">
        <f t="shared" si="1"/>
        <v>15000</v>
      </c>
      <c r="O28" s="89">
        <v>10.0</v>
      </c>
      <c r="P28" s="101">
        <v>12.5</v>
      </c>
      <c r="Q28" s="88">
        <v>3.0</v>
      </c>
      <c r="R28" s="124">
        <v>600.0</v>
      </c>
      <c r="S28" s="7">
        <f t="shared" si="2"/>
        <v>18000</v>
      </c>
      <c r="T28" s="7">
        <f t="shared" si="3"/>
        <v>3.375</v>
      </c>
      <c r="U28" s="60">
        <f t="shared" si="4"/>
        <v>2025</v>
      </c>
      <c r="V28" s="125">
        <f t="shared" si="5"/>
        <v>2250</v>
      </c>
      <c r="W28" s="101">
        <v>12.5</v>
      </c>
      <c r="X28" s="88">
        <v>600.0</v>
      </c>
      <c r="Y28" s="88">
        <v>1.5</v>
      </c>
      <c r="Z28" s="13">
        <f t="shared" si="6"/>
        <v>900</v>
      </c>
      <c r="AA28" s="13">
        <f t="shared" si="24"/>
        <v>525</v>
      </c>
      <c r="AB28" s="7">
        <f t="shared" si="8"/>
        <v>112.5</v>
      </c>
      <c r="AC28" s="93">
        <f t="shared" si="9"/>
        <v>1125</v>
      </c>
      <c r="AD28" s="96">
        <v>65.0</v>
      </c>
      <c r="AE28" s="88">
        <v>800.0</v>
      </c>
      <c r="AF28" s="95">
        <v>0.8</v>
      </c>
      <c r="AG28" s="13">
        <f t="shared" si="10"/>
        <v>640</v>
      </c>
      <c r="AH28" s="13">
        <f t="shared" si="11"/>
        <v>280</v>
      </c>
      <c r="AI28" s="13">
        <f t="shared" si="12"/>
        <v>416</v>
      </c>
      <c r="AJ28" s="17">
        <f t="shared" si="13"/>
        <v>4160</v>
      </c>
      <c r="AK28" s="96">
        <v>5.0</v>
      </c>
      <c r="AL28" s="95">
        <v>2.0</v>
      </c>
      <c r="AM28" s="95">
        <v>24.0</v>
      </c>
      <c r="AN28" s="13">
        <f t="shared" si="14"/>
        <v>48</v>
      </c>
      <c r="AO28" s="13">
        <f t="shared" si="15"/>
        <v>1.9</v>
      </c>
      <c r="AP28" s="13">
        <f t="shared" si="16"/>
        <v>2.4</v>
      </c>
      <c r="AQ28" s="17">
        <f t="shared" si="17"/>
        <v>24</v>
      </c>
      <c r="AR28" s="96">
        <v>8.0</v>
      </c>
      <c r="AS28" s="95">
        <v>15000.0</v>
      </c>
      <c r="AT28" s="13">
        <f t="shared" si="18"/>
        <v>1200</v>
      </c>
      <c r="AU28" s="94">
        <v>26.0</v>
      </c>
      <c r="AV28" s="95">
        <v>5000.0</v>
      </c>
      <c r="AW28" s="17">
        <f t="shared" si="19"/>
        <v>1300</v>
      </c>
      <c r="AX28" s="98">
        <f t="shared" si="20"/>
        <v>50295</v>
      </c>
      <c r="AY28" s="99">
        <f t="shared" si="21"/>
        <v>67.06</v>
      </c>
      <c r="AZ28" s="98">
        <f t="shared" si="22"/>
        <v>35295</v>
      </c>
    </row>
    <row r="29" ht="15.75" customHeight="1">
      <c r="A29" s="14"/>
      <c r="B29" s="33" t="s">
        <v>14</v>
      </c>
      <c r="C29" s="50" t="s">
        <v>177</v>
      </c>
      <c r="D29" s="7" t="s">
        <v>504</v>
      </c>
      <c r="E29" s="7" t="s">
        <v>172</v>
      </c>
      <c r="F29" s="7" t="s">
        <v>51</v>
      </c>
      <c r="G29" s="57" t="s">
        <v>181</v>
      </c>
      <c r="H29" s="88">
        <v>5.0</v>
      </c>
      <c r="I29" s="7">
        <v>15000.0</v>
      </c>
      <c r="J29" s="7"/>
      <c r="L29" s="7"/>
      <c r="M29" s="7">
        <v>1.0</v>
      </c>
      <c r="N29" s="60">
        <f t="shared" si="1"/>
        <v>15000</v>
      </c>
      <c r="O29" s="89">
        <v>10.0</v>
      </c>
      <c r="P29" s="101">
        <v>12.5</v>
      </c>
      <c r="Q29" s="88">
        <v>3.0</v>
      </c>
      <c r="R29" s="124">
        <v>600.0</v>
      </c>
      <c r="S29" s="7">
        <f t="shared" si="2"/>
        <v>18000</v>
      </c>
      <c r="T29" s="7">
        <f t="shared" si="3"/>
        <v>3.375</v>
      </c>
      <c r="U29" s="60">
        <f t="shared" si="4"/>
        <v>2025</v>
      </c>
      <c r="V29" s="125">
        <f t="shared" si="5"/>
        <v>2250</v>
      </c>
      <c r="W29" s="101">
        <v>12.5</v>
      </c>
      <c r="X29" s="88">
        <v>600.0</v>
      </c>
      <c r="Y29" s="88">
        <v>1.5</v>
      </c>
      <c r="Z29" s="13">
        <f t="shared" si="6"/>
        <v>900</v>
      </c>
      <c r="AA29" s="13">
        <f t="shared" si="24"/>
        <v>525</v>
      </c>
      <c r="AB29" s="7">
        <f t="shared" si="8"/>
        <v>112.5</v>
      </c>
      <c r="AC29" s="93">
        <f t="shared" si="9"/>
        <v>1125</v>
      </c>
      <c r="AD29" s="96">
        <v>65.0</v>
      </c>
      <c r="AE29" s="88">
        <v>800.0</v>
      </c>
      <c r="AF29" s="95">
        <v>0.8</v>
      </c>
      <c r="AG29" s="13">
        <f t="shared" si="10"/>
        <v>640</v>
      </c>
      <c r="AH29" s="13">
        <f t="shared" si="11"/>
        <v>280</v>
      </c>
      <c r="AI29" s="13">
        <f t="shared" si="12"/>
        <v>416</v>
      </c>
      <c r="AJ29" s="17">
        <f t="shared" si="13"/>
        <v>4160</v>
      </c>
      <c r="AK29" s="96">
        <v>5.0</v>
      </c>
      <c r="AL29" s="95">
        <v>2.0</v>
      </c>
      <c r="AM29" s="95">
        <v>24.0</v>
      </c>
      <c r="AN29" s="13">
        <f t="shared" si="14"/>
        <v>48</v>
      </c>
      <c r="AO29" s="13">
        <f t="shared" si="15"/>
        <v>1.9</v>
      </c>
      <c r="AP29" s="13">
        <f t="shared" si="16"/>
        <v>2.4</v>
      </c>
      <c r="AQ29" s="17">
        <f t="shared" si="17"/>
        <v>24</v>
      </c>
      <c r="AR29" s="96">
        <v>8.0</v>
      </c>
      <c r="AS29" s="95">
        <v>15000.0</v>
      </c>
      <c r="AT29" s="13">
        <f t="shared" si="18"/>
        <v>1200</v>
      </c>
      <c r="AU29" s="94">
        <v>26.0</v>
      </c>
      <c r="AV29" s="95">
        <v>5000.0</v>
      </c>
      <c r="AW29" s="17">
        <f t="shared" si="19"/>
        <v>1300</v>
      </c>
      <c r="AX29" s="98">
        <f t="shared" si="20"/>
        <v>50295</v>
      </c>
      <c r="AY29" s="99">
        <f t="shared" si="21"/>
        <v>67.06</v>
      </c>
      <c r="AZ29" s="98">
        <f t="shared" si="22"/>
        <v>35295</v>
      </c>
    </row>
    <row r="30" ht="15.75" customHeight="1">
      <c r="A30" s="14"/>
      <c r="B30" s="33" t="s">
        <v>14</v>
      </c>
      <c r="C30" s="50" t="s">
        <v>505</v>
      </c>
      <c r="D30" s="7" t="s">
        <v>166</v>
      </c>
      <c r="E30" s="7" t="s">
        <v>506</v>
      </c>
      <c r="F30" s="7" t="s">
        <v>156</v>
      </c>
      <c r="G30" s="57" t="s">
        <v>507</v>
      </c>
      <c r="H30" s="88">
        <v>5.0</v>
      </c>
      <c r="I30" s="7">
        <v>1100.0</v>
      </c>
      <c r="J30" s="7"/>
      <c r="L30" s="7"/>
      <c r="M30" s="7">
        <v>1.0</v>
      </c>
      <c r="N30" s="60">
        <f t="shared" si="1"/>
        <v>1100</v>
      </c>
      <c r="O30" s="89">
        <v>10.0</v>
      </c>
      <c r="P30" s="101">
        <v>12.5</v>
      </c>
      <c r="Q30" s="88">
        <v>3.0</v>
      </c>
      <c r="R30" s="124">
        <v>600.0</v>
      </c>
      <c r="S30" s="7">
        <f t="shared" si="2"/>
        <v>18000</v>
      </c>
      <c r="T30" s="7">
        <f t="shared" si="3"/>
        <v>3.375</v>
      </c>
      <c r="U30" s="60">
        <f t="shared" si="4"/>
        <v>2025</v>
      </c>
      <c r="V30" s="125">
        <f t="shared" si="5"/>
        <v>2250</v>
      </c>
      <c r="W30" s="101">
        <v>12.5</v>
      </c>
      <c r="X30" s="88">
        <v>600.0</v>
      </c>
      <c r="Y30" s="88">
        <v>1.5</v>
      </c>
      <c r="Z30" s="13">
        <f t="shared" si="6"/>
        <v>900</v>
      </c>
      <c r="AA30" s="13">
        <f t="shared" si="24"/>
        <v>525</v>
      </c>
      <c r="AB30" s="7">
        <f t="shared" si="8"/>
        <v>112.5</v>
      </c>
      <c r="AC30" s="93">
        <f t="shared" si="9"/>
        <v>1125</v>
      </c>
      <c r="AD30" s="96">
        <v>65.0</v>
      </c>
      <c r="AE30" s="88">
        <v>800.0</v>
      </c>
      <c r="AF30" s="95">
        <v>0.8</v>
      </c>
      <c r="AG30" s="13">
        <f t="shared" si="10"/>
        <v>640</v>
      </c>
      <c r="AH30" s="13">
        <f t="shared" si="11"/>
        <v>280</v>
      </c>
      <c r="AI30" s="13">
        <f t="shared" si="12"/>
        <v>416</v>
      </c>
      <c r="AJ30" s="17">
        <f t="shared" si="13"/>
        <v>4160</v>
      </c>
      <c r="AK30" s="96">
        <v>5.0</v>
      </c>
      <c r="AL30" s="95">
        <v>2.0</v>
      </c>
      <c r="AM30" s="95">
        <v>24.0</v>
      </c>
      <c r="AN30" s="13">
        <f t="shared" si="14"/>
        <v>48</v>
      </c>
      <c r="AO30" s="13">
        <f t="shared" si="15"/>
        <v>1.9</v>
      </c>
      <c r="AP30" s="13">
        <f t="shared" si="16"/>
        <v>2.4</v>
      </c>
      <c r="AQ30" s="17">
        <f t="shared" si="17"/>
        <v>24</v>
      </c>
      <c r="AR30" s="96">
        <v>8.0</v>
      </c>
      <c r="AS30" s="95">
        <v>15000.0</v>
      </c>
      <c r="AT30" s="13">
        <f t="shared" si="18"/>
        <v>1200</v>
      </c>
      <c r="AU30" s="94">
        <v>26.0</v>
      </c>
      <c r="AV30" s="95">
        <v>5000.0</v>
      </c>
      <c r="AW30" s="17">
        <f t="shared" si="19"/>
        <v>1300</v>
      </c>
      <c r="AX30" s="98">
        <f t="shared" si="20"/>
        <v>50295</v>
      </c>
      <c r="AY30" s="99">
        <f t="shared" si="21"/>
        <v>914.4545455</v>
      </c>
      <c r="AZ30" s="98">
        <f t="shared" si="22"/>
        <v>49195</v>
      </c>
    </row>
    <row r="31" ht="15.75" customHeight="1">
      <c r="A31" s="14"/>
      <c r="B31" s="33" t="s">
        <v>14</v>
      </c>
      <c r="C31" s="50" t="s">
        <v>508</v>
      </c>
      <c r="D31" s="7" t="s">
        <v>182</v>
      </c>
      <c r="E31" s="7" t="s">
        <v>506</v>
      </c>
      <c r="F31" s="7" t="s">
        <v>156</v>
      </c>
      <c r="G31" s="57" t="s">
        <v>509</v>
      </c>
      <c r="H31" s="88">
        <v>5.0</v>
      </c>
      <c r="I31" s="7">
        <v>4320.0</v>
      </c>
      <c r="J31" s="7"/>
      <c r="L31" s="7"/>
      <c r="M31" s="7">
        <v>1.0</v>
      </c>
      <c r="N31" s="60">
        <f t="shared" si="1"/>
        <v>4320</v>
      </c>
      <c r="O31" s="89">
        <v>10.0</v>
      </c>
      <c r="P31" s="127">
        <v>12.5</v>
      </c>
      <c r="Q31" s="88">
        <v>3.0</v>
      </c>
      <c r="R31" s="124">
        <v>600.0</v>
      </c>
      <c r="S31" s="7">
        <f t="shared" si="2"/>
        <v>18000</v>
      </c>
      <c r="T31" s="7">
        <f t="shared" si="3"/>
        <v>3.375</v>
      </c>
      <c r="U31" s="60">
        <f t="shared" si="4"/>
        <v>2025</v>
      </c>
      <c r="V31" s="125">
        <f t="shared" si="5"/>
        <v>2250</v>
      </c>
      <c r="W31" s="127">
        <v>12.5</v>
      </c>
      <c r="X31" s="88">
        <v>600.0</v>
      </c>
      <c r="Y31" s="88">
        <v>1.5</v>
      </c>
      <c r="Z31" s="13">
        <f t="shared" si="6"/>
        <v>900</v>
      </c>
      <c r="AA31" s="13">
        <f t="shared" si="24"/>
        <v>525</v>
      </c>
      <c r="AB31" s="7">
        <f t="shared" si="8"/>
        <v>112.5</v>
      </c>
      <c r="AC31" s="93">
        <f t="shared" si="9"/>
        <v>1125</v>
      </c>
      <c r="AD31" s="96">
        <v>65.0</v>
      </c>
      <c r="AE31" s="88">
        <v>800.0</v>
      </c>
      <c r="AF31" s="95">
        <v>0.8</v>
      </c>
      <c r="AG31" s="13">
        <f t="shared" si="10"/>
        <v>640</v>
      </c>
      <c r="AH31" s="13">
        <f t="shared" si="11"/>
        <v>280</v>
      </c>
      <c r="AI31" s="13">
        <f t="shared" si="12"/>
        <v>416</v>
      </c>
      <c r="AJ31" s="17">
        <f t="shared" si="13"/>
        <v>4160</v>
      </c>
      <c r="AK31" s="96">
        <v>5.0</v>
      </c>
      <c r="AL31" s="95">
        <v>2.0</v>
      </c>
      <c r="AM31" s="95">
        <v>24.0</v>
      </c>
      <c r="AN31" s="13">
        <f t="shared" si="14"/>
        <v>48</v>
      </c>
      <c r="AO31" s="13">
        <f t="shared" si="15"/>
        <v>1.9</v>
      </c>
      <c r="AP31" s="13">
        <f t="shared" si="16"/>
        <v>2.4</v>
      </c>
      <c r="AQ31" s="17">
        <f t="shared" si="17"/>
        <v>24</v>
      </c>
      <c r="AR31" s="96">
        <v>8.0</v>
      </c>
      <c r="AS31" s="95">
        <v>15000.0</v>
      </c>
      <c r="AT31" s="13">
        <f t="shared" si="18"/>
        <v>1200</v>
      </c>
      <c r="AU31" s="94">
        <v>26.0</v>
      </c>
      <c r="AV31" s="95">
        <v>5000.0</v>
      </c>
      <c r="AW31" s="17">
        <f t="shared" si="19"/>
        <v>1300</v>
      </c>
      <c r="AX31" s="98">
        <f t="shared" si="20"/>
        <v>50295</v>
      </c>
      <c r="AY31" s="99">
        <f t="shared" si="21"/>
        <v>232.8472222</v>
      </c>
      <c r="AZ31" s="98">
        <f t="shared" si="22"/>
        <v>45975</v>
      </c>
    </row>
    <row r="32" ht="15.75" customHeight="1">
      <c r="A32" s="14"/>
      <c r="B32" s="33" t="s">
        <v>14</v>
      </c>
      <c r="C32" s="50" t="s">
        <v>177</v>
      </c>
      <c r="D32" s="7" t="s">
        <v>186</v>
      </c>
      <c r="E32" s="7" t="s">
        <v>187</v>
      </c>
      <c r="F32" s="7" t="s">
        <v>156</v>
      </c>
      <c r="G32" s="57" t="s">
        <v>510</v>
      </c>
      <c r="H32" s="88">
        <v>5.0</v>
      </c>
      <c r="I32" s="7">
        <v>4100.0</v>
      </c>
      <c r="J32" s="7"/>
      <c r="L32" s="7"/>
      <c r="M32" s="7">
        <v>1.0</v>
      </c>
      <c r="N32" s="60">
        <f t="shared" si="1"/>
        <v>4100</v>
      </c>
      <c r="O32" s="89">
        <v>10.0</v>
      </c>
      <c r="P32" s="101">
        <v>12.5</v>
      </c>
      <c r="Q32" s="88">
        <v>3.0</v>
      </c>
      <c r="R32" s="124">
        <v>600.0</v>
      </c>
      <c r="S32" s="7">
        <f t="shared" si="2"/>
        <v>18000</v>
      </c>
      <c r="T32" s="7">
        <f t="shared" si="3"/>
        <v>3.375</v>
      </c>
      <c r="U32" s="60">
        <f t="shared" si="4"/>
        <v>2025</v>
      </c>
      <c r="V32" s="125">
        <f t="shared" si="5"/>
        <v>2250</v>
      </c>
      <c r="W32" s="101">
        <v>12.5</v>
      </c>
      <c r="X32" s="88">
        <v>600.0</v>
      </c>
      <c r="Y32" s="88">
        <v>1.5</v>
      </c>
      <c r="Z32" s="13">
        <f t="shared" si="6"/>
        <v>900</v>
      </c>
      <c r="AA32" s="13">
        <f t="shared" si="24"/>
        <v>525</v>
      </c>
      <c r="AB32" s="7">
        <f t="shared" si="8"/>
        <v>112.5</v>
      </c>
      <c r="AC32" s="93">
        <f t="shared" si="9"/>
        <v>1125</v>
      </c>
      <c r="AD32" s="96">
        <v>65.0</v>
      </c>
      <c r="AE32" s="88">
        <v>800.0</v>
      </c>
      <c r="AF32" s="95">
        <v>0.8</v>
      </c>
      <c r="AG32" s="13">
        <f t="shared" si="10"/>
        <v>640</v>
      </c>
      <c r="AH32" s="13">
        <f t="shared" si="11"/>
        <v>280</v>
      </c>
      <c r="AI32" s="13">
        <f t="shared" si="12"/>
        <v>416</v>
      </c>
      <c r="AJ32" s="17">
        <f t="shared" si="13"/>
        <v>4160</v>
      </c>
      <c r="AK32" s="96">
        <v>5.0</v>
      </c>
      <c r="AL32" s="95">
        <v>2.0</v>
      </c>
      <c r="AM32" s="95">
        <v>24.0</v>
      </c>
      <c r="AN32" s="13">
        <f t="shared" si="14"/>
        <v>48</v>
      </c>
      <c r="AO32" s="13">
        <f t="shared" si="15"/>
        <v>1.9</v>
      </c>
      <c r="AP32" s="13">
        <f t="shared" si="16"/>
        <v>2.4</v>
      </c>
      <c r="AQ32" s="17">
        <f t="shared" si="17"/>
        <v>24</v>
      </c>
      <c r="AR32" s="96">
        <v>8.0</v>
      </c>
      <c r="AS32" s="95">
        <v>15000.0</v>
      </c>
      <c r="AT32" s="13">
        <f t="shared" si="18"/>
        <v>1200</v>
      </c>
      <c r="AU32" s="94">
        <v>26.0</v>
      </c>
      <c r="AV32" s="95">
        <v>5000.0</v>
      </c>
      <c r="AW32" s="17">
        <f t="shared" si="19"/>
        <v>1300</v>
      </c>
      <c r="AX32" s="98">
        <f t="shared" si="20"/>
        <v>50295</v>
      </c>
      <c r="AY32" s="99">
        <f t="shared" si="21"/>
        <v>245.3414634</v>
      </c>
      <c r="AZ32" s="98">
        <f t="shared" si="22"/>
        <v>46195</v>
      </c>
    </row>
    <row r="33" ht="15.75" customHeight="1">
      <c r="A33" s="14"/>
      <c r="B33" s="33" t="s">
        <v>14</v>
      </c>
      <c r="C33" s="50" t="s">
        <v>511</v>
      </c>
      <c r="D33" s="7" t="s">
        <v>207</v>
      </c>
      <c r="E33" s="7" t="s">
        <v>512</v>
      </c>
      <c r="F33" s="7" t="s">
        <v>51</v>
      </c>
      <c r="G33" s="57" t="s">
        <v>513</v>
      </c>
      <c r="H33" s="88">
        <v>5.0</v>
      </c>
      <c r="I33" s="7">
        <v>20000.0</v>
      </c>
      <c r="J33" s="7"/>
      <c r="L33" s="7"/>
      <c r="M33" s="7">
        <v>1.0</v>
      </c>
      <c r="N33" s="60">
        <f t="shared" si="1"/>
        <v>20000</v>
      </c>
      <c r="O33" s="89">
        <v>10.0</v>
      </c>
      <c r="P33" s="101">
        <v>12.5</v>
      </c>
      <c r="Q33" s="88">
        <v>3.0</v>
      </c>
      <c r="R33" s="124">
        <v>600.0</v>
      </c>
      <c r="S33" s="7">
        <f t="shared" si="2"/>
        <v>18000</v>
      </c>
      <c r="T33" s="7">
        <f t="shared" si="3"/>
        <v>3.375</v>
      </c>
      <c r="U33" s="60">
        <f t="shared" si="4"/>
        <v>2025</v>
      </c>
      <c r="V33" s="125">
        <f t="shared" si="5"/>
        <v>2250</v>
      </c>
      <c r="W33" s="101">
        <v>12.5</v>
      </c>
      <c r="X33" s="88">
        <v>600.0</v>
      </c>
      <c r="Y33" s="88">
        <v>1.5</v>
      </c>
      <c r="Z33" s="13">
        <f t="shared" si="6"/>
        <v>900</v>
      </c>
      <c r="AA33" s="13">
        <f t="shared" si="24"/>
        <v>525</v>
      </c>
      <c r="AB33" s="7">
        <f t="shared" si="8"/>
        <v>112.5</v>
      </c>
      <c r="AC33" s="93">
        <f t="shared" si="9"/>
        <v>1125</v>
      </c>
      <c r="AD33" s="96">
        <v>65.0</v>
      </c>
      <c r="AE33" s="88">
        <v>800.0</v>
      </c>
      <c r="AF33" s="95">
        <v>0.8</v>
      </c>
      <c r="AG33" s="13">
        <f t="shared" si="10"/>
        <v>640</v>
      </c>
      <c r="AH33" s="13">
        <f t="shared" si="11"/>
        <v>280</v>
      </c>
      <c r="AI33" s="13">
        <f t="shared" si="12"/>
        <v>416</v>
      </c>
      <c r="AJ33" s="17">
        <f t="shared" si="13"/>
        <v>4160</v>
      </c>
      <c r="AK33" s="96">
        <v>5.0</v>
      </c>
      <c r="AL33" s="95">
        <v>2.0</v>
      </c>
      <c r="AM33" s="95">
        <v>24.0</v>
      </c>
      <c r="AN33" s="13">
        <f t="shared" si="14"/>
        <v>48</v>
      </c>
      <c r="AO33" s="13">
        <f t="shared" si="15"/>
        <v>1.9</v>
      </c>
      <c r="AP33" s="13">
        <f t="shared" si="16"/>
        <v>2.4</v>
      </c>
      <c r="AQ33" s="17">
        <f t="shared" si="17"/>
        <v>24</v>
      </c>
      <c r="AR33" s="96">
        <v>8.0</v>
      </c>
      <c r="AS33" s="95">
        <v>15000.0</v>
      </c>
      <c r="AT33" s="13">
        <f t="shared" si="18"/>
        <v>1200</v>
      </c>
      <c r="AU33" s="94">
        <v>26.0</v>
      </c>
      <c r="AV33" s="95">
        <v>5000.0</v>
      </c>
      <c r="AW33" s="17">
        <f t="shared" si="19"/>
        <v>1300</v>
      </c>
      <c r="AX33" s="98">
        <f t="shared" si="20"/>
        <v>50295</v>
      </c>
      <c r="AY33" s="99">
        <f t="shared" si="21"/>
        <v>50.295</v>
      </c>
      <c r="AZ33" s="98">
        <f t="shared" si="22"/>
        <v>30295</v>
      </c>
    </row>
    <row r="34" ht="15.75" customHeight="1">
      <c r="A34" s="14"/>
      <c r="B34" s="33" t="s">
        <v>14</v>
      </c>
      <c r="C34" s="50" t="s">
        <v>508</v>
      </c>
      <c r="D34" s="7" t="s">
        <v>191</v>
      </c>
      <c r="E34" s="7" t="s">
        <v>187</v>
      </c>
      <c r="F34" s="7" t="s">
        <v>156</v>
      </c>
      <c r="G34" s="57" t="s">
        <v>514</v>
      </c>
      <c r="H34" s="88">
        <v>5.0</v>
      </c>
      <c r="I34" s="7">
        <v>15000.0</v>
      </c>
      <c r="J34" s="7"/>
      <c r="L34" s="7"/>
      <c r="M34" s="7">
        <v>1.0</v>
      </c>
      <c r="N34" s="60">
        <f t="shared" si="1"/>
        <v>15000</v>
      </c>
      <c r="O34" s="89">
        <v>10.0</v>
      </c>
      <c r="P34" s="101">
        <v>12.5</v>
      </c>
      <c r="Q34" s="88">
        <v>3.0</v>
      </c>
      <c r="R34" s="124">
        <v>600.0</v>
      </c>
      <c r="S34" s="7">
        <f t="shared" si="2"/>
        <v>18000</v>
      </c>
      <c r="T34" s="7">
        <f t="shared" si="3"/>
        <v>3.375</v>
      </c>
      <c r="U34" s="60">
        <f t="shared" si="4"/>
        <v>2025</v>
      </c>
      <c r="V34" s="125">
        <f t="shared" si="5"/>
        <v>2250</v>
      </c>
      <c r="W34" s="101">
        <v>12.5</v>
      </c>
      <c r="X34" s="88">
        <v>600.0</v>
      </c>
      <c r="Y34" s="88">
        <v>1.5</v>
      </c>
      <c r="Z34" s="13">
        <f t="shared" si="6"/>
        <v>900</v>
      </c>
      <c r="AA34" s="13">
        <f t="shared" si="24"/>
        <v>525</v>
      </c>
      <c r="AB34" s="7">
        <f t="shared" si="8"/>
        <v>112.5</v>
      </c>
      <c r="AC34" s="93">
        <f t="shared" si="9"/>
        <v>1125</v>
      </c>
      <c r="AD34" s="96">
        <v>65.0</v>
      </c>
      <c r="AE34" s="88">
        <v>800.0</v>
      </c>
      <c r="AF34" s="95">
        <v>0.8</v>
      </c>
      <c r="AG34" s="13">
        <f t="shared" si="10"/>
        <v>640</v>
      </c>
      <c r="AH34" s="13">
        <f t="shared" si="11"/>
        <v>280</v>
      </c>
      <c r="AI34" s="13">
        <f t="shared" si="12"/>
        <v>416</v>
      </c>
      <c r="AJ34" s="17">
        <f t="shared" si="13"/>
        <v>4160</v>
      </c>
      <c r="AK34" s="96">
        <v>5.0</v>
      </c>
      <c r="AL34" s="95">
        <v>2.0</v>
      </c>
      <c r="AM34" s="95">
        <v>24.0</v>
      </c>
      <c r="AN34" s="13">
        <f t="shared" si="14"/>
        <v>48</v>
      </c>
      <c r="AO34" s="13">
        <f t="shared" si="15"/>
        <v>1.9</v>
      </c>
      <c r="AP34" s="13">
        <f t="shared" si="16"/>
        <v>2.4</v>
      </c>
      <c r="AQ34" s="17">
        <f t="shared" si="17"/>
        <v>24</v>
      </c>
      <c r="AR34" s="96">
        <v>8.0</v>
      </c>
      <c r="AS34" s="95">
        <v>15000.0</v>
      </c>
      <c r="AT34" s="13">
        <f t="shared" si="18"/>
        <v>1200</v>
      </c>
      <c r="AU34" s="94">
        <v>26.0</v>
      </c>
      <c r="AV34" s="95">
        <v>5000.0</v>
      </c>
      <c r="AW34" s="17">
        <f t="shared" si="19"/>
        <v>1300</v>
      </c>
      <c r="AX34" s="98">
        <f t="shared" si="20"/>
        <v>50295</v>
      </c>
      <c r="AY34" s="99">
        <f t="shared" si="21"/>
        <v>67.06</v>
      </c>
      <c r="AZ34" s="98">
        <f t="shared" si="22"/>
        <v>35295</v>
      </c>
    </row>
    <row r="35" ht="15.75" customHeight="1">
      <c r="A35" s="14"/>
      <c r="B35" s="33" t="s">
        <v>14</v>
      </c>
      <c r="C35" s="50" t="s">
        <v>508</v>
      </c>
      <c r="D35" s="7" t="s">
        <v>201</v>
      </c>
      <c r="E35" s="7" t="s">
        <v>515</v>
      </c>
      <c r="F35" s="7" t="s">
        <v>156</v>
      </c>
      <c r="G35" s="57" t="s">
        <v>205</v>
      </c>
      <c r="H35" s="88">
        <v>5.0</v>
      </c>
      <c r="I35" s="7">
        <v>10000.0</v>
      </c>
      <c r="J35" s="7"/>
      <c r="L35" s="7"/>
      <c r="M35" s="7">
        <v>1.0</v>
      </c>
      <c r="N35" s="60">
        <f t="shared" si="1"/>
        <v>10000</v>
      </c>
      <c r="O35" s="89">
        <v>10.0</v>
      </c>
      <c r="P35" s="101">
        <v>12.5</v>
      </c>
      <c r="Q35" s="88">
        <v>3.0</v>
      </c>
      <c r="R35" s="124">
        <v>600.0</v>
      </c>
      <c r="S35" s="7">
        <f t="shared" si="2"/>
        <v>18000</v>
      </c>
      <c r="T35" s="7">
        <f t="shared" si="3"/>
        <v>3.375</v>
      </c>
      <c r="U35" s="60">
        <f t="shared" si="4"/>
        <v>2025</v>
      </c>
      <c r="V35" s="125">
        <f t="shared" si="5"/>
        <v>2250</v>
      </c>
      <c r="W35" s="101">
        <v>12.5</v>
      </c>
      <c r="X35" s="88">
        <v>600.0</v>
      </c>
      <c r="Y35" s="88">
        <v>1.5</v>
      </c>
      <c r="Z35" s="13">
        <f t="shared" si="6"/>
        <v>900</v>
      </c>
      <c r="AA35" s="13">
        <f t="shared" si="24"/>
        <v>525</v>
      </c>
      <c r="AB35" s="7">
        <f t="shared" si="8"/>
        <v>112.5</v>
      </c>
      <c r="AC35" s="93">
        <f t="shared" si="9"/>
        <v>1125</v>
      </c>
      <c r="AD35" s="96">
        <v>65.0</v>
      </c>
      <c r="AE35" s="88">
        <v>800.0</v>
      </c>
      <c r="AF35" s="95">
        <v>0.8</v>
      </c>
      <c r="AG35" s="13">
        <f t="shared" si="10"/>
        <v>640</v>
      </c>
      <c r="AH35" s="13">
        <f t="shared" si="11"/>
        <v>280</v>
      </c>
      <c r="AI35" s="13">
        <f t="shared" si="12"/>
        <v>416</v>
      </c>
      <c r="AJ35" s="17">
        <f t="shared" si="13"/>
        <v>4160</v>
      </c>
      <c r="AK35" s="96">
        <v>5.0</v>
      </c>
      <c r="AL35" s="95">
        <v>2.0</v>
      </c>
      <c r="AM35" s="95">
        <v>24.0</v>
      </c>
      <c r="AN35" s="13">
        <f t="shared" si="14"/>
        <v>48</v>
      </c>
      <c r="AO35" s="13">
        <f t="shared" si="15"/>
        <v>1.9</v>
      </c>
      <c r="AP35" s="13">
        <f t="shared" si="16"/>
        <v>2.4</v>
      </c>
      <c r="AQ35" s="17">
        <f t="shared" si="17"/>
        <v>24</v>
      </c>
      <c r="AR35" s="96">
        <v>8.0</v>
      </c>
      <c r="AS35" s="95">
        <v>15000.0</v>
      </c>
      <c r="AT35" s="13">
        <f t="shared" si="18"/>
        <v>1200</v>
      </c>
      <c r="AU35" s="94">
        <v>26.0</v>
      </c>
      <c r="AV35" s="95">
        <v>5000.0</v>
      </c>
      <c r="AW35" s="17">
        <f t="shared" si="19"/>
        <v>1300</v>
      </c>
      <c r="AX35" s="98">
        <f t="shared" si="20"/>
        <v>50295</v>
      </c>
      <c r="AY35" s="99">
        <f t="shared" si="21"/>
        <v>100.59</v>
      </c>
      <c r="AZ35" s="98">
        <f t="shared" si="22"/>
        <v>40295</v>
      </c>
    </row>
    <row r="36" ht="15.75" customHeight="1">
      <c r="A36" s="14"/>
      <c r="B36" s="33" t="s">
        <v>14</v>
      </c>
      <c r="C36" s="50" t="s">
        <v>508</v>
      </c>
      <c r="D36" s="7" t="s">
        <v>198</v>
      </c>
      <c r="E36" s="7" t="s">
        <v>136</v>
      </c>
      <c r="F36" s="7" t="s">
        <v>156</v>
      </c>
      <c r="G36" s="57" t="s">
        <v>516</v>
      </c>
      <c r="H36" s="88">
        <v>5.0</v>
      </c>
      <c r="I36" s="7">
        <v>7000.0</v>
      </c>
      <c r="J36" s="7"/>
      <c r="L36" s="7"/>
      <c r="M36" s="7">
        <v>1.0</v>
      </c>
      <c r="N36" s="60">
        <f t="shared" si="1"/>
        <v>7000</v>
      </c>
      <c r="O36" s="89">
        <v>10.0</v>
      </c>
      <c r="P36" s="101">
        <v>12.5</v>
      </c>
      <c r="Q36" s="88">
        <v>3.0</v>
      </c>
      <c r="R36" s="124">
        <v>600.0</v>
      </c>
      <c r="S36" s="7">
        <f t="shared" si="2"/>
        <v>18000</v>
      </c>
      <c r="T36" s="7">
        <f t="shared" si="3"/>
        <v>3.375</v>
      </c>
      <c r="U36" s="60">
        <f t="shared" si="4"/>
        <v>2025</v>
      </c>
      <c r="V36" s="125">
        <f t="shared" si="5"/>
        <v>2250</v>
      </c>
      <c r="W36" s="101">
        <v>12.5</v>
      </c>
      <c r="X36" s="88">
        <v>600.0</v>
      </c>
      <c r="Y36" s="88">
        <v>1.5</v>
      </c>
      <c r="Z36" s="13">
        <f t="shared" si="6"/>
        <v>900</v>
      </c>
      <c r="AA36" s="13">
        <f t="shared" si="24"/>
        <v>525</v>
      </c>
      <c r="AB36" s="7">
        <f t="shared" si="8"/>
        <v>112.5</v>
      </c>
      <c r="AC36" s="93">
        <f t="shared" si="9"/>
        <v>1125</v>
      </c>
      <c r="AD36" s="96">
        <v>65.0</v>
      </c>
      <c r="AE36" s="88">
        <v>800.0</v>
      </c>
      <c r="AF36" s="95">
        <v>0.8</v>
      </c>
      <c r="AG36" s="13">
        <f t="shared" si="10"/>
        <v>640</v>
      </c>
      <c r="AH36" s="13">
        <f t="shared" si="11"/>
        <v>280</v>
      </c>
      <c r="AI36" s="13">
        <f t="shared" si="12"/>
        <v>416</v>
      </c>
      <c r="AJ36" s="17">
        <f t="shared" si="13"/>
        <v>4160</v>
      </c>
      <c r="AK36" s="96">
        <v>5.0</v>
      </c>
      <c r="AL36" s="95">
        <v>2.0</v>
      </c>
      <c r="AM36" s="95">
        <v>24.0</v>
      </c>
      <c r="AN36" s="13">
        <f t="shared" si="14"/>
        <v>48</v>
      </c>
      <c r="AO36" s="13">
        <f t="shared" si="15"/>
        <v>1.9</v>
      </c>
      <c r="AP36" s="13">
        <f t="shared" si="16"/>
        <v>2.4</v>
      </c>
      <c r="AQ36" s="17">
        <f t="shared" si="17"/>
        <v>24</v>
      </c>
      <c r="AR36" s="96">
        <v>8.0</v>
      </c>
      <c r="AS36" s="95">
        <v>15000.0</v>
      </c>
      <c r="AT36" s="13">
        <f t="shared" si="18"/>
        <v>1200</v>
      </c>
      <c r="AU36" s="94">
        <v>26.0</v>
      </c>
      <c r="AV36" s="95">
        <v>5000.0</v>
      </c>
      <c r="AW36" s="17">
        <f t="shared" si="19"/>
        <v>1300</v>
      </c>
      <c r="AX36" s="98">
        <f t="shared" si="20"/>
        <v>50295</v>
      </c>
      <c r="AY36" s="99">
        <f t="shared" si="21"/>
        <v>143.7</v>
      </c>
      <c r="AZ36" s="98">
        <f t="shared" si="22"/>
        <v>43295</v>
      </c>
    </row>
    <row r="37" ht="15.75" customHeight="1">
      <c r="A37" s="21"/>
      <c r="B37" s="104" t="s">
        <v>14</v>
      </c>
      <c r="C37" s="105" t="s">
        <v>508</v>
      </c>
      <c r="D37" s="106" t="s">
        <v>194</v>
      </c>
      <c r="E37" s="106" t="s">
        <v>136</v>
      </c>
      <c r="F37" s="106" t="s">
        <v>156</v>
      </c>
      <c r="G37" s="107" t="s">
        <v>517</v>
      </c>
      <c r="H37" s="108">
        <v>5.0</v>
      </c>
      <c r="I37" s="106">
        <v>6000.0</v>
      </c>
      <c r="J37" s="106"/>
      <c r="K37" s="109"/>
      <c r="L37" s="106"/>
      <c r="M37" s="106">
        <v>1.0</v>
      </c>
      <c r="N37" s="110">
        <f t="shared" si="1"/>
        <v>6000</v>
      </c>
      <c r="O37" s="111">
        <v>10.0</v>
      </c>
      <c r="P37" s="128">
        <v>12.5</v>
      </c>
      <c r="Q37" s="108">
        <v>3.0</v>
      </c>
      <c r="R37" s="129">
        <v>600.0</v>
      </c>
      <c r="S37" s="106">
        <f t="shared" si="2"/>
        <v>18000</v>
      </c>
      <c r="T37" s="106">
        <f t="shared" si="3"/>
        <v>3.375</v>
      </c>
      <c r="U37" s="110">
        <f t="shared" si="4"/>
        <v>2025</v>
      </c>
      <c r="V37" s="113">
        <f t="shared" si="5"/>
        <v>2250</v>
      </c>
      <c r="W37" s="128">
        <v>12.5</v>
      </c>
      <c r="X37" s="108">
        <v>600.0</v>
      </c>
      <c r="Y37" s="108">
        <v>1.5</v>
      </c>
      <c r="Z37" s="22">
        <f t="shared" si="6"/>
        <v>900</v>
      </c>
      <c r="AA37" s="22">
        <f t="shared" si="24"/>
        <v>525</v>
      </c>
      <c r="AB37" s="106">
        <f t="shared" si="8"/>
        <v>112.5</v>
      </c>
      <c r="AC37" s="115">
        <f t="shared" si="9"/>
        <v>1125</v>
      </c>
      <c r="AD37" s="118">
        <v>65.0</v>
      </c>
      <c r="AE37" s="108">
        <v>800.0</v>
      </c>
      <c r="AF37" s="117">
        <v>0.8</v>
      </c>
      <c r="AG37" s="22">
        <f t="shared" si="10"/>
        <v>640</v>
      </c>
      <c r="AH37" s="22">
        <f t="shared" si="11"/>
        <v>280</v>
      </c>
      <c r="AI37" s="22">
        <f t="shared" si="12"/>
        <v>416</v>
      </c>
      <c r="AJ37" s="25">
        <f t="shared" si="13"/>
        <v>4160</v>
      </c>
      <c r="AK37" s="118">
        <v>5.0</v>
      </c>
      <c r="AL37" s="117">
        <v>2.0</v>
      </c>
      <c r="AM37" s="117">
        <v>24.0</v>
      </c>
      <c r="AN37" s="22">
        <f t="shared" si="14"/>
        <v>48</v>
      </c>
      <c r="AO37" s="22">
        <f t="shared" si="15"/>
        <v>1.9</v>
      </c>
      <c r="AP37" s="22">
        <f t="shared" si="16"/>
        <v>2.4</v>
      </c>
      <c r="AQ37" s="25">
        <f t="shared" si="17"/>
        <v>24</v>
      </c>
      <c r="AR37" s="118">
        <v>8.0</v>
      </c>
      <c r="AS37" s="117">
        <v>15000.0</v>
      </c>
      <c r="AT37" s="22">
        <f t="shared" si="18"/>
        <v>1200</v>
      </c>
      <c r="AU37" s="130">
        <v>26.0</v>
      </c>
      <c r="AV37" s="117">
        <v>5000.0</v>
      </c>
      <c r="AW37" s="25">
        <f t="shared" si="19"/>
        <v>1300</v>
      </c>
      <c r="AX37" s="119">
        <f t="shared" si="20"/>
        <v>50295</v>
      </c>
      <c r="AY37" s="120">
        <f t="shared" si="21"/>
        <v>167.65</v>
      </c>
      <c r="AZ37" s="119">
        <f t="shared" si="22"/>
        <v>44295</v>
      </c>
    </row>
    <row r="38" ht="15.75" customHeight="1">
      <c r="A38" s="71" t="s">
        <v>219</v>
      </c>
      <c r="B38" s="72" t="s">
        <v>14</v>
      </c>
      <c r="C38" s="73" t="s">
        <v>518</v>
      </c>
      <c r="D38" s="74" t="s">
        <v>220</v>
      </c>
      <c r="E38" s="74" t="s">
        <v>221</v>
      </c>
      <c r="F38" s="74" t="s">
        <v>156</v>
      </c>
      <c r="G38" s="75" t="s">
        <v>519</v>
      </c>
      <c r="H38" s="76">
        <v>5.0</v>
      </c>
      <c r="I38" s="74"/>
      <c r="J38" s="74"/>
      <c r="K38" s="77"/>
      <c r="L38" s="74">
        <v>260.0</v>
      </c>
      <c r="M38" s="74">
        <v>1.0</v>
      </c>
      <c r="N38" s="78">
        <f t="shared" si="1"/>
        <v>1300</v>
      </c>
      <c r="O38" s="121">
        <v>10.0</v>
      </c>
      <c r="P38" s="122">
        <v>6.0</v>
      </c>
      <c r="Q38" s="76">
        <v>3.0</v>
      </c>
      <c r="R38" s="131">
        <v>600.0</v>
      </c>
      <c r="S38" s="74">
        <f t="shared" si="2"/>
        <v>18000</v>
      </c>
      <c r="T38" s="74">
        <f t="shared" si="3"/>
        <v>3.18</v>
      </c>
      <c r="U38" s="78">
        <f t="shared" si="4"/>
        <v>1908</v>
      </c>
      <c r="V38" s="80">
        <f t="shared" si="5"/>
        <v>1080</v>
      </c>
      <c r="W38" s="84">
        <v>25.0</v>
      </c>
      <c r="X38" s="76">
        <v>600.0</v>
      </c>
      <c r="Y38" s="76">
        <v>1.5</v>
      </c>
      <c r="Z38" s="9">
        <f t="shared" si="6"/>
        <v>900</v>
      </c>
      <c r="AA38" s="9">
        <f t="shared" si="24"/>
        <v>450</v>
      </c>
      <c r="AB38" s="74">
        <f t="shared" si="8"/>
        <v>225</v>
      </c>
      <c r="AC38" s="81">
        <f t="shared" si="9"/>
        <v>2250</v>
      </c>
      <c r="AD38" s="84">
        <v>25.0</v>
      </c>
      <c r="AE38" s="76">
        <v>800.0</v>
      </c>
      <c r="AF38" s="83">
        <v>0.8</v>
      </c>
      <c r="AG38" s="9">
        <f t="shared" si="10"/>
        <v>640</v>
      </c>
      <c r="AH38" s="9">
        <f t="shared" si="11"/>
        <v>600</v>
      </c>
      <c r="AI38" s="9">
        <f t="shared" si="12"/>
        <v>160</v>
      </c>
      <c r="AJ38" s="12">
        <f t="shared" si="13"/>
        <v>1600</v>
      </c>
      <c r="AK38" s="84">
        <v>25.0</v>
      </c>
      <c r="AL38" s="83">
        <v>2.0</v>
      </c>
      <c r="AM38" s="83">
        <v>24.0</v>
      </c>
      <c r="AN38" s="9">
        <f t="shared" si="14"/>
        <v>48</v>
      </c>
      <c r="AO38" s="9">
        <f t="shared" si="15"/>
        <v>1.5</v>
      </c>
      <c r="AP38" s="9">
        <f t="shared" si="16"/>
        <v>12</v>
      </c>
      <c r="AQ38" s="12">
        <f t="shared" si="17"/>
        <v>120</v>
      </c>
      <c r="AR38" s="84">
        <v>3.0</v>
      </c>
      <c r="AS38" s="83">
        <v>15000.0</v>
      </c>
      <c r="AT38" s="12">
        <f t="shared" si="18"/>
        <v>450</v>
      </c>
      <c r="AU38" s="84">
        <v>3.0</v>
      </c>
      <c r="AV38" s="83">
        <v>5000.0</v>
      </c>
      <c r="AW38" s="12">
        <f t="shared" si="19"/>
        <v>150</v>
      </c>
      <c r="AX38" s="86">
        <f t="shared" si="20"/>
        <v>28250</v>
      </c>
      <c r="AY38" s="87">
        <f t="shared" si="21"/>
        <v>434.6153846</v>
      </c>
      <c r="AZ38" s="86">
        <f t="shared" si="22"/>
        <v>26950</v>
      </c>
    </row>
    <row r="39" ht="15.75" customHeight="1">
      <c r="A39" s="14"/>
      <c r="B39" s="33" t="s">
        <v>14</v>
      </c>
      <c r="C39" s="50" t="s">
        <v>225</v>
      </c>
      <c r="D39" s="7" t="s">
        <v>226</v>
      </c>
      <c r="E39" s="7" t="s">
        <v>227</v>
      </c>
      <c r="F39" s="7" t="s">
        <v>156</v>
      </c>
      <c r="G39" s="57" t="s">
        <v>520</v>
      </c>
      <c r="H39" s="88">
        <v>5.0</v>
      </c>
      <c r="I39" s="7">
        <v>22300.0</v>
      </c>
      <c r="J39" s="7"/>
      <c r="L39" s="7"/>
      <c r="M39" s="7">
        <v>1.0</v>
      </c>
      <c r="N39" s="60">
        <f t="shared" si="1"/>
        <v>22300</v>
      </c>
      <c r="O39" s="89">
        <v>10.0</v>
      </c>
      <c r="P39" s="101">
        <v>6.0</v>
      </c>
      <c r="Q39" s="88">
        <v>3.0</v>
      </c>
      <c r="R39" s="124">
        <v>600.0</v>
      </c>
      <c r="S39" s="7">
        <f t="shared" si="2"/>
        <v>18000</v>
      </c>
      <c r="T39" s="7">
        <f t="shared" si="3"/>
        <v>3.18</v>
      </c>
      <c r="U39" s="60">
        <f t="shared" si="4"/>
        <v>1908</v>
      </c>
      <c r="V39" s="125">
        <f t="shared" si="5"/>
        <v>1080</v>
      </c>
      <c r="W39" s="96">
        <v>25.0</v>
      </c>
      <c r="X39" s="88">
        <v>600.0</v>
      </c>
      <c r="Y39" s="88">
        <v>1.5</v>
      </c>
      <c r="Z39" s="13">
        <f t="shared" si="6"/>
        <v>900</v>
      </c>
      <c r="AA39" s="13">
        <f t="shared" si="24"/>
        <v>450</v>
      </c>
      <c r="AB39" s="7">
        <f t="shared" si="8"/>
        <v>225</v>
      </c>
      <c r="AC39" s="93">
        <f t="shared" si="9"/>
        <v>2250</v>
      </c>
      <c r="AD39" s="97">
        <v>0.0</v>
      </c>
      <c r="AE39" s="88">
        <v>800.0</v>
      </c>
      <c r="AF39" s="95">
        <v>0.8</v>
      </c>
      <c r="AG39" s="13">
        <f t="shared" si="10"/>
        <v>640</v>
      </c>
      <c r="AH39" s="13">
        <f t="shared" si="11"/>
        <v>800</v>
      </c>
      <c r="AI39" s="13">
        <f t="shared" si="12"/>
        <v>0</v>
      </c>
      <c r="AJ39" s="17">
        <f t="shared" si="13"/>
        <v>0</v>
      </c>
      <c r="AK39" s="97">
        <v>0.0</v>
      </c>
      <c r="AL39" s="95">
        <v>2.0</v>
      </c>
      <c r="AM39" s="95">
        <v>24.0</v>
      </c>
      <c r="AN39" s="13">
        <f t="shared" si="14"/>
        <v>48</v>
      </c>
      <c r="AO39" s="13">
        <f t="shared" si="15"/>
        <v>2</v>
      </c>
      <c r="AP39" s="13">
        <f t="shared" si="16"/>
        <v>0</v>
      </c>
      <c r="AQ39" s="17">
        <f t="shared" si="17"/>
        <v>0</v>
      </c>
      <c r="AR39" s="96">
        <v>3.0</v>
      </c>
      <c r="AS39" s="95">
        <v>15000.0</v>
      </c>
      <c r="AT39" s="17">
        <f t="shared" si="18"/>
        <v>450</v>
      </c>
      <c r="AU39" s="96">
        <v>3.0</v>
      </c>
      <c r="AV39" s="95">
        <v>5000.0</v>
      </c>
      <c r="AW39" s="17">
        <f t="shared" si="19"/>
        <v>150</v>
      </c>
      <c r="AX39" s="98">
        <f t="shared" si="20"/>
        <v>19650</v>
      </c>
      <c r="AY39" s="99">
        <f t="shared" si="21"/>
        <v>17.62331839</v>
      </c>
      <c r="AZ39" s="98">
        <f t="shared" si="22"/>
        <v>-2650</v>
      </c>
    </row>
    <row r="40" ht="15.75" customHeight="1">
      <c r="A40" s="14"/>
      <c r="B40" s="33" t="s">
        <v>14</v>
      </c>
      <c r="C40" s="50" t="s">
        <v>521</v>
      </c>
      <c r="D40" s="7" t="s">
        <v>239</v>
      </c>
      <c r="E40" s="7" t="s">
        <v>187</v>
      </c>
      <c r="F40" s="7" t="s">
        <v>156</v>
      </c>
      <c r="G40" s="57" t="s">
        <v>522</v>
      </c>
      <c r="H40" s="88">
        <v>5.0</v>
      </c>
      <c r="I40" s="7">
        <v>3000.0</v>
      </c>
      <c r="J40" s="7"/>
      <c r="L40" s="7"/>
      <c r="M40" s="7">
        <v>1.0</v>
      </c>
      <c r="N40" s="60">
        <f t="shared" si="1"/>
        <v>3000</v>
      </c>
      <c r="O40" s="89">
        <v>10.0</v>
      </c>
      <c r="P40" s="101">
        <v>6.0</v>
      </c>
      <c r="Q40" s="88">
        <v>3.0</v>
      </c>
      <c r="R40" s="124">
        <v>600.0</v>
      </c>
      <c r="S40" s="7">
        <f t="shared" si="2"/>
        <v>18000</v>
      </c>
      <c r="T40" s="7">
        <f t="shared" si="3"/>
        <v>3.18</v>
      </c>
      <c r="U40" s="60">
        <f t="shared" si="4"/>
        <v>1908</v>
      </c>
      <c r="V40" s="125">
        <f t="shared" si="5"/>
        <v>1080</v>
      </c>
      <c r="W40" s="97">
        <v>0.0</v>
      </c>
      <c r="X40" s="88">
        <v>600.0</v>
      </c>
      <c r="Y40" s="88">
        <v>1.5</v>
      </c>
      <c r="Z40" s="13">
        <f t="shared" si="6"/>
        <v>900</v>
      </c>
      <c r="AA40" s="13">
        <f t="shared" si="24"/>
        <v>600</v>
      </c>
      <c r="AB40" s="7">
        <f t="shared" si="8"/>
        <v>0</v>
      </c>
      <c r="AC40" s="93">
        <f t="shared" si="9"/>
        <v>0</v>
      </c>
      <c r="AD40" s="97">
        <v>0.0</v>
      </c>
      <c r="AE40" s="88">
        <v>800.0</v>
      </c>
      <c r="AF40" s="95">
        <v>0.8</v>
      </c>
      <c r="AG40" s="13">
        <f t="shared" si="10"/>
        <v>640</v>
      </c>
      <c r="AH40" s="13">
        <f t="shared" si="11"/>
        <v>800</v>
      </c>
      <c r="AI40" s="13">
        <f t="shared" si="12"/>
        <v>0</v>
      </c>
      <c r="AJ40" s="17">
        <f t="shared" si="13"/>
        <v>0</v>
      </c>
      <c r="AK40" s="96">
        <v>25.0</v>
      </c>
      <c r="AL40" s="95">
        <v>2.0</v>
      </c>
      <c r="AM40" s="95">
        <v>24.0</v>
      </c>
      <c r="AN40" s="13">
        <f t="shared" si="14"/>
        <v>48</v>
      </c>
      <c r="AO40" s="13">
        <f t="shared" si="15"/>
        <v>1.5</v>
      </c>
      <c r="AP40" s="13">
        <f t="shared" si="16"/>
        <v>12</v>
      </c>
      <c r="AQ40" s="17">
        <f t="shared" si="17"/>
        <v>120</v>
      </c>
      <c r="AR40" s="96">
        <v>3.0</v>
      </c>
      <c r="AS40" s="95">
        <v>15000.0</v>
      </c>
      <c r="AT40" s="17">
        <f t="shared" si="18"/>
        <v>450</v>
      </c>
      <c r="AU40" s="96">
        <v>3.0</v>
      </c>
      <c r="AV40" s="95">
        <v>5000.0</v>
      </c>
      <c r="AW40" s="17">
        <f t="shared" si="19"/>
        <v>150</v>
      </c>
      <c r="AX40" s="98">
        <f t="shared" si="20"/>
        <v>9000</v>
      </c>
      <c r="AY40" s="99">
        <f t="shared" si="21"/>
        <v>60</v>
      </c>
      <c r="AZ40" s="98">
        <f t="shared" si="22"/>
        <v>6000</v>
      </c>
    </row>
    <row r="41" ht="15.75" customHeight="1">
      <c r="A41" s="14"/>
      <c r="B41" s="33" t="s">
        <v>14</v>
      </c>
      <c r="C41" s="50" t="s">
        <v>521</v>
      </c>
      <c r="D41" s="7" t="s">
        <v>243</v>
      </c>
      <c r="E41" s="7" t="s">
        <v>244</v>
      </c>
      <c r="F41" s="7" t="s">
        <v>156</v>
      </c>
      <c r="G41" s="57" t="s">
        <v>523</v>
      </c>
      <c r="H41" s="88">
        <v>5.0</v>
      </c>
      <c r="I41" s="7">
        <v>2500.0</v>
      </c>
      <c r="J41" s="7"/>
      <c r="L41" s="7"/>
      <c r="M41" s="7">
        <v>1.0</v>
      </c>
      <c r="N41" s="60">
        <f t="shared" si="1"/>
        <v>2500</v>
      </c>
      <c r="O41" s="89">
        <v>10.0</v>
      </c>
      <c r="P41" s="101">
        <v>6.0</v>
      </c>
      <c r="Q41" s="88">
        <v>3.0</v>
      </c>
      <c r="R41" s="124">
        <v>600.0</v>
      </c>
      <c r="S41" s="7">
        <f t="shared" si="2"/>
        <v>18000</v>
      </c>
      <c r="T41" s="7">
        <f t="shared" si="3"/>
        <v>3.18</v>
      </c>
      <c r="U41" s="60">
        <f t="shared" si="4"/>
        <v>1908</v>
      </c>
      <c r="V41" s="125">
        <f t="shared" si="5"/>
        <v>1080</v>
      </c>
      <c r="W41" s="97">
        <v>0.0</v>
      </c>
      <c r="X41" s="88">
        <v>600.0</v>
      </c>
      <c r="Y41" s="88">
        <v>1.5</v>
      </c>
      <c r="Z41" s="13">
        <f t="shared" si="6"/>
        <v>900</v>
      </c>
      <c r="AA41" s="13">
        <f t="shared" si="24"/>
        <v>600</v>
      </c>
      <c r="AB41" s="7">
        <f t="shared" si="8"/>
        <v>0</v>
      </c>
      <c r="AC41" s="93">
        <f t="shared" si="9"/>
        <v>0</v>
      </c>
      <c r="AD41" s="97">
        <v>0.0</v>
      </c>
      <c r="AE41" s="88">
        <v>800.0</v>
      </c>
      <c r="AF41" s="95">
        <v>0.8</v>
      </c>
      <c r="AG41" s="13">
        <f t="shared" si="10"/>
        <v>640</v>
      </c>
      <c r="AH41" s="13">
        <f t="shared" si="11"/>
        <v>800</v>
      </c>
      <c r="AI41" s="13">
        <f t="shared" si="12"/>
        <v>0</v>
      </c>
      <c r="AJ41" s="17">
        <f t="shared" si="13"/>
        <v>0</v>
      </c>
      <c r="AK41" s="96">
        <v>25.0</v>
      </c>
      <c r="AL41" s="95">
        <v>2.0</v>
      </c>
      <c r="AM41" s="95">
        <v>24.0</v>
      </c>
      <c r="AN41" s="13">
        <f t="shared" si="14"/>
        <v>48</v>
      </c>
      <c r="AO41" s="13">
        <f t="shared" si="15"/>
        <v>1.5</v>
      </c>
      <c r="AP41" s="13">
        <f t="shared" si="16"/>
        <v>12</v>
      </c>
      <c r="AQ41" s="17">
        <f t="shared" si="17"/>
        <v>120</v>
      </c>
      <c r="AR41" s="96">
        <v>3.0</v>
      </c>
      <c r="AS41" s="95">
        <v>15000.0</v>
      </c>
      <c r="AT41" s="17">
        <f t="shared" si="18"/>
        <v>450</v>
      </c>
      <c r="AU41" s="96">
        <v>3.0</v>
      </c>
      <c r="AV41" s="95">
        <v>5000.0</v>
      </c>
      <c r="AW41" s="17">
        <f t="shared" si="19"/>
        <v>150</v>
      </c>
      <c r="AX41" s="98">
        <f t="shared" si="20"/>
        <v>9000</v>
      </c>
      <c r="AY41" s="99">
        <f t="shared" si="21"/>
        <v>72</v>
      </c>
      <c r="AZ41" s="98">
        <f t="shared" si="22"/>
        <v>6500</v>
      </c>
    </row>
    <row r="42" ht="15.75" customHeight="1">
      <c r="A42" s="14"/>
      <c r="B42" s="33" t="s">
        <v>14</v>
      </c>
      <c r="C42" s="50" t="s">
        <v>261</v>
      </c>
      <c r="D42" s="7" t="s">
        <v>262</v>
      </c>
      <c r="E42" s="7" t="s">
        <v>172</v>
      </c>
      <c r="F42" s="7" t="s">
        <v>156</v>
      </c>
      <c r="G42" s="57" t="s">
        <v>524</v>
      </c>
      <c r="H42" s="88">
        <v>5.0</v>
      </c>
      <c r="I42" s="7">
        <v>9500.0</v>
      </c>
      <c r="J42" s="7"/>
      <c r="M42" s="7">
        <v>1.0</v>
      </c>
      <c r="N42" s="60">
        <f t="shared" si="1"/>
        <v>9500</v>
      </c>
      <c r="O42" s="89">
        <v>10.0</v>
      </c>
      <c r="P42" s="101">
        <v>6.0</v>
      </c>
      <c r="Q42" s="88">
        <v>3.0</v>
      </c>
      <c r="R42" s="124">
        <v>600.0</v>
      </c>
      <c r="S42" s="7">
        <f t="shared" si="2"/>
        <v>18000</v>
      </c>
      <c r="T42" s="7">
        <f t="shared" si="3"/>
        <v>3.18</v>
      </c>
      <c r="U42" s="60">
        <f t="shared" si="4"/>
        <v>1908</v>
      </c>
      <c r="V42" s="125">
        <f t="shared" si="5"/>
        <v>1080</v>
      </c>
      <c r="W42" s="96">
        <v>25.0</v>
      </c>
      <c r="X42" s="88">
        <v>600.0</v>
      </c>
      <c r="Y42" s="88">
        <v>1.5</v>
      </c>
      <c r="Z42" s="13">
        <f t="shared" si="6"/>
        <v>900</v>
      </c>
      <c r="AA42" s="13">
        <f t="shared" si="24"/>
        <v>450</v>
      </c>
      <c r="AB42" s="7">
        <f t="shared" si="8"/>
        <v>225</v>
      </c>
      <c r="AC42" s="93">
        <f t="shared" si="9"/>
        <v>2250</v>
      </c>
      <c r="AD42" s="97">
        <v>0.0</v>
      </c>
      <c r="AE42" s="88">
        <v>800.0</v>
      </c>
      <c r="AF42" s="95">
        <v>0.8</v>
      </c>
      <c r="AG42" s="13">
        <f t="shared" si="10"/>
        <v>640</v>
      </c>
      <c r="AH42" s="13">
        <f t="shared" si="11"/>
        <v>800</v>
      </c>
      <c r="AI42" s="13">
        <f t="shared" si="12"/>
        <v>0</v>
      </c>
      <c r="AJ42" s="17">
        <f t="shared" si="13"/>
        <v>0</v>
      </c>
      <c r="AK42" s="96">
        <v>25.0</v>
      </c>
      <c r="AL42" s="95">
        <v>2.0</v>
      </c>
      <c r="AM42" s="95">
        <v>24.0</v>
      </c>
      <c r="AN42" s="13">
        <f t="shared" si="14"/>
        <v>48</v>
      </c>
      <c r="AO42" s="13">
        <f t="shared" si="15"/>
        <v>1.5</v>
      </c>
      <c r="AP42" s="13">
        <f t="shared" si="16"/>
        <v>12</v>
      </c>
      <c r="AQ42" s="17">
        <f t="shared" si="17"/>
        <v>120</v>
      </c>
      <c r="AR42" s="96">
        <v>3.0</v>
      </c>
      <c r="AS42" s="95">
        <v>15000.0</v>
      </c>
      <c r="AT42" s="17">
        <f t="shared" si="18"/>
        <v>450</v>
      </c>
      <c r="AU42" s="96">
        <v>3.0</v>
      </c>
      <c r="AV42" s="95">
        <v>5000.0</v>
      </c>
      <c r="AW42" s="17">
        <f t="shared" si="19"/>
        <v>150</v>
      </c>
      <c r="AX42" s="98">
        <f t="shared" si="20"/>
        <v>20250</v>
      </c>
      <c r="AY42" s="99">
        <f t="shared" si="21"/>
        <v>42.63157895</v>
      </c>
      <c r="AZ42" s="98">
        <f t="shared" si="22"/>
        <v>10750</v>
      </c>
    </row>
    <row r="43" ht="15.75" customHeight="1">
      <c r="A43" s="14"/>
      <c r="B43" s="33" t="s">
        <v>14</v>
      </c>
      <c r="C43" s="50" t="s">
        <v>525</v>
      </c>
      <c r="D43" s="7" t="s">
        <v>526</v>
      </c>
      <c r="E43" s="7" t="s">
        <v>172</v>
      </c>
      <c r="F43" s="7" t="s">
        <v>252</v>
      </c>
      <c r="G43" s="57" t="s">
        <v>527</v>
      </c>
      <c r="H43" s="88">
        <v>5.0</v>
      </c>
      <c r="I43" s="7">
        <v>15000.0</v>
      </c>
      <c r="J43" s="7"/>
      <c r="M43" s="7">
        <v>1.0</v>
      </c>
      <c r="N43" s="60">
        <f t="shared" si="1"/>
        <v>15000</v>
      </c>
      <c r="O43" s="89">
        <v>10.0</v>
      </c>
      <c r="P43" s="101">
        <v>6.0</v>
      </c>
      <c r="Q43" s="88">
        <v>3.0</v>
      </c>
      <c r="R43" s="124">
        <v>600.0</v>
      </c>
      <c r="S43" s="7">
        <f t="shared" si="2"/>
        <v>18000</v>
      </c>
      <c r="T43" s="7">
        <f t="shared" si="3"/>
        <v>3.18</v>
      </c>
      <c r="U43" s="60">
        <f t="shared" si="4"/>
        <v>1908</v>
      </c>
      <c r="V43" s="125">
        <f t="shared" si="5"/>
        <v>1080</v>
      </c>
      <c r="W43" s="96">
        <v>25.0</v>
      </c>
      <c r="X43" s="88">
        <v>600.0</v>
      </c>
      <c r="Y43" s="88">
        <v>1.5</v>
      </c>
      <c r="Z43" s="13">
        <f t="shared" si="6"/>
        <v>900</v>
      </c>
      <c r="AA43" s="13">
        <f t="shared" si="24"/>
        <v>450</v>
      </c>
      <c r="AB43" s="7">
        <f t="shared" si="8"/>
        <v>225</v>
      </c>
      <c r="AC43" s="93">
        <f t="shared" si="9"/>
        <v>2250</v>
      </c>
      <c r="AD43" s="97">
        <v>0.0</v>
      </c>
      <c r="AE43" s="88">
        <v>800.0</v>
      </c>
      <c r="AF43" s="95">
        <v>0.8</v>
      </c>
      <c r="AG43" s="13">
        <f t="shared" si="10"/>
        <v>640</v>
      </c>
      <c r="AH43" s="13">
        <f t="shared" si="11"/>
        <v>800</v>
      </c>
      <c r="AI43" s="13">
        <f t="shared" si="12"/>
        <v>0</v>
      </c>
      <c r="AJ43" s="17">
        <f t="shared" si="13"/>
        <v>0</v>
      </c>
      <c r="AK43" s="97">
        <v>0.0</v>
      </c>
      <c r="AL43" s="95">
        <v>2.0</v>
      </c>
      <c r="AM43" s="95">
        <v>24.0</v>
      </c>
      <c r="AN43" s="13">
        <f t="shared" si="14"/>
        <v>48</v>
      </c>
      <c r="AO43" s="13">
        <f t="shared" si="15"/>
        <v>2</v>
      </c>
      <c r="AP43" s="13">
        <f t="shared" si="16"/>
        <v>0</v>
      </c>
      <c r="AQ43" s="17">
        <f t="shared" si="17"/>
        <v>0</v>
      </c>
      <c r="AR43" s="96">
        <v>3.0</v>
      </c>
      <c r="AS43" s="95">
        <v>15000.0</v>
      </c>
      <c r="AT43" s="17">
        <f t="shared" si="18"/>
        <v>450</v>
      </c>
      <c r="AU43" s="96">
        <v>3.0</v>
      </c>
      <c r="AV43" s="95">
        <v>5000.0</v>
      </c>
      <c r="AW43" s="17">
        <f t="shared" si="19"/>
        <v>150</v>
      </c>
      <c r="AX43" s="98">
        <f t="shared" si="20"/>
        <v>19650</v>
      </c>
      <c r="AY43" s="99">
        <f t="shared" si="21"/>
        <v>26.2</v>
      </c>
      <c r="AZ43" s="98">
        <f t="shared" si="22"/>
        <v>4650</v>
      </c>
    </row>
    <row r="44" ht="15.75" customHeight="1">
      <c r="A44" s="14"/>
      <c r="B44" s="33" t="s">
        <v>14</v>
      </c>
      <c r="C44" s="50" t="s">
        <v>528</v>
      </c>
      <c r="D44" s="7" t="s">
        <v>529</v>
      </c>
      <c r="E44" s="7" t="s">
        <v>530</v>
      </c>
      <c r="F44" s="7" t="s">
        <v>531</v>
      </c>
      <c r="G44" s="57" t="s">
        <v>532</v>
      </c>
      <c r="H44" s="88">
        <v>5.0</v>
      </c>
      <c r="I44" s="7">
        <v>22500.0</v>
      </c>
      <c r="J44" s="7"/>
      <c r="M44" s="7">
        <v>1.0</v>
      </c>
      <c r="N44" s="60">
        <f t="shared" si="1"/>
        <v>22500</v>
      </c>
      <c r="O44" s="89">
        <v>10.0</v>
      </c>
      <c r="P44" s="101">
        <v>6.0</v>
      </c>
      <c r="Q44" s="88">
        <v>3.0</v>
      </c>
      <c r="R44" s="124">
        <v>600.0</v>
      </c>
      <c r="S44" s="7">
        <f t="shared" si="2"/>
        <v>18000</v>
      </c>
      <c r="T44" s="7">
        <f t="shared" si="3"/>
        <v>3.18</v>
      </c>
      <c r="U44" s="60">
        <f t="shared" si="4"/>
        <v>1908</v>
      </c>
      <c r="V44" s="125">
        <f t="shared" si="5"/>
        <v>1080</v>
      </c>
      <c r="W44" s="97">
        <v>0.0</v>
      </c>
      <c r="X44" s="88">
        <v>600.0</v>
      </c>
      <c r="Y44" s="88">
        <v>1.5</v>
      </c>
      <c r="Z44" s="13">
        <f t="shared" si="6"/>
        <v>900</v>
      </c>
      <c r="AA44" s="13">
        <f t="shared" si="24"/>
        <v>600</v>
      </c>
      <c r="AB44" s="7">
        <f t="shared" si="8"/>
        <v>0</v>
      </c>
      <c r="AC44" s="93">
        <f t="shared" si="9"/>
        <v>0</v>
      </c>
      <c r="AD44" s="97">
        <v>0.0</v>
      </c>
      <c r="AE44" s="88">
        <v>800.0</v>
      </c>
      <c r="AF44" s="95">
        <v>0.8</v>
      </c>
      <c r="AG44" s="13">
        <f t="shared" si="10"/>
        <v>640</v>
      </c>
      <c r="AH44" s="13">
        <f t="shared" si="11"/>
        <v>800</v>
      </c>
      <c r="AI44" s="13">
        <f t="shared" si="12"/>
        <v>0</v>
      </c>
      <c r="AJ44" s="17">
        <f t="shared" si="13"/>
        <v>0</v>
      </c>
      <c r="AK44" s="96">
        <v>25.0</v>
      </c>
      <c r="AL44" s="95">
        <v>2.0</v>
      </c>
      <c r="AM44" s="95">
        <v>24.0</v>
      </c>
      <c r="AN44" s="13">
        <f t="shared" si="14"/>
        <v>48</v>
      </c>
      <c r="AO44" s="13">
        <f t="shared" si="15"/>
        <v>1.5</v>
      </c>
      <c r="AP44" s="13">
        <f t="shared" si="16"/>
        <v>12</v>
      </c>
      <c r="AQ44" s="17">
        <f t="shared" si="17"/>
        <v>120</v>
      </c>
      <c r="AR44" s="96">
        <v>3.0</v>
      </c>
      <c r="AS44" s="95">
        <v>15000.0</v>
      </c>
      <c r="AT44" s="17">
        <f t="shared" si="18"/>
        <v>450</v>
      </c>
      <c r="AU44" s="96">
        <v>3.0</v>
      </c>
      <c r="AV44" s="95">
        <v>5000.0</v>
      </c>
      <c r="AW44" s="17">
        <f t="shared" si="19"/>
        <v>150</v>
      </c>
      <c r="AX44" s="98">
        <f t="shared" si="20"/>
        <v>9000</v>
      </c>
      <c r="AY44" s="99">
        <f t="shared" si="21"/>
        <v>8</v>
      </c>
      <c r="AZ44" s="98">
        <f t="shared" si="22"/>
        <v>-13500</v>
      </c>
    </row>
    <row r="45" ht="15.75" customHeight="1">
      <c r="A45" s="14"/>
      <c r="B45" s="33" t="s">
        <v>14</v>
      </c>
      <c r="C45" s="50" t="s">
        <v>533</v>
      </c>
      <c r="D45" s="132" t="s">
        <v>534</v>
      </c>
      <c r="E45" s="7" t="s">
        <v>512</v>
      </c>
      <c r="F45" s="7" t="s">
        <v>51</v>
      </c>
      <c r="G45" s="57" t="s">
        <v>535</v>
      </c>
      <c r="H45" s="88">
        <v>5.0</v>
      </c>
      <c r="I45" s="7">
        <v>7500.0</v>
      </c>
      <c r="J45" s="7"/>
      <c r="M45" s="7">
        <v>1.0</v>
      </c>
      <c r="N45" s="60">
        <f t="shared" si="1"/>
        <v>7500</v>
      </c>
      <c r="O45" s="89">
        <v>10.0</v>
      </c>
      <c r="P45" s="101">
        <v>6.0</v>
      </c>
      <c r="Q45" s="88">
        <v>3.0</v>
      </c>
      <c r="R45" s="124">
        <v>600.0</v>
      </c>
      <c r="S45" s="7">
        <f t="shared" si="2"/>
        <v>18000</v>
      </c>
      <c r="T45" s="7">
        <f t="shared" si="3"/>
        <v>3.18</v>
      </c>
      <c r="U45" s="60">
        <f t="shared" si="4"/>
        <v>1908</v>
      </c>
      <c r="V45" s="125">
        <f t="shared" si="5"/>
        <v>1080</v>
      </c>
      <c r="W45" s="96">
        <v>25.0</v>
      </c>
      <c r="X45" s="88">
        <v>600.0</v>
      </c>
      <c r="Y45" s="88">
        <v>1.5</v>
      </c>
      <c r="Z45" s="13">
        <f t="shared" si="6"/>
        <v>900</v>
      </c>
      <c r="AA45" s="13">
        <f t="shared" si="24"/>
        <v>450</v>
      </c>
      <c r="AB45" s="7">
        <f t="shared" si="8"/>
        <v>225</v>
      </c>
      <c r="AC45" s="93">
        <f t="shared" si="9"/>
        <v>2250</v>
      </c>
      <c r="AD45" s="97">
        <v>0.0</v>
      </c>
      <c r="AE45" s="88">
        <v>800.0</v>
      </c>
      <c r="AF45" s="95">
        <v>0.8</v>
      </c>
      <c r="AG45" s="13">
        <f t="shared" si="10"/>
        <v>640</v>
      </c>
      <c r="AH45" s="13">
        <f t="shared" si="11"/>
        <v>800</v>
      </c>
      <c r="AI45" s="13">
        <f t="shared" si="12"/>
        <v>0</v>
      </c>
      <c r="AJ45" s="17">
        <f t="shared" si="13"/>
        <v>0</v>
      </c>
      <c r="AK45" s="97">
        <v>0.0</v>
      </c>
      <c r="AL45" s="95">
        <v>2.0</v>
      </c>
      <c r="AM45" s="95">
        <v>24.0</v>
      </c>
      <c r="AN45" s="13">
        <f t="shared" si="14"/>
        <v>48</v>
      </c>
      <c r="AO45" s="13">
        <f t="shared" si="15"/>
        <v>2</v>
      </c>
      <c r="AP45" s="13">
        <f t="shared" si="16"/>
        <v>0</v>
      </c>
      <c r="AQ45" s="17">
        <f t="shared" si="17"/>
        <v>0</v>
      </c>
      <c r="AR45" s="96">
        <v>3.0</v>
      </c>
      <c r="AS45" s="95">
        <v>15000.0</v>
      </c>
      <c r="AT45" s="17">
        <f t="shared" si="18"/>
        <v>450</v>
      </c>
      <c r="AU45" s="96">
        <v>3.0</v>
      </c>
      <c r="AV45" s="95">
        <v>5000.0</v>
      </c>
      <c r="AW45" s="17">
        <f t="shared" si="19"/>
        <v>150</v>
      </c>
      <c r="AX45" s="98">
        <f t="shared" si="20"/>
        <v>19650</v>
      </c>
      <c r="AY45" s="99">
        <f t="shared" si="21"/>
        <v>52.4</v>
      </c>
      <c r="AZ45" s="98">
        <f t="shared" si="22"/>
        <v>12150</v>
      </c>
    </row>
    <row r="46" ht="13.5" customHeight="1">
      <c r="A46" s="21"/>
      <c r="B46" s="104" t="s">
        <v>502</v>
      </c>
      <c r="C46" s="105" t="s">
        <v>536</v>
      </c>
      <c r="D46" s="106" t="s">
        <v>537</v>
      </c>
      <c r="E46" s="106" t="s">
        <v>233</v>
      </c>
      <c r="F46" s="106" t="s">
        <v>51</v>
      </c>
      <c r="G46" s="113" t="s">
        <v>237</v>
      </c>
      <c r="H46" s="108">
        <v>5.0</v>
      </c>
      <c r="I46" s="106">
        <v>750.0</v>
      </c>
      <c r="J46" s="109"/>
      <c r="K46" s="109"/>
      <c r="L46" s="109"/>
      <c r="M46" s="106">
        <v>1.0</v>
      </c>
      <c r="N46" s="110">
        <f t="shared" si="1"/>
        <v>750</v>
      </c>
      <c r="O46" s="111">
        <v>10.0</v>
      </c>
      <c r="P46" s="128">
        <v>6.0</v>
      </c>
      <c r="Q46" s="129">
        <v>3.0</v>
      </c>
      <c r="R46" s="129">
        <v>600.0</v>
      </c>
      <c r="S46" s="106">
        <f t="shared" si="2"/>
        <v>18000</v>
      </c>
      <c r="T46" s="106">
        <f t="shared" si="3"/>
        <v>3.18</v>
      </c>
      <c r="U46" s="110">
        <f t="shared" si="4"/>
        <v>1908</v>
      </c>
      <c r="V46" s="113">
        <f t="shared" si="5"/>
        <v>1080</v>
      </c>
      <c r="W46" s="116">
        <v>0.0</v>
      </c>
      <c r="X46" s="108">
        <v>600.0</v>
      </c>
      <c r="Y46" s="108">
        <v>1.5</v>
      </c>
      <c r="Z46" s="22">
        <f t="shared" si="6"/>
        <v>900</v>
      </c>
      <c r="AA46" s="22">
        <f t="shared" si="24"/>
        <v>600</v>
      </c>
      <c r="AB46" s="106">
        <f t="shared" si="8"/>
        <v>0</v>
      </c>
      <c r="AC46" s="115">
        <f t="shared" si="9"/>
        <v>0</v>
      </c>
      <c r="AD46" s="118">
        <v>25.0</v>
      </c>
      <c r="AE46" s="108">
        <v>800.0</v>
      </c>
      <c r="AF46" s="117">
        <v>0.8</v>
      </c>
      <c r="AG46" s="22">
        <f t="shared" si="10"/>
        <v>640</v>
      </c>
      <c r="AH46" s="22">
        <f t="shared" si="11"/>
        <v>600</v>
      </c>
      <c r="AI46" s="22">
        <f t="shared" si="12"/>
        <v>160</v>
      </c>
      <c r="AJ46" s="25">
        <f t="shared" si="13"/>
        <v>1600</v>
      </c>
      <c r="AK46" s="116">
        <v>0.0</v>
      </c>
      <c r="AL46" s="117">
        <v>2.0</v>
      </c>
      <c r="AM46" s="117">
        <v>24.0</v>
      </c>
      <c r="AN46" s="22">
        <f t="shared" si="14"/>
        <v>48</v>
      </c>
      <c r="AO46" s="22">
        <f t="shared" si="15"/>
        <v>2</v>
      </c>
      <c r="AP46" s="22">
        <f t="shared" si="16"/>
        <v>0</v>
      </c>
      <c r="AQ46" s="25">
        <f t="shared" si="17"/>
        <v>0</v>
      </c>
      <c r="AR46" s="118">
        <v>3.0</v>
      </c>
      <c r="AS46" s="117">
        <v>15000.0</v>
      </c>
      <c r="AT46" s="25">
        <f t="shared" si="18"/>
        <v>450</v>
      </c>
      <c r="AU46" s="118">
        <v>3.0</v>
      </c>
      <c r="AV46" s="117">
        <v>5000.0</v>
      </c>
      <c r="AW46" s="25">
        <f t="shared" si="19"/>
        <v>150</v>
      </c>
      <c r="AX46" s="119">
        <f t="shared" si="20"/>
        <v>16400</v>
      </c>
      <c r="AY46" s="120">
        <f t="shared" si="21"/>
        <v>437.3333333</v>
      </c>
      <c r="AZ46" s="119">
        <f t="shared" si="22"/>
        <v>15650</v>
      </c>
    </row>
    <row r="47" ht="15.75" customHeight="1">
      <c r="A47" s="71" t="s">
        <v>270</v>
      </c>
      <c r="B47" s="72" t="s">
        <v>14</v>
      </c>
      <c r="C47" s="74" t="s">
        <v>271</v>
      </c>
      <c r="D47" s="74" t="s">
        <v>272</v>
      </c>
      <c r="E47" s="74" t="s">
        <v>538</v>
      </c>
      <c r="F47" s="74" t="s">
        <v>156</v>
      </c>
      <c r="G47" s="75" t="s">
        <v>539</v>
      </c>
      <c r="H47" s="76">
        <v>5.0</v>
      </c>
      <c r="I47" s="74">
        <v>15750.0</v>
      </c>
      <c r="J47" s="74"/>
      <c r="K47" s="77"/>
      <c r="L47" s="74"/>
      <c r="M47" s="74">
        <v>1.0</v>
      </c>
      <c r="N47" s="78">
        <f t="shared" si="1"/>
        <v>15750</v>
      </c>
      <c r="O47" s="121">
        <v>10.0</v>
      </c>
      <c r="P47" s="122">
        <v>11.5</v>
      </c>
      <c r="Q47" s="76">
        <v>3.0</v>
      </c>
      <c r="R47" s="131">
        <v>600.0</v>
      </c>
      <c r="S47" s="74">
        <f t="shared" si="2"/>
        <v>18000</v>
      </c>
      <c r="T47" s="74">
        <f t="shared" si="3"/>
        <v>3.345</v>
      </c>
      <c r="U47" s="78">
        <f t="shared" si="4"/>
        <v>2007</v>
      </c>
      <c r="V47" s="80">
        <f t="shared" si="5"/>
        <v>2070</v>
      </c>
      <c r="W47" s="123">
        <v>22.5</v>
      </c>
      <c r="X47" s="76">
        <v>600.0</v>
      </c>
      <c r="Y47" s="76">
        <v>1.5</v>
      </c>
      <c r="Z47" s="9">
        <f t="shared" si="6"/>
        <v>900</v>
      </c>
      <c r="AA47" s="9">
        <f t="shared" si="24"/>
        <v>465</v>
      </c>
      <c r="AB47" s="74">
        <f t="shared" si="8"/>
        <v>202.5</v>
      </c>
      <c r="AC47" s="81">
        <f t="shared" si="9"/>
        <v>2025</v>
      </c>
      <c r="AD47" s="84">
        <v>25.0</v>
      </c>
      <c r="AE47" s="76">
        <v>800.0</v>
      </c>
      <c r="AF47" s="83">
        <v>0.8</v>
      </c>
      <c r="AG47" s="9">
        <f t="shared" si="10"/>
        <v>640</v>
      </c>
      <c r="AH47" s="9">
        <f t="shared" si="11"/>
        <v>600</v>
      </c>
      <c r="AI47" s="9">
        <f t="shared" si="12"/>
        <v>160</v>
      </c>
      <c r="AJ47" s="12">
        <f t="shared" si="13"/>
        <v>1600</v>
      </c>
      <c r="AK47" s="84">
        <v>50.0</v>
      </c>
      <c r="AL47" s="83">
        <v>2.0</v>
      </c>
      <c r="AM47" s="83">
        <v>24.0</v>
      </c>
      <c r="AN47" s="9">
        <f t="shared" si="14"/>
        <v>48</v>
      </c>
      <c r="AO47" s="9">
        <f t="shared" si="15"/>
        <v>1</v>
      </c>
      <c r="AP47" s="9">
        <f t="shared" si="16"/>
        <v>24</v>
      </c>
      <c r="AQ47" s="12">
        <f t="shared" si="17"/>
        <v>240</v>
      </c>
      <c r="AR47" s="85">
        <v>0.0</v>
      </c>
      <c r="AS47" s="83">
        <v>15000.0</v>
      </c>
      <c r="AT47" s="12">
        <f t="shared" si="18"/>
        <v>0</v>
      </c>
      <c r="AU47" s="84">
        <v>6.0</v>
      </c>
      <c r="AV47" s="83">
        <v>5000.0</v>
      </c>
      <c r="AW47" s="12">
        <f t="shared" si="19"/>
        <v>300</v>
      </c>
      <c r="AX47" s="86">
        <f t="shared" si="20"/>
        <v>31175</v>
      </c>
      <c r="AY47" s="87">
        <f t="shared" si="21"/>
        <v>39.58730159</v>
      </c>
      <c r="AZ47" s="86">
        <f t="shared" si="22"/>
        <v>15425</v>
      </c>
    </row>
    <row r="48" ht="15.75" customHeight="1">
      <c r="A48" s="14"/>
      <c r="B48" s="33" t="s">
        <v>14</v>
      </c>
      <c r="C48" s="7" t="s">
        <v>271</v>
      </c>
      <c r="D48" s="7" t="s">
        <v>277</v>
      </c>
      <c r="E48" s="7" t="s">
        <v>538</v>
      </c>
      <c r="F48" s="7" t="s">
        <v>156</v>
      </c>
      <c r="G48" s="57" t="s">
        <v>540</v>
      </c>
      <c r="H48" s="88">
        <v>5.0</v>
      </c>
      <c r="I48" s="7">
        <v>9500.0</v>
      </c>
      <c r="J48" s="7"/>
      <c r="L48" s="7"/>
      <c r="M48" s="7">
        <v>1.0</v>
      </c>
      <c r="N48" s="60">
        <f t="shared" si="1"/>
        <v>9500</v>
      </c>
      <c r="O48" s="89">
        <v>10.0</v>
      </c>
      <c r="P48" s="101">
        <v>11.5</v>
      </c>
      <c r="Q48" s="88">
        <v>3.0</v>
      </c>
      <c r="R48" s="124">
        <v>600.0</v>
      </c>
      <c r="S48" s="7">
        <f t="shared" si="2"/>
        <v>18000</v>
      </c>
      <c r="T48" s="7">
        <f t="shared" si="3"/>
        <v>3.345</v>
      </c>
      <c r="U48" s="60">
        <f t="shared" si="4"/>
        <v>2007</v>
      </c>
      <c r="V48" s="125">
        <f t="shared" si="5"/>
        <v>2070</v>
      </c>
      <c r="W48" s="94">
        <v>22.5</v>
      </c>
      <c r="X48" s="88">
        <v>600.0</v>
      </c>
      <c r="Y48" s="88">
        <v>1.5</v>
      </c>
      <c r="Z48" s="13">
        <f t="shared" si="6"/>
        <v>900</v>
      </c>
      <c r="AA48" s="13">
        <f t="shared" si="24"/>
        <v>465</v>
      </c>
      <c r="AB48" s="7">
        <f t="shared" si="8"/>
        <v>202.5</v>
      </c>
      <c r="AC48" s="93">
        <f t="shared" si="9"/>
        <v>2025</v>
      </c>
      <c r="AD48" s="96">
        <v>25.0</v>
      </c>
      <c r="AE48" s="88">
        <v>800.0</v>
      </c>
      <c r="AF48" s="95">
        <v>0.8</v>
      </c>
      <c r="AG48" s="13">
        <f t="shared" si="10"/>
        <v>640</v>
      </c>
      <c r="AH48" s="13">
        <f t="shared" si="11"/>
        <v>600</v>
      </c>
      <c r="AI48" s="13">
        <f t="shared" si="12"/>
        <v>160</v>
      </c>
      <c r="AJ48" s="17">
        <f t="shared" si="13"/>
        <v>1600</v>
      </c>
      <c r="AK48" s="96">
        <v>50.0</v>
      </c>
      <c r="AL48" s="95">
        <v>2.0</v>
      </c>
      <c r="AM48" s="95">
        <v>24.0</v>
      </c>
      <c r="AN48" s="13">
        <f t="shared" si="14"/>
        <v>48</v>
      </c>
      <c r="AO48" s="13">
        <f t="shared" si="15"/>
        <v>1</v>
      </c>
      <c r="AP48" s="13">
        <f t="shared" si="16"/>
        <v>24</v>
      </c>
      <c r="AQ48" s="17">
        <f t="shared" si="17"/>
        <v>240</v>
      </c>
      <c r="AR48" s="97">
        <v>0.0</v>
      </c>
      <c r="AS48" s="95">
        <v>15000.0</v>
      </c>
      <c r="AT48" s="17">
        <f t="shared" si="18"/>
        <v>0</v>
      </c>
      <c r="AU48" s="96">
        <v>6.0</v>
      </c>
      <c r="AV48" s="95">
        <v>5000.0</v>
      </c>
      <c r="AW48" s="17">
        <f t="shared" si="19"/>
        <v>300</v>
      </c>
      <c r="AX48" s="98">
        <f t="shared" si="20"/>
        <v>31175</v>
      </c>
      <c r="AY48" s="99">
        <f t="shared" si="21"/>
        <v>65.63157895</v>
      </c>
      <c r="AZ48" s="98">
        <f t="shared" si="22"/>
        <v>21675</v>
      </c>
    </row>
    <row r="49" ht="15.75" customHeight="1">
      <c r="A49" s="14"/>
      <c r="B49" s="33" t="s">
        <v>14</v>
      </c>
      <c r="C49" s="7" t="s">
        <v>541</v>
      </c>
      <c r="D49" s="7" t="s">
        <v>280</v>
      </c>
      <c r="E49" s="7" t="s">
        <v>281</v>
      </c>
      <c r="F49" s="7" t="s">
        <v>156</v>
      </c>
      <c r="G49" s="57" t="s">
        <v>542</v>
      </c>
      <c r="H49" s="88">
        <v>5.0</v>
      </c>
      <c r="I49" s="7">
        <v>1800.0</v>
      </c>
      <c r="J49" s="7"/>
      <c r="L49" s="7"/>
      <c r="M49" s="7">
        <v>1.0</v>
      </c>
      <c r="N49" s="60">
        <f t="shared" si="1"/>
        <v>1800</v>
      </c>
      <c r="O49" s="89">
        <v>10.0</v>
      </c>
      <c r="P49" s="101">
        <v>11.5</v>
      </c>
      <c r="Q49" s="88">
        <v>3.0</v>
      </c>
      <c r="R49" s="124">
        <v>600.0</v>
      </c>
      <c r="S49" s="7">
        <f t="shared" si="2"/>
        <v>18000</v>
      </c>
      <c r="T49" s="7">
        <f t="shared" si="3"/>
        <v>3.345</v>
      </c>
      <c r="U49" s="60">
        <f t="shared" si="4"/>
        <v>2007</v>
      </c>
      <c r="V49" s="125">
        <f t="shared" si="5"/>
        <v>2070</v>
      </c>
      <c r="W49" s="94">
        <v>22.5</v>
      </c>
      <c r="X49" s="88">
        <v>600.0</v>
      </c>
      <c r="Y49" s="88">
        <v>1.5</v>
      </c>
      <c r="Z49" s="13">
        <f t="shared" si="6"/>
        <v>900</v>
      </c>
      <c r="AA49" s="13">
        <f t="shared" si="24"/>
        <v>465</v>
      </c>
      <c r="AB49" s="7">
        <f t="shared" si="8"/>
        <v>202.5</v>
      </c>
      <c r="AC49" s="93">
        <f t="shared" si="9"/>
        <v>2025</v>
      </c>
      <c r="AD49" s="96">
        <v>25.0</v>
      </c>
      <c r="AE49" s="88">
        <v>800.0</v>
      </c>
      <c r="AF49" s="95">
        <v>0.8</v>
      </c>
      <c r="AG49" s="13">
        <f t="shared" si="10"/>
        <v>640</v>
      </c>
      <c r="AH49" s="13">
        <f t="shared" si="11"/>
        <v>600</v>
      </c>
      <c r="AI49" s="13">
        <f t="shared" si="12"/>
        <v>160</v>
      </c>
      <c r="AJ49" s="17">
        <f t="shared" si="13"/>
        <v>1600</v>
      </c>
      <c r="AK49" s="96">
        <v>50.0</v>
      </c>
      <c r="AL49" s="95">
        <v>2.0</v>
      </c>
      <c r="AM49" s="95">
        <v>24.0</v>
      </c>
      <c r="AN49" s="13">
        <f t="shared" si="14"/>
        <v>48</v>
      </c>
      <c r="AO49" s="13">
        <f t="shared" si="15"/>
        <v>1</v>
      </c>
      <c r="AP49" s="13">
        <f t="shared" si="16"/>
        <v>24</v>
      </c>
      <c r="AQ49" s="17">
        <f t="shared" si="17"/>
        <v>240</v>
      </c>
      <c r="AR49" s="97">
        <v>0.0</v>
      </c>
      <c r="AS49" s="95">
        <v>15000.0</v>
      </c>
      <c r="AT49" s="17">
        <f t="shared" si="18"/>
        <v>0</v>
      </c>
      <c r="AU49" s="96">
        <v>6.0</v>
      </c>
      <c r="AV49" s="95">
        <v>5000.0</v>
      </c>
      <c r="AW49" s="17">
        <f t="shared" si="19"/>
        <v>300</v>
      </c>
      <c r="AX49" s="98">
        <f t="shared" si="20"/>
        <v>31175</v>
      </c>
      <c r="AY49" s="99">
        <f t="shared" si="21"/>
        <v>346.3888889</v>
      </c>
      <c r="AZ49" s="98">
        <f t="shared" si="22"/>
        <v>29375</v>
      </c>
    </row>
    <row r="50" ht="15.75" customHeight="1">
      <c r="A50" s="14"/>
      <c r="B50" s="33" t="s">
        <v>14</v>
      </c>
      <c r="C50" s="7" t="s">
        <v>271</v>
      </c>
      <c r="D50" s="7" t="s">
        <v>295</v>
      </c>
      <c r="E50" s="7" t="s">
        <v>296</v>
      </c>
      <c r="F50" s="7" t="s">
        <v>156</v>
      </c>
      <c r="G50" s="57" t="s">
        <v>543</v>
      </c>
      <c r="H50" s="88">
        <v>5.0</v>
      </c>
      <c r="I50" s="7">
        <v>6500.0</v>
      </c>
      <c r="J50" s="7"/>
      <c r="L50" s="7"/>
      <c r="M50" s="7">
        <v>1.0</v>
      </c>
      <c r="N50" s="60">
        <f t="shared" si="1"/>
        <v>6500</v>
      </c>
      <c r="O50" s="89">
        <v>10.0</v>
      </c>
      <c r="P50" s="101">
        <v>11.5</v>
      </c>
      <c r="Q50" s="88">
        <v>3.0</v>
      </c>
      <c r="R50" s="124">
        <v>600.0</v>
      </c>
      <c r="S50" s="7">
        <f t="shared" si="2"/>
        <v>18000</v>
      </c>
      <c r="T50" s="7">
        <f t="shared" si="3"/>
        <v>3.345</v>
      </c>
      <c r="U50" s="60">
        <f t="shared" si="4"/>
        <v>2007</v>
      </c>
      <c r="V50" s="125">
        <f t="shared" si="5"/>
        <v>2070</v>
      </c>
      <c r="W50" s="94">
        <v>22.5</v>
      </c>
      <c r="X50" s="88">
        <v>600.0</v>
      </c>
      <c r="Y50" s="88">
        <v>1.5</v>
      </c>
      <c r="Z50" s="13">
        <f t="shared" si="6"/>
        <v>900</v>
      </c>
      <c r="AA50" s="13">
        <f t="shared" si="24"/>
        <v>465</v>
      </c>
      <c r="AB50" s="7">
        <f t="shared" si="8"/>
        <v>202.5</v>
      </c>
      <c r="AC50" s="93">
        <f t="shared" si="9"/>
        <v>2025</v>
      </c>
      <c r="AD50" s="96">
        <v>25.0</v>
      </c>
      <c r="AE50" s="88">
        <v>800.0</v>
      </c>
      <c r="AF50" s="95">
        <v>0.8</v>
      </c>
      <c r="AG50" s="13">
        <f t="shared" si="10"/>
        <v>640</v>
      </c>
      <c r="AH50" s="13">
        <f t="shared" si="11"/>
        <v>600</v>
      </c>
      <c r="AI50" s="13">
        <f t="shared" si="12"/>
        <v>160</v>
      </c>
      <c r="AJ50" s="17">
        <f t="shared" si="13"/>
        <v>1600</v>
      </c>
      <c r="AK50" s="96">
        <v>50.0</v>
      </c>
      <c r="AL50" s="95">
        <v>2.0</v>
      </c>
      <c r="AM50" s="95">
        <v>24.0</v>
      </c>
      <c r="AN50" s="13">
        <f t="shared" si="14"/>
        <v>48</v>
      </c>
      <c r="AO50" s="13">
        <f t="shared" si="15"/>
        <v>1</v>
      </c>
      <c r="AP50" s="13">
        <f t="shared" si="16"/>
        <v>24</v>
      </c>
      <c r="AQ50" s="17">
        <f t="shared" si="17"/>
        <v>240</v>
      </c>
      <c r="AR50" s="97">
        <v>0.0</v>
      </c>
      <c r="AS50" s="95">
        <v>15000.0</v>
      </c>
      <c r="AT50" s="17">
        <f t="shared" si="18"/>
        <v>0</v>
      </c>
      <c r="AU50" s="96">
        <v>6.0</v>
      </c>
      <c r="AV50" s="95">
        <v>5000.0</v>
      </c>
      <c r="AW50" s="17">
        <f t="shared" si="19"/>
        <v>300</v>
      </c>
      <c r="AX50" s="98">
        <f t="shared" si="20"/>
        <v>31175</v>
      </c>
      <c r="AY50" s="99">
        <f t="shared" si="21"/>
        <v>95.92307692</v>
      </c>
      <c r="AZ50" s="98">
        <f t="shared" si="22"/>
        <v>24675</v>
      </c>
    </row>
    <row r="51" ht="15.75" customHeight="1">
      <c r="A51" s="14"/>
      <c r="B51" s="33" t="s">
        <v>14</v>
      </c>
      <c r="C51" s="7" t="s">
        <v>300</v>
      </c>
      <c r="D51" s="7" t="s">
        <v>301</v>
      </c>
      <c r="E51" s="7" t="s">
        <v>544</v>
      </c>
      <c r="F51" s="7" t="s">
        <v>156</v>
      </c>
      <c r="G51" s="57" t="s">
        <v>545</v>
      </c>
      <c r="H51" s="88">
        <v>5.0</v>
      </c>
      <c r="I51" s="7">
        <v>12000.0</v>
      </c>
      <c r="J51" s="7"/>
      <c r="L51" s="7"/>
      <c r="M51" s="7">
        <v>1.0</v>
      </c>
      <c r="N51" s="60">
        <f t="shared" si="1"/>
        <v>12000</v>
      </c>
      <c r="O51" s="89">
        <v>10.0</v>
      </c>
      <c r="P51" s="101">
        <v>11.5</v>
      </c>
      <c r="Q51" s="88">
        <v>3.0</v>
      </c>
      <c r="R51" s="124">
        <v>600.0</v>
      </c>
      <c r="S51" s="7">
        <f t="shared" si="2"/>
        <v>18000</v>
      </c>
      <c r="T51" s="7">
        <f t="shared" si="3"/>
        <v>3.345</v>
      </c>
      <c r="U51" s="60">
        <f t="shared" si="4"/>
        <v>2007</v>
      </c>
      <c r="V51" s="125">
        <f t="shared" si="5"/>
        <v>2070</v>
      </c>
      <c r="W51" s="94">
        <v>22.5</v>
      </c>
      <c r="X51" s="88">
        <v>600.0</v>
      </c>
      <c r="Y51" s="88">
        <v>1.5</v>
      </c>
      <c r="Z51" s="13">
        <f t="shared" si="6"/>
        <v>900</v>
      </c>
      <c r="AA51" s="13">
        <f t="shared" si="24"/>
        <v>465</v>
      </c>
      <c r="AB51" s="7">
        <f t="shared" si="8"/>
        <v>202.5</v>
      </c>
      <c r="AC51" s="93">
        <f t="shared" si="9"/>
        <v>2025</v>
      </c>
      <c r="AD51" s="96">
        <v>25.0</v>
      </c>
      <c r="AE51" s="88">
        <v>800.0</v>
      </c>
      <c r="AF51" s="95">
        <v>0.8</v>
      </c>
      <c r="AG51" s="13">
        <f t="shared" si="10"/>
        <v>640</v>
      </c>
      <c r="AH51" s="13">
        <f t="shared" si="11"/>
        <v>600</v>
      </c>
      <c r="AI51" s="13">
        <f t="shared" si="12"/>
        <v>160</v>
      </c>
      <c r="AJ51" s="17">
        <f t="shared" si="13"/>
        <v>1600</v>
      </c>
      <c r="AK51" s="96">
        <v>50.0</v>
      </c>
      <c r="AL51" s="95">
        <v>2.0</v>
      </c>
      <c r="AM51" s="95">
        <v>24.0</v>
      </c>
      <c r="AN51" s="13">
        <f t="shared" si="14"/>
        <v>48</v>
      </c>
      <c r="AO51" s="13">
        <f t="shared" si="15"/>
        <v>1</v>
      </c>
      <c r="AP51" s="13">
        <f t="shared" si="16"/>
        <v>24</v>
      </c>
      <c r="AQ51" s="17">
        <f t="shared" si="17"/>
        <v>240</v>
      </c>
      <c r="AR51" s="97">
        <v>0.0</v>
      </c>
      <c r="AS51" s="95">
        <v>15000.0</v>
      </c>
      <c r="AT51" s="17">
        <f t="shared" si="18"/>
        <v>0</v>
      </c>
      <c r="AU51" s="96">
        <v>6.0</v>
      </c>
      <c r="AV51" s="95">
        <v>5000.0</v>
      </c>
      <c r="AW51" s="17">
        <f t="shared" si="19"/>
        <v>300</v>
      </c>
      <c r="AX51" s="98">
        <f t="shared" si="20"/>
        <v>31175</v>
      </c>
      <c r="AY51" s="99">
        <f t="shared" si="21"/>
        <v>51.95833333</v>
      </c>
      <c r="AZ51" s="98">
        <f t="shared" si="22"/>
        <v>19175</v>
      </c>
    </row>
    <row r="52" ht="15.75" customHeight="1">
      <c r="A52" s="14"/>
      <c r="B52" s="33" t="s">
        <v>36</v>
      </c>
      <c r="C52" s="7" t="s">
        <v>271</v>
      </c>
      <c r="D52" s="7" t="s">
        <v>546</v>
      </c>
      <c r="E52" s="7" t="s">
        <v>285</v>
      </c>
      <c r="F52" s="7" t="s">
        <v>51</v>
      </c>
      <c r="G52" s="57" t="s">
        <v>44</v>
      </c>
      <c r="H52" s="88">
        <v>5.0</v>
      </c>
      <c r="I52" s="7">
        <v>0.0</v>
      </c>
      <c r="J52" s="7"/>
      <c r="L52" s="7"/>
      <c r="M52" s="7">
        <v>1.0</v>
      </c>
      <c r="N52" s="60">
        <f t="shared" si="1"/>
        <v>0</v>
      </c>
      <c r="O52" s="89">
        <v>10.0</v>
      </c>
      <c r="P52" s="101">
        <v>11.5</v>
      </c>
      <c r="Q52" s="88">
        <v>3.0</v>
      </c>
      <c r="R52" s="124">
        <v>600.0</v>
      </c>
      <c r="S52" s="7">
        <f t="shared" si="2"/>
        <v>18000</v>
      </c>
      <c r="T52" s="7">
        <f t="shared" si="3"/>
        <v>3.345</v>
      </c>
      <c r="U52" s="60">
        <f t="shared" si="4"/>
        <v>2007</v>
      </c>
      <c r="V52" s="125">
        <f t="shared" si="5"/>
        <v>2070</v>
      </c>
      <c r="W52" s="102">
        <v>22.5</v>
      </c>
      <c r="X52" s="88">
        <v>600.0</v>
      </c>
      <c r="Y52" s="88">
        <v>1.5</v>
      </c>
      <c r="Z52" s="13">
        <f t="shared" si="6"/>
        <v>900</v>
      </c>
      <c r="AA52" s="13">
        <f t="shared" si="24"/>
        <v>465</v>
      </c>
      <c r="AB52" s="7">
        <f t="shared" si="8"/>
        <v>202.5</v>
      </c>
      <c r="AC52" s="93">
        <f t="shared" si="9"/>
        <v>2025</v>
      </c>
      <c r="AD52" s="96">
        <v>25.0</v>
      </c>
      <c r="AE52" s="88">
        <v>800.0</v>
      </c>
      <c r="AF52" s="95">
        <v>0.8</v>
      </c>
      <c r="AG52" s="13">
        <f t="shared" si="10"/>
        <v>640</v>
      </c>
      <c r="AH52" s="13">
        <f t="shared" si="11"/>
        <v>600</v>
      </c>
      <c r="AI52" s="13">
        <f t="shared" si="12"/>
        <v>160</v>
      </c>
      <c r="AJ52" s="17">
        <f t="shared" si="13"/>
        <v>1600</v>
      </c>
      <c r="AK52" s="96">
        <v>50.0</v>
      </c>
      <c r="AL52" s="95">
        <v>2.0</v>
      </c>
      <c r="AM52" s="95">
        <v>24.0</v>
      </c>
      <c r="AN52" s="13">
        <f t="shared" si="14"/>
        <v>48</v>
      </c>
      <c r="AO52" s="13">
        <f t="shared" si="15"/>
        <v>1</v>
      </c>
      <c r="AP52" s="13">
        <f t="shared" si="16"/>
        <v>24</v>
      </c>
      <c r="AQ52" s="17">
        <f t="shared" si="17"/>
        <v>240</v>
      </c>
      <c r="AR52" s="97">
        <v>0.0</v>
      </c>
      <c r="AS52" s="95">
        <v>15000.0</v>
      </c>
      <c r="AT52" s="17">
        <f t="shared" si="18"/>
        <v>0</v>
      </c>
      <c r="AU52" s="96">
        <v>6.0</v>
      </c>
      <c r="AV52" s="95">
        <v>5000.0</v>
      </c>
      <c r="AW52" s="17">
        <f t="shared" si="19"/>
        <v>300</v>
      </c>
      <c r="AX52" s="98">
        <f t="shared" si="20"/>
        <v>31175</v>
      </c>
      <c r="AY52" s="133" t="s">
        <v>547</v>
      </c>
      <c r="AZ52" s="98">
        <f t="shared" si="22"/>
        <v>31175</v>
      </c>
    </row>
    <row r="53" ht="15.75" customHeight="1">
      <c r="A53" s="14"/>
      <c r="B53" s="33" t="s">
        <v>14</v>
      </c>
      <c r="C53" s="7" t="s">
        <v>289</v>
      </c>
      <c r="D53" s="7" t="s">
        <v>290</v>
      </c>
      <c r="E53" s="7" t="s">
        <v>291</v>
      </c>
      <c r="F53" s="7" t="s">
        <v>51</v>
      </c>
      <c r="G53" s="57" t="s">
        <v>294</v>
      </c>
      <c r="H53" s="88">
        <v>5.0</v>
      </c>
      <c r="I53" s="7">
        <v>220.0</v>
      </c>
      <c r="J53" s="7"/>
      <c r="L53" s="7"/>
      <c r="M53" s="7">
        <v>1.0</v>
      </c>
      <c r="N53" s="60">
        <f t="shared" si="1"/>
        <v>220</v>
      </c>
      <c r="O53" s="89">
        <v>10.0</v>
      </c>
      <c r="P53" s="101">
        <v>11.5</v>
      </c>
      <c r="Q53" s="88">
        <v>3.0</v>
      </c>
      <c r="R53" s="124">
        <v>600.0</v>
      </c>
      <c r="S53" s="7">
        <f t="shared" si="2"/>
        <v>18000</v>
      </c>
      <c r="T53" s="7">
        <f t="shared" si="3"/>
        <v>3.345</v>
      </c>
      <c r="U53" s="60">
        <f t="shared" si="4"/>
        <v>2007</v>
      </c>
      <c r="V53" s="125">
        <f t="shared" si="5"/>
        <v>2070</v>
      </c>
      <c r="W53" s="94">
        <v>22.5</v>
      </c>
      <c r="X53" s="88">
        <v>600.0</v>
      </c>
      <c r="Y53" s="88">
        <v>1.5</v>
      </c>
      <c r="Z53" s="13">
        <f t="shared" si="6"/>
        <v>900</v>
      </c>
      <c r="AA53" s="13">
        <f t="shared" si="24"/>
        <v>465</v>
      </c>
      <c r="AB53" s="7">
        <f t="shared" si="8"/>
        <v>202.5</v>
      </c>
      <c r="AC53" s="93">
        <f t="shared" si="9"/>
        <v>2025</v>
      </c>
      <c r="AD53" s="96">
        <v>25.0</v>
      </c>
      <c r="AE53" s="88">
        <v>800.0</v>
      </c>
      <c r="AF53" s="95">
        <v>0.8</v>
      </c>
      <c r="AG53" s="13">
        <f t="shared" si="10"/>
        <v>640</v>
      </c>
      <c r="AH53" s="13">
        <f t="shared" si="11"/>
        <v>600</v>
      </c>
      <c r="AI53" s="13">
        <f t="shared" si="12"/>
        <v>160</v>
      </c>
      <c r="AJ53" s="17">
        <f t="shared" si="13"/>
        <v>1600</v>
      </c>
      <c r="AK53" s="96">
        <v>50.0</v>
      </c>
      <c r="AL53" s="95">
        <v>2.0</v>
      </c>
      <c r="AM53" s="95">
        <v>24.0</v>
      </c>
      <c r="AN53" s="13">
        <f t="shared" si="14"/>
        <v>48</v>
      </c>
      <c r="AO53" s="13">
        <f t="shared" si="15"/>
        <v>1</v>
      </c>
      <c r="AP53" s="13">
        <f t="shared" si="16"/>
        <v>24</v>
      </c>
      <c r="AQ53" s="17">
        <f t="shared" si="17"/>
        <v>240</v>
      </c>
      <c r="AR53" s="97">
        <v>0.0</v>
      </c>
      <c r="AS53" s="95">
        <v>15000.0</v>
      </c>
      <c r="AT53" s="17">
        <f t="shared" si="18"/>
        <v>0</v>
      </c>
      <c r="AU53" s="96">
        <v>6.0</v>
      </c>
      <c r="AV53" s="95">
        <v>5000.0</v>
      </c>
      <c r="AW53" s="17">
        <f t="shared" si="19"/>
        <v>300</v>
      </c>
      <c r="AX53" s="98">
        <f t="shared" si="20"/>
        <v>31175</v>
      </c>
      <c r="AY53" s="99">
        <f t="shared" ref="AY53:AY68" si="25">(AW53+AT53+AQ53+AJ53+AC53+V53)/(N53)*100</f>
        <v>2834.090909</v>
      </c>
      <c r="AZ53" s="98">
        <f t="shared" si="22"/>
        <v>30955</v>
      </c>
    </row>
    <row r="54" ht="15.75" customHeight="1">
      <c r="A54" s="14"/>
      <c r="B54" s="33" t="s">
        <v>14</v>
      </c>
      <c r="C54" s="7" t="s">
        <v>289</v>
      </c>
      <c r="D54" s="7" t="s">
        <v>306</v>
      </c>
      <c r="E54" s="7" t="s">
        <v>548</v>
      </c>
      <c r="F54" s="7" t="s">
        <v>480</v>
      </c>
      <c r="G54" s="57" t="s">
        <v>516</v>
      </c>
      <c r="H54" s="88">
        <v>5.0</v>
      </c>
      <c r="I54" s="7">
        <v>7000.0</v>
      </c>
      <c r="J54" s="7"/>
      <c r="L54" s="7"/>
      <c r="M54" s="7">
        <v>1.0</v>
      </c>
      <c r="N54" s="60">
        <f t="shared" si="1"/>
        <v>7000</v>
      </c>
      <c r="O54" s="89">
        <v>10.0</v>
      </c>
      <c r="P54" s="101">
        <v>11.5</v>
      </c>
      <c r="Q54" s="88">
        <v>3.0</v>
      </c>
      <c r="R54" s="124">
        <v>600.0</v>
      </c>
      <c r="S54" s="7">
        <f t="shared" si="2"/>
        <v>18000</v>
      </c>
      <c r="T54" s="7">
        <f t="shared" si="3"/>
        <v>3.345</v>
      </c>
      <c r="U54" s="60">
        <f t="shared" si="4"/>
        <v>2007</v>
      </c>
      <c r="V54" s="125">
        <f t="shared" si="5"/>
        <v>2070</v>
      </c>
      <c r="W54" s="94">
        <v>22.5</v>
      </c>
      <c r="X54" s="88">
        <v>600.0</v>
      </c>
      <c r="Y54" s="88">
        <v>1.5</v>
      </c>
      <c r="Z54" s="13">
        <f t="shared" si="6"/>
        <v>900</v>
      </c>
      <c r="AA54" s="13">
        <f t="shared" si="24"/>
        <v>465</v>
      </c>
      <c r="AB54" s="7">
        <f t="shared" si="8"/>
        <v>202.5</v>
      </c>
      <c r="AC54" s="93">
        <f t="shared" si="9"/>
        <v>2025</v>
      </c>
      <c r="AD54" s="96">
        <v>25.0</v>
      </c>
      <c r="AE54" s="88">
        <v>800.0</v>
      </c>
      <c r="AF54" s="95">
        <v>0.8</v>
      </c>
      <c r="AG54" s="13">
        <f t="shared" si="10"/>
        <v>640</v>
      </c>
      <c r="AH54" s="13">
        <f t="shared" si="11"/>
        <v>600</v>
      </c>
      <c r="AI54" s="13">
        <f t="shared" si="12"/>
        <v>160</v>
      </c>
      <c r="AJ54" s="17">
        <f t="shared" si="13"/>
        <v>1600</v>
      </c>
      <c r="AK54" s="96">
        <v>50.0</v>
      </c>
      <c r="AL54" s="95">
        <v>2.0</v>
      </c>
      <c r="AM54" s="95">
        <v>24.0</v>
      </c>
      <c r="AN54" s="13">
        <f t="shared" si="14"/>
        <v>48</v>
      </c>
      <c r="AO54" s="13">
        <f t="shared" si="15"/>
        <v>1</v>
      </c>
      <c r="AP54" s="13">
        <f t="shared" si="16"/>
        <v>24</v>
      </c>
      <c r="AQ54" s="17">
        <f t="shared" si="17"/>
        <v>240</v>
      </c>
      <c r="AR54" s="97">
        <v>0.0</v>
      </c>
      <c r="AS54" s="95">
        <v>15000.0</v>
      </c>
      <c r="AT54" s="17">
        <f t="shared" si="18"/>
        <v>0</v>
      </c>
      <c r="AU54" s="96">
        <v>6.0</v>
      </c>
      <c r="AV54" s="95">
        <v>5000.0</v>
      </c>
      <c r="AW54" s="17">
        <f t="shared" si="19"/>
        <v>300</v>
      </c>
      <c r="AX54" s="98">
        <f t="shared" si="20"/>
        <v>31175</v>
      </c>
      <c r="AY54" s="99">
        <f t="shared" si="25"/>
        <v>89.07142857</v>
      </c>
      <c r="AZ54" s="98">
        <f t="shared" si="22"/>
        <v>24175</v>
      </c>
    </row>
    <row r="55" ht="15.75" customHeight="1">
      <c r="A55" s="14"/>
      <c r="B55" s="33" t="s">
        <v>14</v>
      </c>
      <c r="C55" s="7" t="s">
        <v>289</v>
      </c>
      <c r="D55" s="7" t="s">
        <v>323</v>
      </c>
      <c r="E55" s="7" t="s">
        <v>549</v>
      </c>
      <c r="F55" s="7" t="s">
        <v>156</v>
      </c>
      <c r="G55" s="57" t="s">
        <v>550</v>
      </c>
      <c r="H55" s="88">
        <v>5.0</v>
      </c>
      <c r="I55" s="7">
        <v>115.0</v>
      </c>
      <c r="J55" s="7"/>
      <c r="L55" s="7"/>
      <c r="M55" s="7">
        <v>1.0</v>
      </c>
      <c r="N55" s="60">
        <f t="shared" si="1"/>
        <v>115</v>
      </c>
      <c r="O55" s="89">
        <v>10.0</v>
      </c>
      <c r="P55" s="101">
        <v>11.5</v>
      </c>
      <c r="Q55" s="88">
        <v>3.0</v>
      </c>
      <c r="R55" s="124">
        <v>600.0</v>
      </c>
      <c r="S55" s="7">
        <f t="shared" si="2"/>
        <v>18000</v>
      </c>
      <c r="T55" s="7">
        <f t="shared" si="3"/>
        <v>3.345</v>
      </c>
      <c r="U55" s="60">
        <f t="shared" si="4"/>
        <v>2007</v>
      </c>
      <c r="V55" s="125">
        <f t="shared" si="5"/>
        <v>2070</v>
      </c>
      <c r="W55" s="94">
        <v>22.5</v>
      </c>
      <c r="X55" s="88">
        <v>600.0</v>
      </c>
      <c r="Y55" s="88">
        <v>1.5</v>
      </c>
      <c r="Z55" s="13">
        <f t="shared" si="6"/>
        <v>900</v>
      </c>
      <c r="AA55" s="13">
        <f t="shared" si="24"/>
        <v>465</v>
      </c>
      <c r="AB55" s="7">
        <f t="shared" si="8"/>
        <v>202.5</v>
      </c>
      <c r="AC55" s="93">
        <f t="shared" si="9"/>
        <v>2025</v>
      </c>
      <c r="AD55" s="96">
        <v>25.0</v>
      </c>
      <c r="AE55" s="88">
        <v>800.0</v>
      </c>
      <c r="AF55" s="95">
        <v>0.8</v>
      </c>
      <c r="AG55" s="13">
        <f t="shared" si="10"/>
        <v>640</v>
      </c>
      <c r="AH55" s="13">
        <f t="shared" si="11"/>
        <v>600</v>
      </c>
      <c r="AI55" s="13">
        <f t="shared" si="12"/>
        <v>160</v>
      </c>
      <c r="AJ55" s="17">
        <f t="shared" si="13"/>
        <v>1600</v>
      </c>
      <c r="AK55" s="96">
        <v>50.0</v>
      </c>
      <c r="AL55" s="95">
        <v>2.0</v>
      </c>
      <c r="AM55" s="95">
        <v>24.0</v>
      </c>
      <c r="AN55" s="13">
        <f t="shared" si="14"/>
        <v>48</v>
      </c>
      <c r="AO55" s="13">
        <f t="shared" si="15"/>
        <v>1</v>
      </c>
      <c r="AP55" s="13">
        <f t="shared" si="16"/>
        <v>24</v>
      </c>
      <c r="AQ55" s="17">
        <f t="shared" si="17"/>
        <v>240</v>
      </c>
      <c r="AR55" s="97">
        <v>0.0</v>
      </c>
      <c r="AS55" s="95">
        <v>15000.0</v>
      </c>
      <c r="AT55" s="17">
        <f t="shared" si="18"/>
        <v>0</v>
      </c>
      <c r="AU55" s="96">
        <v>6.0</v>
      </c>
      <c r="AV55" s="95">
        <v>5000.0</v>
      </c>
      <c r="AW55" s="17">
        <f t="shared" si="19"/>
        <v>300</v>
      </c>
      <c r="AX55" s="98">
        <f t="shared" si="20"/>
        <v>31175</v>
      </c>
      <c r="AY55" s="99">
        <f t="shared" si="25"/>
        <v>5421.73913</v>
      </c>
      <c r="AZ55" s="98">
        <f t="shared" si="22"/>
        <v>31060</v>
      </c>
    </row>
    <row r="56" ht="15.75" customHeight="1">
      <c r="A56" s="14"/>
      <c r="B56" s="33" t="s">
        <v>14</v>
      </c>
      <c r="C56" s="7" t="s">
        <v>271</v>
      </c>
      <c r="D56" s="7" t="s">
        <v>319</v>
      </c>
      <c r="E56" s="7" t="s">
        <v>315</v>
      </c>
      <c r="F56" s="7" t="s">
        <v>156</v>
      </c>
      <c r="G56" s="57" t="s">
        <v>551</v>
      </c>
      <c r="H56" s="88">
        <v>5.0</v>
      </c>
      <c r="I56" s="7">
        <v>900.0</v>
      </c>
      <c r="J56" s="7"/>
      <c r="L56" s="7"/>
      <c r="M56" s="7">
        <v>1.0</v>
      </c>
      <c r="N56" s="60">
        <f t="shared" si="1"/>
        <v>900</v>
      </c>
      <c r="O56" s="89">
        <v>10.0</v>
      </c>
      <c r="P56" s="101">
        <v>11.5</v>
      </c>
      <c r="Q56" s="88">
        <v>3.0</v>
      </c>
      <c r="R56" s="124">
        <v>600.0</v>
      </c>
      <c r="S56" s="7">
        <f t="shared" si="2"/>
        <v>18000</v>
      </c>
      <c r="T56" s="7">
        <f t="shared" si="3"/>
        <v>3.345</v>
      </c>
      <c r="U56" s="60">
        <f t="shared" si="4"/>
        <v>2007</v>
      </c>
      <c r="V56" s="125">
        <f t="shared" si="5"/>
        <v>2070</v>
      </c>
      <c r="W56" s="94">
        <v>22.5</v>
      </c>
      <c r="X56" s="88">
        <v>600.0</v>
      </c>
      <c r="Y56" s="88">
        <v>1.5</v>
      </c>
      <c r="Z56" s="13">
        <f t="shared" si="6"/>
        <v>900</v>
      </c>
      <c r="AA56" s="13">
        <f t="shared" si="24"/>
        <v>465</v>
      </c>
      <c r="AB56" s="7">
        <f t="shared" si="8"/>
        <v>202.5</v>
      </c>
      <c r="AC56" s="93">
        <f t="shared" si="9"/>
        <v>2025</v>
      </c>
      <c r="AD56" s="96">
        <v>25.0</v>
      </c>
      <c r="AE56" s="88">
        <v>800.0</v>
      </c>
      <c r="AF56" s="95">
        <v>0.8</v>
      </c>
      <c r="AG56" s="13">
        <f t="shared" si="10"/>
        <v>640</v>
      </c>
      <c r="AH56" s="13">
        <f t="shared" si="11"/>
        <v>600</v>
      </c>
      <c r="AI56" s="13">
        <f t="shared" si="12"/>
        <v>160</v>
      </c>
      <c r="AJ56" s="17">
        <f t="shared" si="13"/>
        <v>1600</v>
      </c>
      <c r="AK56" s="96">
        <v>50.0</v>
      </c>
      <c r="AL56" s="95">
        <v>2.0</v>
      </c>
      <c r="AM56" s="95">
        <v>24.0</v>
      </c>
      <c r="AN56" s="13">
        <f t="shared" si="14"/>
        <v>48</v>
      </c>
      <c r="AO56" s="13">
        <f t="shared" si="15"/>
        <v>1</v>
      </c>
      <c r="AP56" s="13">
        <f t="shared" si="16"/>
        <v>24</v>
      </c>
      <c r="AQ56" s="17">
        <f t="shared" si="17"/>
        <v>240</v>
      </c>
      <c r="AR56" s="97">
        <v>0.0</v>
      </c>
      <c r="AS56" s="95">
        <v>15000.0</v>
      </c>
      <c r="AT56" s="17">
        <f t="shared" si="18"/>
        <v>0</v>
      </c>
      <c r="AU56" s="96">
        <v>6.0</v>
      </c>
      <c r="AV56" s="95">
        <v>5000.0</v>
      </c>
      <c r="AW56" s="17">
        <f t="shared" si="19"/>
        <v>300</v>
      </c>
      <c r="AX56" s="98">
        <f t="shared" si="20"/>
        <v>31175</v>
      </c>
      <c r="AY56" s="99">
        <f t="shared" si="25"/>
        <v>692.7777778</v>
      </c>
      <c r="AZ56" s="98">
        <f t="shared" si="22"/>
        <v>30275</v>
      </c>
    </row>
    <row r="57" ht="15.75" customHeight="1">
      <c r="A57" s="14"/>
      <c r="B57" s="33" t="s">
        <v>14</v>
      </c>
      <c r="C57" s="7" t="s">
        <v>271</v>
      </c>
      <c r="D57" s="7" t="s">
        <v>310</v>
      </c>
      <c r="E57" s="7" t="s">
        <v>552</v>
      </c>
      <c r="F57" s="7" t="s">
        <v>156</v>
      </c>
      <c r="G57" s="57" t="s">
        <v>523</v>
      </c>
      <c r="H57" s="88">
        <v>5.0</v>
      </c>
      <c r="I57" s="7">
        <v>2500.0</v>
      </c>
      <c r="J57" s="7"/>
      <c r="L57" s="7"/>
      <c r="M57" s="7">
        <v>1.0</v>
      </c>
      <c r="N57" s="60">
        <f t="shared" si="1"/>
        <v>2500</v>
      </c>
      <c r="O57" s="89">
        <v>10.0</v>
      </c>
      <c r="P57" s="101">
        <v>11.5</v>
      </c>
      <c r="Q57" s="88">
        <v>3.0</v>
      </c>
      <c r="R57" s="124">
        <v>600.0</v>
      </c>
      <c r="S57" s="7">
        <f t="shared" si="2"/>
        <v>18000</v>
      </c>
      <c r="T57" s="7">
        <f t="shared" si="3"/>
        <v>3.345</v>
      </c>
      <c r="U57" s="60">
        <f t="shared" si="4"/>
        <v>2007</v>
      </c>
      <c r="V57" s="125">
        <f t="shared" si="5"/>
        <v>2070</v>
      </c>
      <c r="W57" s="94">
        <v>22.5</v>
      </c>
      <c r="X57" s="88">
        <v>600.0</v>
      </c>
      <c r="Y57" s="88">
        <v>1.5</v>
      </c>
      <c r="Z57" s="13">
        <f t="shared" si="6"/>
        <v>900</v>
      </c>
      <c r="AA57" s="13">
        <f t="shared" si="24"/>
        <v>465</v>
      </c>
      <c r="AB57" s="7">
        <f t="shared" si="8"/>
        <v>202.5</v>
      </c>
      <c r="AC57" s="93">
        <f t="shared" si="9"/>
        <v>2025</v>
      </c>
      <c r="AD57" s="96">
        <v>25.0</v>
      </c>
      <c r="AE57" s="88">
        <v>800.0</v>
      </c>
      <c r="AF57" s="95">
        <v>0.8</v>
      </c>
      <c r="AG57" s="13">
        <f t="shared" si="10"/>
        <v>640</v>
      </c>
      <c r="AH57" s="13">
        <f t="shared" si="11"/>
        <v>600</v>
      </c>
      <c r="AI57" s="13">
        <f t="shared" si="12"/>
        <v>160</v>
      </c>
      <c r="AJ57" s="17">
        <f t="shared" si="13"/>
        <v>1600</v>
      </c>
      <c r="AK57" s="96">
        <v>50.0</v>
      </c>
      <c r="AL57" s="95">
        <v>2.0</v>
      </c>
      <c r="AM57" s="95">
        <v>24.0</v>
      </c>
      <c r="AN57" s="13">
        <f t="shared" si="14"/>
        <v>48</v>
      </c>
      <c r="AO57" s="13">
        <f t="shared" si="15"/>
        <v>1</v>
      </c>
      <c r="AP57" s="13">
        <f t="shared" si="16"/>
        <v>24</v>
      </c>
      <c r="AQ57" s="17">
        <f t="shared" si="17"/>
        <v>240</v>
      </c>
      <c r="AR57" s="97">
        <v>0.0</v>
      </c>
      <c r="AS57" s="95">
        <v>15000.0</v>
      </c>
      <c r="AT57" s="17">
        <f t="shared" si="18"/>
        <v>0</v>
      </c>
      <c r="AU57" s="96">
        <v>6.0</v>
      </c>
      <c r="AV57" s="95">
        <v>5000.0</v>
      </c>
      <c r="AW57" s="17">
        <f t="shared" si="19"/>
        <v>300</v>
      </c>
      <c r="AX57" s="98">
        <f t="shared" si="20"/>
        <v>31175</v>
      </c>
      <c r="AY57" s="99">
        <f t="shared" si="25"/>
        <v>249.4</v>
      </c>
      <c r="AZ57" s="98">
        <f t="shared" si="22"/>
        <v>28675</v>
      </c>
    </row>
    <row r="58" ht="15.75" customHeight="1">
      <c r="A58" s="21"/>
      <c r="B58" s="104" t="s">
        <v>14</v>
      </c>
      <c r="C58" s="106" t="s">
        <v>271</v>
      </c>
      <c r="D58" s="106" t="s">
        <v>314</v>
      </c>
      <c r="E58" s="106" t="s">
        <v>315</v>
      </c>
      <c r="F58" s="106" t="s">
        <v>156</v>
      </c>
      <c r="G58" s="107" t="s">
        <v>553</v>
      </c>
      <c r="H58" s="108">
        <v>5.0</v>
      </c>
      <c r="I58" s="106">
        <v>165.0</v>
      </c>
      <c r="J58" s="106"/>
      <c r="K58" s="109"/>
      <c r="L58" s="106"/>
      <c r="M58" s="106">
        <v>1.0</v>
      </c>
      <c r="N58" s="110">
        <f t="shared" ref="N58:N68" si="26">I58+(L58*M58*H58)+(J58*O58)</f>
        <v>165</v>
      </c>
      <c r="O58" s="111">
        <v>10.0</v>
      </c>
      <c r="P58" s="128">
        <v>11.5</v>
      </c>
      <c r="Q58" s="108">
        <v>3.0</v>
      </c>
      <c r="R58" s="129">
        <v>600.0</v>
      </c>
      <c r="S58" s="106">
        <f t="shared" si="2"/>
        <v>18000</v>
      </c>
      <c r="T58" s="106">
        <f t="shared" si="3"/>
        <v>3.345</v>
      </c>
      <c r="U58" s="110">
        <f t="shared" si="4"/>
        <v>2007</v>
      </c>
      <c r="V58" s="113">
        <f t="shared" si="5"/>
        <v>2070</v>
      </c>
      <c r="W58" s="130">
        <v>22.5</v>
      </c>
      <c r="X58" s="108">
        <v>600.0</v>
      </c>
      <c r="Y58" s="108">
        <v>1.5</v>
      </c>
      <c r="Z58" s="22">
        <f t="shared" si="6"/>
        <v>900</v>
      </c>
      <c r="AA58" s="22">
        <f t="shared" si="24"/>
        <v>465</v>
      </c>
      <c r="AB58" s="106">
        <f t="shared" si="8"/>
        <v>202.5</v>
      </c>
      <c r="AC58" s="115">
        <f t="shared" si="9"/>
        <v>2025</v>
      </c>
      <c r="AD58" s="118">
        <v>25.0</v>
      </c>
      <c r="AE58" s="108">
        <v>800.0</v>
      </c>
      <c r="AF58" s="117">
        <v>0.8</v>
      </c>
      <c r="AG58" s="22">
        <f t="shared" si="10"/>
        <v>640</v>
      </c>
      <c r="AH58" s="22">
        <f t="shared" si="11"/>
        <v>600</v>
      </c>
      <c r="AI58" s="22">
        <f t="shared" si="12"/>
        <v>160</v>
      </c>
      <c r="AJ58" s="25">
        <f t="shared" si="13"/>
        <v>1600</v>
      </c>
      <c r="AK58" s="118">
        <v>50.0</v>
      </c>
      <c r="AL58" s="117">
        <v>2.0</v>
      </c>
      <c r="AM58" s="117">
        <v>24.0</v>
      </c>
      <c r="AN58" s="22">
        <f t="shared" si="14"/>
        <v>48</v>
      </c>
      <c r="AO58" s="22">
        <f t="shared" si="15"/>
        <v>1</v>
      </c>
      <c r="AP58" s="22">
        <f t="shared" si="16"/>
        <v>24</v>
      </c>
      <c r="AQ58" s="25">
        <f t="shared" si="17"/>
        <v>240</v>
      </c>
      <c r="AR58" s="116">
        <v>0.0</v>
      </c>
      <c r="AS58" s="117">
        <v>15000.0</v>
      </c>
      <c r="AT58" s="25">
        <f t="shared" si="18"/>
        <v>0</v>
      </c>
      <c r="AU58" s="118">
        <v>6.0</v>
      </c>
      <c r="AV58" s="117">
        <v>5000.0</v>
      </c>
      <c r="AW58" s="25">
        <f t="shared" si="19"/>
        <v>300</v>
      </c>
      <c r="AX58" s="119">
        <f t="shared" si="20"/>
        <v>31175</v>
      </c>
      <c r="AY58" s="120">
        <f t="shared" si="25"/>
        <v>3778.787879</v>
      </c>
      <c r="AZ58" s="119">
        <f t="shared" si="22"/>
        <v>31010</v>
      </c>
    </row>
    <row r="59" ht="15.75" customHeight="1">
      <c r="A59" s="71" t="s">
        <v>328</v>
      </c>
      <c r="B59" s="72" t="s">
        <v>14</v>
      </c>
      <c r="C59" s="73" t="s">
        <v>329</v>
      </c>
      <c r="D59" s="74" t="s">
        <v>330</v>
      </c>
      <c r="E59" s="74" t="s">
        <v>554</v>
      </c>
      <c r="F59" s="74" t="s">
        <v>51</v>
      </c>
      <c r="G59" s="75" t="s">
        <v>555</v>
      </c>
      <c r="H59" s="76">
        <v>5.0</v>
      </c>
      <c r="I59" s="74">
        <v>18000.0</v>
      </c>
      <c r="J59" s="74"/>
      <c r="K59" s="77"/>
      <c r="L59" s="74"/>
      <c r="M59" s="74">
        <v>1.0</v>
      </c>
      <c r="N59" s="78">
        <f t="shared" si="26"/>
        <v>18000</v>
      </c>
      <c r="O59" s="121">
        <v>10.0</v>
      </c>
      <c r="P59" s="122">
        <v>0.0</v>
      </c>
      <c r="Q59" s="76">
        <v>3.0</v>
      </c>
      <c r="R59" s="131">
        <v>600.0</v>
      </c>
      <c r="S59" s="74">
        <f t="shared" si="2"/>
        <v>18000</v>
      </c>
      <c r="T59" s="74">
        <f t="shared" si="3"/>
        <v>3</v>
      </c>
      <c r="U59" s="78">
        <f t="shared" si="4"/>
        <v>1800</v>
      </c>
      <c r="V59" s="80">
        <f t="shared" si="5"/>
        <v>0</v>
      </c>
      <c r="W59" s="134">
        <v>0.0</v>
      </c>
      <c r="X59" s="76">
        <v>600.0</v>
      </c>
      <c r="Y59" s="76">
        <v>1.5</v>
      </c>
      <c r="Z59" s="9">
        <f t="shared" si="6"/>
        <v>900</v>
      </c>
      <c r="AA59" s="9">
        <f t="shared" si="24"/>
        <v>600</v>
      </c>
      <c r="AB59" s="74">
        <f t="shared" si="8"/>
        <v>0</v>
      </c>
      <c r="AC59" s="81">
        <f t="shared" si="9"/>
        <v>0</v>
      </c>
      <c r="AD59" s="134">
        <v>0.0</v>
      </c>
      <c r="AE59" s="76">
        <v>800.0</v>
      </c>
      <c r="AF59" s="83">
        <v>0.8</v>
      </c>
      <c r="AG59" s="9">
        <f t="shared" si="10"/>
        <v>640</v>
      </c>
      <c r="AH59" s="9">
        <f t="shared" si="11"/>
        <v>800</v>
      </c>
      <c r="AI59" s="9">
        <f t="shared" si="12"/>
        <v>0</v>
      </c>
      <c r="AJ59" s="12">
        <f t="shared" si="13"/>
        <v>0</v>
      </c>
      <c r="AK59" s="84">
        <v>45.0</v>
      </c>
      <c r="AL59" s="83">
        <v>2.0</v>
      </c>
      <c r="AM59" s="83">
        <v>24.0</v>
      </c>
      <c r="AN59" s="9">
        <f t="shared" si="14"/>
        <v>48</v>
      </c>
      <c r="AO59" s="9">
        <f t="shared" si="15"/>
        <v>1.1</v>
      </c>
      <c r="AP59" s="9">
        <f t="shared" si="16"/>
        <v>21.6</v>
      </c>
      <c r="AQ59" s="12">
        <f t="shared" si="17"/>
        <v>216</v>
      </c>
      <c r="AR59" s="84">
        <v>37.0</v>
      </c>
      <c r="AS59" s="83">
        <v>15000.0</v>
      </c>
      <c r="AT59" s="12">
        <f t="shared" si="18"/>
        <v>5550</v>
      </c>
      <c r="AU59" s="85">
        <v>0.0</v>
      </c>
      <c r="AV59" s="83">
        <v>5000.0</v>
      </c>
      <c r="AW59" s="12">
        <f t="shared" si="19"/>
        <v>0</v>
      </c>
      <c r="AX59" s="86">
        <f t="shared" si="20"/>
        <v>28830</v>
      </c>
      <c r="AY59" s="87">
        <f t="shared" si="25"/>
        <v>32.03333333</v>
      </c>
      <c r="AZ59" s="86">
        <f t="shared" si="22"/>
        <v>10830</v>
      </c>
    </row>
    <row r="60" ht="15.75" customHeight="1">
      <c r="A60" s="14"/>
      <c r="B60" s="33" t="s">
        <v>14</v>
      </c>
      <c r="C60" s="50" t="s">
        <v>329</v>
      </c>
      <c r="D60" s="7" t="s">
        <v>556</v>
      </c>
      <c r="E60" s="7" t="s">
        <v>554</v>
      </c>
      <c r="F60" s="7" t="s">
        <v>259</v>
      </c>
      <c r="G60" s="98" t="s">
        <v>557</v>
      </c>
      <c r="H60" s="88">
        <v>5.0</v>
      </c>
      <c r="I60" s="7">
        <v>4650.0</v>
      </c>
      <c r="L60" s="7"/>
      <c r="M60" s="7">
        <v>1.0</v>
      </c>
      <c r="N60" s="60">
        <f t="shared" si="26"/>
        <v>4650</v>
      </c>
      <c r="O60" s="89">
        <v>10.0</v>
      </c>
      <c r="P60" s="101">
        <v>0.0</v>
      </c>
      <c r="Q60" s="88">
        <v>3.0</v>
      </c>
      <c r="R60" s="124">
        <v>600.0</v>
      </c>
      <c r="S60" s="7">
        <f t="shared" si="2"/>
        <v>18000</v>
      </c>
      <c r="T60" s="7">
        <f t="shared" si="3"/>
        <v>3</v>
      </c>
      <c r="U60" s="60">
        <f t="shared" si="4"/>
        <v>1800</v>
      </c>
      <c r="V60" s="125">
        <f t="shared" si="5"/>
        <v>0</v>
      </c>
      <c r="W60" s="135">
        <v>0.0</v>
      </c>
      <c r="X60" s="88">
        <v>600.0</v>
      </c>
      <c r="Y60" s="88">
        <v>1.5</v>
      </c>
      <c r="Z60" s="13">
        <f t="shared" si="6"/>
        <v>900</v>
      </c>
      <c r="AA60" s="13">
        <f t="shared" si="24"/>
        <v>600</v>
      </c>
      <c r="AB60" s="7">
        <f t="shared" si="8"/>
        <v>0</v>
      </c>
      <c r="AC60" s="93">
        <f t="shared" si="9"/>
        <v>0</v>
      </c>
      <c r="AD60" s="135">
        <v>0.0</v>
      </c>
      <c r="AE60" s="88">
        <v>800.0</v>
      </c>
      <c r="AF60" s="95">
        <v>0.8</v>
      </c>
      <c r="AG60" s="13">
        <f t="shared" si="10"/>
        <v>640</v>
      </c>
      <c r="AH60" s="13">
        <f t="shared" si="11"/>
        <v>800</v>
      </c>
      <c r="AI60" s="13">
        <f t="shared" si="12"/>
        <v>0</v>
      </c>
      <c r="AJ60" s="17">
        <f t="shared" si="13"/>
        <v>0</v>
      </c>
      <c r="AK60" s="96">
        <v>45.0</v>
      </c>
      <c r="AL60" s="95">
        <v>2.0</v>
      </c>
      <c r="AM60" s="95">
        <v>24.0</v>
      </c>
      <c r="AN60" s="13">
        <f t="shared" si="14"/>
        <v>48</v>
      </c>
      <c r="AO60" s="13">
        <f t="shared" si="15"/>
        <v>1.1</v>
      </c>
      <c r="AP60" s="13">
        <f t="shared" si="16"/>
        <v>21.6</v>
      </c>
      <c r="AQ60" s="17">
        <f t="shared" si="17"/>
        <v>216</v>
      </c>
      <c r="AR60" s="96">
        <v>37.0</v>
      </c>
      <c r="AS60" s="95">
        <v>15000.0</v>
      </c>
      <c r="AT60" s="17">
        <f t="shared" si="18"/>
        <v>5550</v>
      </c>
      <c r="AU60" s="97">
        <v>0.0</v>
      </c>
      <c r="AV60" s="95">
        <v>5000.0</v>
      </c>
      <c r="AW60" s="17">
        <f t="shared" si="19"/>
        <v>0</v>
      </c>
      <c r="AX60" s="98">
        <f t="shared" si="20"/>
        <v>28830</v>
      </c>
      <c r="AY60" s="99">
        <f t="shared" si="25"/>
        <v>124</v>
      </c>
      <c r="AZ60" s="98">
        <f t="shared" si="22"/>
        <v>24180</v>
      </c>
    </row>
    <row r="61" ht="15.75" customHeight="1">
      <c r="A61" s="14"/>
      <c r="B61" s="33" t="s">
        <v>14</v>
      </c>
      <c r="C61" s="50" t="s">
        <v>329</v>
      </c>
      <c r="D61" s="7" t="s">
        <v>340</v>
      </c>
      <c r="E61" s="7" t="s">
        <v>554</v>
      </c>
      <c r="F61" s="7" t="s">
        <v>259</v>
      </c>
      <c r="G61" s="125" t="s">
        <v>558</v>
      </c>
      <c r="H61" s="88">
        <v>5.0</v>
      </c>
      <c r="I61" s="7">
        <v>15000.0</v>
      </c>
      <c r="L61" s="7"/>
      <c r="M61" s="7">
        <v>1.0</v>
      </c>
      <c r="N61" s="60">
        <f t="shared" si="26"/>
        <v>15000</v>
      </c>
      <c r="O61" s="89">
        <v>10.0</v>
      </c>
      <c r="P61" s="101">
        <v>0.0</v>
      </c>
      <c r="Q61" s="88">
        <v>3.0</v>
      </c>
      <c r="R61" s="124">
        <v>600.0</v>
      </c>
      <c r="S61" s="7">
        <f t="shared" si="2"/>
        <v>18000</v>
      </c>
      <c r="T61" s="7">
        <f t="shared" si="3"/>
        <v>3</v>
      </c>
      <c r="U61" s="60">
        <f t="shared" si="4"/>
        <v>1800</v>
      </c>
      <c r="V61" s="125">
        <f t="shared" si="5"/>
        <v>0</v>
      </c>
      <c r="W61" s="135">
        <v>0.0</v>
      </c>
      <c r="X61" s="88">
        <v>600.0</v>
      </c>
      <c r="Y61" s="88">
        <v>1.5</v>
      </c>
      <c r="Z61" s="13">
        <f t="shared" si="6"/>
        <v>900</v>
      </c>
      <c r="AA61" s="13">
        <f t="shared" si="24"/>
        <v>600</v>
      </c>
      <c r="AB61" s="7">
        <f t="shared" si="8"/>
        <v>0</v>
      </c>
      <c r="AC61" s="93">
        <f t="shared" si="9"/>
        <v>0</v>
      </c>
      <c r="AD61" s="135">
        <v>0.0</v>
      </c>
      <c r="AE61" s="88">
        <v>800.0</v>
      </c>
      <c r="AF61" s="95">
        <v>0.8</v>
      </c>
      <c r="AG61" s="13">
        <f t="shared" si="10"/>
        <v>640</v>
      </c>
      <c r="AH61" s="13">
        <f t="shared" si="11"/>
        <v>800</v>
      </c>
      <c r="AI61" s="13">
        <f t="shared" si="12"/>
        <v>0</v>
      </c>
      <c r="AJ61" s="17">
        <f t="shared" si="13"/>
        <v>0</v>
      </c>
      <c r="AK61" s="96">
        <v>45.0</v>
      </c>
      <c r="AL61" s="95">
        <v>2.0</v>
      </c>
      <c r="AM61" s="95">
        <v>24.0</v>
      </c>
      <c r="AN61" s="13">
        <f t="shared" si="14"/>
        <v>48</v>
      </c>
      <c r="AO61" s="13">
        <f t="shared" si="15"/>
        <v>1.1</v>
      </c>
      <c r="AP61" s="13">
        <f t="shared" si="16"/>
        <v>21.6</v>
      </c>
      <c r="AQ61" s="17">
        <f t="shared" si="17"/>
        <v>216</v>
      </c>
      <c r="AR61" s="96">
        <v>37.0</v>
      </c>
      <c r="AS61" s="95">
        <v>15000.0</v>
      </c>
      <c r="AT61" s="17">
        <f t="shared" si="18"/>
        <v>5550</v>
      </c>
      <c r="AU61" s="97">
        <v>0.0</v>
      </c>
      <c r="AV61" s="95">
        <v>5000.0</v>
      </c>
      <c r="AW61" s="17">
        <f t="shared" si="19"/>
        <v>0</v>
      </c>
      <c r="AX61" s="98">
        <f t="shared" si="20"/>
        <v>28830</v>
      </c>
      <c r="AY61" s="99">
        <f t="shared" si="25"/>
        <v>38.44</v>
      </c>
      <c r="AZ61" s="98">
        <f t="shared" si="22"/>
        <v>13830</v>
      </c>
    </row>
    <row r="62" ht="15.75" customHeight="1">
      <c r="A62" s="14"/>
      <c r="B62" s="33" t="s">
        <v>14</v>
      </c>
      <c r="C62" s="50" t="s">
        <v>329</v>
      </c>
      <c r="D62" s="7" t="s">
        <v>357</v>
      </c>
      <c r="E62" s="7" t="s">
        <v>358</v>
      </c>
      <c r="F62" s="7" t="s">
        <v>531</v>
      </c>
      <c r="G62" s="57" t="s">
        <v>514</v>
      </c>
      <c r="H62" s="88">
        <v>5.0</v>
      </c>
      <c r="I62" s="7">
        <v>15000.0</v>
      </c>
      <c r="J62" s="7"/>
      <c r="L62" s="7"/>
      <c r="M62" s="7">
        <v>1.0</v>
      </c>
      <c r="N62" s="60">
        <f t="shared" si="26"/>
        <v>15000</v>
      </c>
      <c r="O62" s="89">
        <v>10.0</v>
      </c>
      <c r="P62" s="101">
        <v>0.0</v>
      </c>
      <c r="Q62" s="88">
        <v>3.0</v>
      </c>
      <c r="R62" s="124">
        <v>600.0</v>
      </c>
      <c r="S62" s="7">
        <f t="shared" si="2"/>
        <v>18000</v>
      </c>
      <c r="T62" s="7">
        <f t="shared" si="3"/>
        <v>3</v>
      </c>
      <c r="U62" s="60">
        <f t="shared" si="4"/>
        <v>1800</v>
      </c>
      <c r="V62" s="125">
        <f t="shared" si="5"/>
        <v>0</v>
      </c>
      <c r="W62" s="94">
        <v>7.5</v>
      </c>
      <c r="X62" s="88">
        <v>600.0</v>
      </c>
      <c r="Y62" s="88">
        <v>1.5</v>
      </c>
      <c r="Z62" s="13">
        <f t="shared" si="6"/>
        <v>900</v>
      </c>
      <c r="AA62" s="13">
        <f t="shared" si="24"/>
        <v>555</v>
      </c>
      <c r="AB62" s="7">
        <f t="shared" si="8"/>
        <v>67.5</v>
      </c>
      <c r="AC62" s="93">
        <f t="shared" si="9"/>
        <v>675</v>
      </c>
      <c r="AD62" s="135">
        <v>0.0</v>
      </c>
      <c r="AE62" s="88">
        <v>800.0</v>
      </c>
      <c r="AF62" s="95">
        <v>0.8</v>
      </c>
      <c r="AG62" s="13">
        <f t="shared" si="10"/>
        <v>640</v>
      </c>
      <c r="AH62" s="13">
        <f t="shared" si="11"/>
        <v>800</v>
      </c>
      <c r="AI62" s="13">
        <f t="shared" si="12"/>
        <v>0</v>
      </c>
      <c r="AJ62" s="17">
        <f t="shared" si="13"/>
        <v>0</v>
      </c>
      <c r="AK62" s="96">
        <v>45.0</v>
      </c>
      <c r="AL62" s="95">
        <v>2.0</v>
      </c>
      <c r="AM62" s="95">
        <v>24.0</v>
      </c>
      <c r="AN62" s="13">
        <f t="shared" si="14"/>
        <v>48</v>
      </c>
      <c r="AO62" s="13">
        <f t="shared" si="15"/>
        <v>1.1</v>
      </c>
      <c r="AP62" s="13">
        <f t="shared" si="16"/>
        <v>21.6</v>
      </c>
      <c r="AQ62" s="17">
        <f t="shared" si="17"/>
        <v>216</v>
      </c>
      <c r="AR62" s="96">
        <v>37.0</v>
      </c>
      <c r="AS62" s="95">
        <v>15000.0</v>
      </c>
      <c r="AT62" s="17">
        <f t="shared" si="18"/>
        <v>5550</v>
      </c>
      <c r="AU62" s="97">
        <v>0.0</v>
      </c>
      <c r="AV62" s="95">
        <v>5000.0</v>
      </c>
      <c r="AW62" s="17">
        <f t="shared" si="19"/>
        <v>0</v>
      </c>
      <c r="AX62" s="98">
        <f t="shared" si="20"/>
        <v>32205</v>
      </c>
      <c r="AY62" s="99">
        <f t="shared" si="25"/>
        <v>42.94</v>
      </c>
      <c r="AZ62" s="98">
        <f t="shared" si="22"/>
        <v>17205</v>
      </c>
    </row>
    <row r="63" ht="15.75" customHeight="1">
      <c r="A63" s="14"/>
      <c r="B63" s="33" t="s">
        <v>14</v>
      </c>
      <c r="C63" s="50" t="s">
        <v>392</v>
      </c>
      <c r="D63" s="7" t="s">
        <v>393</v>
      </c>
      <c r="E63" s="7" t="s">
        <v>394</v>
      </c>
      <c r="F63" s="7" t="s">
        <v>51</v>
      </c>
      <c r="G63" s="57" t="s">
        <v>559</v>
      </c>
      <c r="H63" s="88">
        <v>5.0</v>
      </c>
      <c r="I63" s="7">
        <v>950.0</v>
      </c>
      <c r="J63" s="7"/>
      <c r="L63" s="7"/>
      <c r="M63" s="7">
        <v>1.0</v>
      </c>
      <c r="N63" s="60">
        <f t="shared" si="26"/>
        <v>950</v>
      </c>
      <c r="O63" s="89">
        <v>10.0</v>
      </c>
      <c r="P63" s="101">
        <v>4.6</v>
      </c>
      <c r="Q63" s="88">
        <v>3.0</v>
      </c>
      <c r="R63" s="124">
        <v>600.0</v>
      </c>
      <c r="S63" s="7">
        <f t="shared" si="2"/>
        <v>18000</v>
      </c>
      <c r="T63" s="7">
        <f t="shared" si="3"/>
        <v>3.138</v>
      </c>
      <c r="U63" s="60">
        <f t="shared" si="4"/>
        <v>1882.8</v>
      </c>
      <c r="V63" s="125">
        <f t="shared" si="5"/>
        <v>828</v>
      </c>
      <c r="W63" s="135">
        <v>0.0</v>
      </c>
      <c r="X63" s="88">
        <v>600.0</v>
      </c>
      <c r="Y63" s="88">
        <v>1.5</v>
      </c>
      <c r="Z63" s="13">
        <f t="shared" si="6"/>
        <v>900</v>
      </c>
      <c r="AA63" s="13">
        <f t="shared" si="24"/>
        <v>600</v>
      </c>
      <c r="AB63" s="7">
        <f t="shared" si="8"/>
        <v>0</v>
      </c>
      <c r="AC63" s="93">
        <f t="shared" si="9"/>
        <v>0</v>
      </c>
      <c r="AD63" s="94">
        <v>0.0</v>
      </c>
      <c r="AE63" s="88">
        <v>800.0</v>
      </c>
      <c r="AF63" s="95">
        <v>0.8</v>
      </c>
      <c r="AG63" s="13">
        <f t="shared" si="10"/>
        <v>640</v>
      </c>
      <c r="AH63" s="13">
        <f t="shared" si="11"/>
        <v>800</v>
      </c>
      <c r="AI63" s="13">
        <f t="shared" si="12"/>
        <v>0</v>
      </c>
      <c r="AJ63" s="17">
        <f t="shared" si="13"/>
        <v>0</v>
      </c>
      <c r="AK63" s="94">
        <v>0.0</v>
      </c>
      <c r="AL63" s="95">
        <v>2.0</v>
      </c>
      <c r="AM63" s="95">
        <v>24.0</v>
      </c>
      <c r="AN63" s="13">
        <f t="shared" si="14"/>
        <v>48</v>
      </c>
      <c r="AO63" s="13">
        <f t="shared" si="15"/>
        <v>2</v>
      </c>
      <c r="AP63" s="13">
        <f t="shared" si="16"/>
        <v>0</v>
      </c>
      <c r="AQ63" s="17">
        <f t="shared" si="17"/>
        <v>0</v>
      </c>
      <c r="AR63" s="94">
        <v>0.0</v>
      </c>
      <c r="AS63" s="95">
        <v>15000.0</v>
      </c>
      <c r="AT63" s="17">
        <f t="shared" si="18"/>
        <v>0</v>
      </c>
      <c r="AU63" s="97">
        <v>0.0</v>
      </c>
      <c r="AV63" s="95">
        <v>5000.0</v>
      </c>
      <c r="AW63" s="17">
        <f t="shared" si="19"/>
        <v>0</v>
      </c>
      <c r="AX63" s="98">
        <f t="shared" si="20"/>
        <v>4140</v>
      </c>
      <c r="AY63" s="99">
        <f t="shared" si="25"/>
        <v>87.15789474</v>
      </c>
      <c r="AZ63" s="98">
        <f t="shared" si="22"/>
        <v>3190</v>
      </c>
    </row>
    <row r="64" ht="15.75" customHeight="1">
      <c r="A64" s="14"/>
      <c r="B64" s="33" t="s">
        <v>14</v>
      </c>
      <c r="C64" s="50" t="s">
        <v>560</v>
      </c>
      <c r="D64" s="7" t="s">
        <v>399</v>
      </c>
      <c r="E64" s="7" t="s">
        <v>561</v>
      </c>
      <c r="F64" s="7" t="s">
        <v>259</v>
      </c>
      <c r="G64" s="57" t="s">
        <v>562</v>
      </c>
      <c r="H64" s="88">
        <v>5.0</v>
      </c>
      <c r="I64" s="7">
        <v>187000.0</v>
      </c>
      <c r="J64" s="7"/>
      <c r="L64" s="7"/>
      <c r="M64" s="7">
        <v>1.0</v>
      </c>
      <c r="N64" s="60">
        <f t="shared" si="26"/>
        <v>187000</v>
      </c>
      <c r="O64" s="89">
        <v>10.0</v>
      </c>
      <c r="P64" s="101">
        <v>4.4</v>
      </c>
      <c r="Q64" s="88">
        <v>3.0</v>
      </c>
      <c r="R64" s="124">
        <v>600.0</v>
      </c>
      <c r="S64" s="7">
        <f t="shared" si="2"/>
        <v>18000</v>
      </c>
      <c r="T64" s="7">
        <f t="shared" si="3"/>
        <v>3.132</v>
      </c>
      <c r="U64" s="60">
        <f t="shared" si="4"/>
        <v>1879.2</v>
      </c>
      <c r="V64" s="125">
        <f t="shared" si="5"/>
        <v>792</v>
      </c>
      <c r="W64" s="94">
        <v>7.5</v>
      </c>
      <c r="X64" s="88">
        <v>600.0</v>
      </c>
      <c r="Y64" s="88">
        <v>1.5</v>
      </c>
      <c r="Z64" s="13">
        <f t="shared" si="6"/>
        <v>900</v>
      </c>
      <c r="AA64" s="13">
        <f t="shared" si="24"/>
        <v>555</v>
      </c>
      <c r="AB64" s="7">
        <f t="shared" si="8"/>
        <v>67.5</v>
      </c>
      <c r="AC64" s="93">
        <f t="shared" si="9"/>
        <v>675</v>
      </c>
      <c r="AD64" s="96">
        <v>13.0</v>
      </c>
      <c r="AE64" s="88">
        <v>800.0</v>
      </c>
      <c r="AF64" s="95">
        <v>0.8</v>
      </c>
      <c r="AG64" s="13">
        <f t="shared" si="10"/>
        <v>640</v>
      </c>
      <c r="AH64" s="13">
        <f t="shared" si="11"/>
        <v>696</v>
      </c>
      <c r="AI64" s="13">
        <f t="shared" si="12"/>
        <v>83.2</v>
      </c>
      <c r="AJ64" s="17">
        <f t="shared" si="13"/>
        <v>832</v>
      </c>
      <c r="AK64" s="96">
        <v>45.0</v>
      </c>
      <c r="AL64" s="95">
        <v>2.0</v>
      </c>
      <c r="AM64" s="95">
        <v>24.0</v>
      </c>
      <c r="AN64" s="13">
        <f t="shared" si="14"/>
        <v>48</v>
      </c>
      <c r="AO64" s="13">
        <f t="shared" si="15"/>
        <v>1.1</v>
      </c>
      <c r="AP64" s="13">
        <f t="shared" si="16"/>
        <v>21.6</v>
      </c>
      <c r="AQ64" s="17">
        <f t="shared" si="17"/>
        <v>216</v>
      </c>
      <c r="AR64" s="96">
        <v>37.0</v>
      </c>
      <c r="AS64" s="95">
        <v>15000.0</v>
      </c>
      <c r="AT64" s="17">
        <f t="shared" si="18"/>
        <v>5550</v>
      </c>
      <c r="AU64" s="97">
        <v>0.0</v>
      </c>
      <c r="AV64" s="95">
        <v>5000.0</v>
      </c>
      <c r="AW64" s="17">
        <f t="shared" si="19"/>
        <v>0</v>
      </c>
      <c r="AX64" s="98">
        <f t="shared" si="20"/>
        <v>40325</v>
      </c>
      <c r="AY64" s="99">
        <f t="shared" si="25"/>
        <v>4.312834225</v>
      </c>
      <c r="AZ64" s="98">
        <f t="shared" si="22"/>
        <v>-146675</v>
      </c>
    </row>
    <row r="65" ht="15.75" customHeight="1">
      <c r="A65" s="14"/>
      <c r="B65" s="33" t="s">
        <v>14</v>
      </c>
      <c r="C65" s="50" t="s">
        <v>360</v>
      </c>
      <c r="D65" s="7" t="s">
        <v>563</v>
      </c>
      <c r="E65" s="7" t="s">
        <v>564</v>
      </c>
      <c r="F65" s="7" t="s">
        <v>365</v>
      </c>
      <c r="G65" s="57" t="s">
        <v>565</v>
      </c>
      <c r="H65" s="88">
        <v>5.0</v>
      </c>
      <c r="I65" s="7">
        <v>80000.0</v>
      </c>
      <c r="J65" s="7"/>
      <c r="L65" s="7"/>
      <c r="M65" s="7">
        <v>1.0</v>
      </c>
      <c r="N65" s="60">
        <f t="shared" si="26"/>
        <v>80000</v>
      </c>
      <c r="O65" s="89">
        <v>10.0</v>
      </c>
      <c r="P65" s="101">
        <v>0.0</v>
      </c>
      <c r="Q65" s="88">
        <v>3.0</v>
      </c>
      <c r="R65" s="124">
        <v>600.0</v>
      </c>
      <c r="S65" s="7">
        <f t="shared" si="2"/>
        <v>18000</v>
      </c>
      <c r="T65" s="7">
        <f t="shared" si="3"/>
        <v>3</v>
      </c>
      <c r="U65" s="60">
        <f t="shared" si="4"/>
        <v>1800</v>
      </c>
      <c r="V65" s="125">
        <f t="shared" si="5"/>
        <v>0</v>
      </c>
      <c r="W65" s="94">
        <v>0.0</v>
      </c>
      <c r="X65" s="88">
        <v>600.0</v>
      </c>
      <c r="Y65" s="88">
        <v>1.5</v>
      </c>
      <c r="Z65" s="13">
        <f t="shared" si="6"/>
        <v>900</v>
      </c>
      <c r="AA65" s="13">
        <f t="shared" si="24"/>
        <v>600</v>
      </c>
      <c r="AB65" s="7">
        <f t="shared" si="8"/>
        <v>0</v>
      </c>
      <c r="AC65" s="93">
        <f t="shared" si="9"/>
        <v>0</v>
      </c>
      <c r="AD65" s="96">
        <v>13.0</v>
      </c>
      <c r="AE65" s="88">
        <v>800.0</v>
      </c>
      <c r="AF65" s="95">
        <v>0.8</v>
      </c>
      <c r="AG65" s="13">
        <f t="shared" si="10"/>
        <v>640</v>
      </c>
      <c r="AH65" s="13">
        <f t="shared" si="11"/>
        <v>696</v>
      </c>
      <c r="AI65" s="13">
        <f t="shared" si="12"/>
        <v>83.2</v>
      </c>
      <c r="AJ65" s="17">
        <f t="shared" si="13"/>
        <v>832</v>
      </c>
      <c r="AK65" s="96">
        <v>45.0</v>
      </c>
      <c r="AL65" s="95">
        <v>2.0</v>
      </c>
      <c r="AM65" s="95">
        <v>24.0</v>
      </c>
      <c r="AN65" s="13">
        <f t="shared" si="14"/>
        <v>48</v>
      </c>
      <c r="AO65" s="13">
        <f t="shared" si="15"/>
        <v>1.1</v>
      </c>
      <c r="AP65" s="13">
        <f t="shared" si="16"/>
        <v>21.6</v>
      </c>
      <c r="AQ65" s="17">
        <f t="shared" si="17"/>
        <v>216</v>
      </c>
      <c r="AR65" s="96">
        <v>37.0</v>
      </c>
      <c r="AS65" s="95">
        <v>15000.0</v>
      </c>
      <c r="AT65" s="17">
        <f t="shared" si="18"/>
        <v>5550</v>
      </c>
      <c r="AU65" s="97">
        <v>0.0</v>
      </c>
      <c r="AV65" s="95">
        <v>5000.0</v>
      </c>
      <c r="AW65" s="17">
        <f t="shared" si="19"/>
        <v>0</v>
      </c>
      <c r="AX65" s="98">
        <f t="shared" si="20"/>
        <v>32990</v>
      </c>
      <c r="AY65" s="99">
        <f t="shared" si="25"/>
        <v>8.2475</v>
      </c>
      <c r="AZ65" s="98">
        <f t="shared" si="22"/>
        <v>-47010</v>
      </c>
    </row>
    <row r="66" ht="15.75" customHeight="1">
      <c r="A66" s="14"/>
      <c r="B66" s="33" t="s">
        <v>14</v>
      </c>
      <c r="C66" s="50" t="s">
        <v>566</v>
      </c>
      <c r="D66" s="7" t="s">
        <v>567</v>
      </c>
      <c r="E66" s="7" t="s">
        <v>568</v>
      </c>
      <c r="F66" s="7" t="s">
        <v>51</v>
      </c>
      <c r="G66" s="57" t="s">
        <v>569</v>
      </c>
      <c r="H66" s="88">
        <v>5.0</v>
      </c>
      <c r="I66" s="7"/>
      <c r="J66" s="7"/>
      <c r="K66" s="13">
        <v>410.0</v>
      </c>
      <c r="L66" s="7">
        <v>4920.0</v>
      </c>
      <c r="M66" s="7">
        <v>1.0</v>
      </c>
      <c r="N66" s="60">
        <f t="shared" si="26"/>
        <v>24600</v>
      </c>
      <c r="O66" s="89">
        <v>10.0</v>
      </c>
      <c r="P66" s="101">
        <v>0.0</v>
      </c>
      <c r="Q66" s="88">
        <v>3.0</v>
      </c>
      <c r="R66" s="124">
        <v>600.0</v>
      </c>
      <c r="S66" s="7">
        <f t="shared" si="2"/>
        <v>18000</v>
      </c>
      <c r="T66" s="7">
        <f t="shared" si="3"/>
        <v>3</v>
      </c>
      <c r="U66" s="60">
        <f t="shared" si="4"/>
        <v>1800</v>
      </c>
      <c r="V66" s="125">
        <f t="shared" si="5"/>
        <v>0</v>
      </c>
      <c r="W66" s="135">
        <v>0.0</v>
      </c>
      <c r="X66" s="88">
        <v>600.0</v>
      </c>
      <c r="Y66" s="88">
        <v>1.5</v>
      </c>
      <c r="Z66" s="13">
        <f t="shared" si="6"/>
        <v>900</v>
      </c>
      <c r="AA66" s="13">
        <f t="shared" si="24"/>
        <v>600</v>
      </c>
      <c r="AB66" s="7">
        <f t="shared" si="8"/>
        <v>0</v>
      </c>
      <c r="AC66" s="93">
        <f t="shared" si="9"/>
        <v>0</v>
      </c>
      <c r="AD66" s="135">
        <v>0.0</v>
      </c>
      <c r="AE66" s="88">
        <v>800.0</v>
      </c>
      <c r="AF66" s="95">
        <v>0.8</v>
      </c>
      <c r="AG66" s="13">
        <f t="shared" si="10"/>
        <v>640</v>
      </c>
      <c r="AH66" s="13">
        <f t="shared" si="11"/>
        <v>800</v>
      </c>
      <c r="AI66" s="13">
        <f t="shared" si="12"/>
        <v>0</v>
      </c>
      <c r="AJ66" s="17">
        <f t="shared" si="13"/>
        <v>0</v>
      </c>
      <c r="AK66" s="96">
        <v>45.0</v>
      </c>
      <c r="AL66" s="95">
        <v>2.0</v>
      </c>
      <c r="AM66" s="95">
        <v>24.0</v>
      </c>
      <c r="AN66" s="13">
        <f t="shared" si="14"/>
        <v>48</v>
      </c>
      <c r="AO66" s="13">
        <f t="shared" si="15"/>
        <v>1.1</v>
      </c>
      <c r="AP66" s="13">
        <f t="shared" si="16"/>
        <v>21.6</v>
      </c>
      <c r="AQ66" s="17">
        <f t="shared" si="17"/>
        <v>216</v>
      </c>
      <c r="AR66" s="96">
        <v>37.0</v>
      </c>
      <c r="AS66" s="95">
        <v>15000.0</v>
      </c>
      <c r="AT66" s="17">
        <f t="shared" si="18"/>
        <v>5550</v>
      </c>
      <c r="AU66" s="97">
        <v>0.0</v>
      </c>
      <c r="AV66" s="95">
        <v>5000.0</v>
      </c>
      <c r="AW66" s="17">
        <f t="shared" si="19"/>
        <v>0</v>
      </c>
      <c r="AX66" s="98">
        <f t="shared" si="20"/>
        <v>28830</v>
      </c>
      <c r="AY66" s="99">
        <f t="shared" si="25"/>
        <v>23.43902439</v>
      </c>
      <c r="AZ66" s="98">
        <f t="shared" si="22"/>
        <v>4230</v>
      </c>
    </row>
    <row r="67" ht="15.75" customHeight="1">
      <c r="A67" s="14"/>
      <c r="B67" s="33" t="s">
        <v>14</v>
      </c>
      <c r="C67" s="50" t="s">
        <v>238</v>
      </c>
      <c r="D67" s="7" t="s">
        <v>382</v>
      </c>
      <c r="E67" s="7" t="s">
        <v>187</v>
      </c>
      <c r="F67" s="7" t="s">
        <v>51</v>
      </c>
      <c r="G67" s="57" t="s">
        <v>384</v>
      </c>
      <c r="H67" s="88">
        <v>5.0</v>
      </c>
      <c r="I67" s="7">
        <v>30000.0</v>
      </c>
      <c r="J67" s="7"/>
      <c r="L67" s="7"/>
      <c r="M67" s="7">
        <v>1.0</v>
      </c>
      <c r="N67" s="60">
        <f t="shared" si="26"/>
        <v>30000</v>
      </c>
      <c r="O67" s="89">
        <v>10.0</v>
      </c>
      <c r="P67" s="101">
        <v>4.4</v>
      </c>
      <c r="Q67" s="88">
        <v>3.0</v>
      </c>
      <c r="R67" s="124">
        <v>600.0</v>
      </c>
      <c r="S67" s="7">
        <f t="shared" si="2"/>
        <v>18000</v>
      </c>
      <c r="T67" s="7">
        <f t="shared" si="3"/>
        <v>3.132</v>
      </c>
      <c r="U67" s="60">
        <f t="shared" si="4"/>
        <v>1879.2</v>
      </c>
      <c r="V67" s="125">
        <f t="shared" si="5"/>
        <v>792</v>
      </c>
      <c r="W67" s="94">
        <v>7.5</v>
      </c>
      <c r="X67" s="88">
        <v>600.0</v>
      </c>
      <c r="Y67" s="88">
        <v>1.5</v>
      </c>
      <c r="Z67" s="13">
        <f t="shared" si="6"/>
        <v>900</v>
      </c>
      <c r="AA67" s="13">
        <f t="shared" si="24"/>
        <v>555</v>
      </c>
      <c r="AB67" s="7">
        <f t="shared" si="8"/>
        <v>67.5</v>
      </c>
      <c r="AC67" s="93">
        <f t="shared" si="9"/>
        <v>675</v>
      </c>
      <c r="AD67" s="96">
        <v>13.0</v>
      </c>
      <c r="AE67" s="88">
        <v>800.0</v>
      </c>
      <c r="AF67" s="95">
        <v>0.8</v>
      </c>
      <c r="AG67" s="13">
        <f t="shared" si="10"/>
        <v>640</v>
      </c>
      <c r="AH67" s="13">
        <f t="shared" si="11"/>
        <v>696</v>
      </c>
      <c r="AI67" s="13">
        <f t="shared" si="12"/>
        <v>83.2</v>
      </c>
      <c r="AJ67" s="17">
        <f t="shared" si="13"/>
        <v>832</v>
      </c>
      <c r="AK67" s="96">
        <v>45.0</v>
      </c>
      <c r="AL67" s="95">
        <v>2.0</v>
      </c>
      <c r="AM67" s="95">
        <v>24.0</v>
      </c>
      <c r="AN67" s="13">
        <f t="shared" si="14"/>
        <v>48</v>
      </c>
      <c r="AO67" s="13">
        <f t="shared" si="15"/>
        <v>1.1</v>
      </c>
      <c r="AP67" s="13">
        <f t="shared" si="16"/>
        <v>21.6</v>
      </c>
      <c r="AQ67" s="17">
        <f t="shared" si="17"/>
        <v>216</v>
      </c>
      <c r="AR67" s="96">
        <v>37.0</v>
      </c>
      <c r="AS67" s="95">
        <v>15000.0</v>
      </c>
      <c r="AT67" s="17">
        <f t="shared" si="18"/>
        <v>5550</v>
      </c>
      <c r="AU67" s="97">
        <v>0.0</v>
      </c>
      <c r="AV67" s="95">
        <v>5000.0</v>
      </c>
      <c r="AW67" s="17">
        <f t="shared" si="19"/>
        <v>0</v>
      </c>
      <c r="AX67" s="98">
        <f t="shared" si="20"/>
        <v>40325</v>
      </c>
      <c r="AY67" s="99">
        <f t="shared" si="25"/>
        <v>26.88333333</v>
      </c>
      <c r="AZ67" s="98">
        <f t="shared" si="22"/>
        <v>10325</v>
      </c>
    </row>
    <row r="68" ht="15.75" customHeight="1">
      <c r="A68" s="21"/>
      <c r="B68" s="104" t="s">
        <v>14</v>
      </c>
      <c r="C68" s="105" t="s">
        <v>238</v>
      </c>
      <c r="D68" s="106" t="s">
        <v>385</v>
      </c>
      <c r="E68" s="106" t="s">
        <v>386</v>
      </c>
      <c r="F68" s="106" t="s">
        <v>531</v>
      </c>
      <c r="G68" s="107" t="s">
        <v>570</v>
      </c>
      <c r="H68" s="108">
        <v>5.0</v>
      </c>
      <c r="I68" s="106">
        <v>6500.0</v>
      </c>
      <c r="J68" s="106"/>
      <c r="K68" s="22"/>
      <c r="L68" s="106"/>
      <c r="M68" s="106">
        <v>1.0</v>
      </c>
      <c r="N68" s="110">
        <f t="shared" si="26"/>
        <v>6500</v>
      </c>
      <c r="O68" s="111">
        <v>10.0</v>
      </c>
      <c r="P68" s="128">
        <v>4.4</v>
      </c>
      <c r="Q68" s="108">
        <v>3.0</v>
      </c>
      <c r="R68" s="136">
        <v>600.0</v>
      </c>
      <c r="S68" s="106">
        <f t="shared" si="2"/>
        <v>18000</v>
      </c>
      <c r="T68" s="106">
        <f t="shared" si="3"/>
        <v>3.132</v>
      </c>
      <c r="U68" s="110">
        <f t="shared" si="4"/>
        <v>1879.2</v>
      </c>
      <c r="V68" s="113">
        <f t="shared" si="5"/>
        <v>792</v>
      </c>
      <c r="W68" s="130">
        <v>7.5</v>
      </c>
      <c r="X68" s="108">
        <v>600.0</v>
      </c>
      <c r="Y68" s="108">
        <v>1.5</v>
      </c>
      <c r="Z68" s="22">
        <f t="shared" si="6"/>
        <v>900</v>
      </c>
      <c r="AA68" s="22">
        <f t="shared" si="24"/>
        <v>555</v>
      </c>
      <c r="AB68" s="106">
        <f t="shared" si="8"/>
        <v>67.5</v>
      </c>
      <c r="AC68" s="115">
        <f t="shared" si="9"/>
        <v>675</v>
      </c>
      <c r="AD68" s="118">
        <v>13.0</v>
      </c>
      <c r="AE68" s="108">
        <v>800.0</v>
      </c>
      <c r="AF68" s="117">
        <v>0.8</v>
      </c>
      <c r="AG68" s="22">
        <f t="shared" si="10"/>
        <v>640</v>
      </c>
      <c r="AH68" s="22">
        <f t="shared" si="11"/>
        <v>696</v>
      </c>
      <c r="AI68" s="22">
        <f t="shared" si="12"/>
        <v>83.2</v>
      </c>
      <c r="AJ68" s="25">
        <f t="shared" si="13"/>
        <v>832</v>
      </c>
      <c r="AK68" s="118">
        <v>45.0</v>
      </c>
      <c r="AL68" s="117">
        <v>2.0</v>
      </c>
      <c r="AM68" s="117">
        <v>24.0</v>
      </c>
      <c r="AN68" s="22">
        <f t="shared" si="14"/>
        <v>48</v>
      </c>
      <c r="AO68" s="22">
        <f t="shared" si="15"/>
        <v>1.1</v>
      </c>
      <c r="AP68" s="22">
        <f t="shared" si="16"/>
        <v>21.6</v>
      </c>
      <c r="AQ68" s="25">
        <f t="shared" si="17"/>
        <v>216</v>
      </c>
      <c r="AR68" s="118">
        <v>37.0</v>
      </c>
      <c r="AS68" s="117">
        <v>15000.0</v>
      </c>
      <c r="AT68" s="25">
        <f t="shared" si="18"/>
        <v>5550</v>
      </c>
      <c r="AU68" s="116">
        <v>0.0</v>
      </c>
      <c r="AV68" s="117">
        <v>5000.0</v>
      </c>
      <c r="AW68" s="25">
        <f t="shared" si="19"/>
        <v>0</v>
      </c>
      <c r="AX68" s="119">
        <f t="shared" si="20"/>
        <v>40325</v>
      </c>
      <c r="AY68" s="120">
        <f t="shared" si="25"/>
        <v>124.0769231</v>
      </c>
      <c r="AZ68" s="119">
        <f t="shared" si="22"/>
        <v>33825</v>
      </c>
    </row>
    <row r="69" ht="15.75" customHeight="1">
      <c r="A69" s="33"/>
      <c r="B69" s="33"/>
      <c r="C69" s="50"/>
      <c r="N69" s="7"/>
      <c r="U69" s="54"/>
      <c r="V69" s="54"/>
      <c r="AC69" s="54"/>
    </row>
    <row r="70" ht="15.75" customHeight="1">
      <c r="A70" s="33"/>
      <c r="B70" s="33"/>
      <c r="C70" s="50"/>
      <c r="N70" s="7"/>
      <c r="U70" s="54"/>
      <c r="V70" s="54"/>
      <c r="AC70" s="54"/>
    </row>
    <row r="71" ht="15.75" customHeight="1">
      <c r="A71" s="33"/>
      <c r="B71" s="33"/>
      <c r="C71" s="50"/>
      <c r="N71" s="7"/>
      <c r="U71" s="54"/>
      <c r="V71" s="54"/>
      <c r="AC71" s="54"/>
    </row>
    <row r="72" ht="15.75" customHeight="1">
      <c r="A72" s="33"/>
      <c r="B72" s="33"/>
      <c r="C72" s="50"/>
      <c r="N72" s="7"/>
      <c r="U72" s="54"/>
      <c r="V72" s="54"/>
      <c r="AC72" s="54"/>
    </row>
    <row r="73" ht="15.75" customHeight="1">
      <c r="A73" s="33"/>
      <c r="B73" s="33"/>
      <c r="C73" s="50"/>
      <c r="N73" s="7"/>
      <c r="U73" s="54"/>
      <c r="V73" s="54"/>
      <c r="AC73" s="54"/>
    </row>
    <row r="74" ht="15.75" customHeight="1">
      <c r="A74" s="33"/>
      <c r="B74" s="33"/>
      <c r="C74" s="50"/>
      <c r="N74" s="7"/>
      <c r="U74" s="54"/>
      <c r="V74" s="54"/>
      <c r="AC74" s="54"/>
    </row>
    <row r="75" ht="15.75" customHeight="1">
      <c r="C75" s="54"/>
      <c r="U75" s="54"/>
      <c r="V75" s="54"/>
      <c r="AC75" s="54"/>
    </row>
    <row r="76" ht="15.75" customHeight="1">
      <c r="C76" s="54"/>
      <c r="U76" s="54"/>
      <c r="V76" s="54"/>
      <c r="AC76" s="54"/>
    </row>
    <row r="77" ht="15.75" customHeight="1">
      <c r="C77" s="54"/>
      <c r="U77" s="54"/>
      <c r="V77" s="54"/>
      <c r="AC77" s="54"/>
    </row>
    <row r="78" ht="15.75" customHeight="1">
      <c r="C78" s="54"/>
      <c r="U78" s="54"/>
      <c r="V78" s="54"/>
      <c r="AC78" s="54"/>
    </row>
    <row r="79" ht="15.75" customHeight="1">
      <c r="C79" s="54"/>
      <c r="U79" s="54"/>
      <c r="V79" s="54"/>
      <c r="AC79" s="54"/>
    </row>
    <row r="80" ht="15.75" customHeight="1">
      <c r="C80" s="54"/>
      <c r="U80" s="54"/>
      <c r="V80" s="54"/>
      <c r="AC80" s="54"/>
    </row>
    <row r="81" ht="15.75" customHeight="1">
      <c r="C81" s="54"/>
      <c r="U81" s="54"/>
      <c r="V81" s="54"/>
      <c r="AC81" s="54"/>
    </row>
    <row r="82" ht="15.75" customHeight="1">
      <c r="C82" s="54"/>
      <c r="U82" s="54"/>
      <c r="V82" s="54"/>
      <c r="AC82" s="54"/>
    </row>
    <row r="83" ht="15.75" customHeight="1">
      <c r="C83" s="54"/>
      <c r="U83" s="54"/>
      <c r="V83" s="54"/>
      <c r="AC83" s="54"/>
    </row>
    <row r="84" ht="15.75" customHeight="1">
      <c r="C84" s="54"/>
      <c r="U84" s="54"/>
      <c r="V84" s="54"/>
      <c r="AC84" s="54"/>
    </row>
    <row r="85" ht="15.75" customHeight="1">
      <c r="C85" s="54"/>
      <c r="U85" s="54"/>
      <c r="V85" s="54"/>
      <c r="AC85" s="54"/>
    </row>
    <row r="86" ht="15.75" customHeight="1">
      <c r="C86" s="54"/>
      <c r="U86" s="54"/>
      <c r="V86" s="54"/>
      <c r="AC86" s="54"/>
    </row>
    <row r="87" ht="15.75" customHeight="1">
      <c r="C87" s="54"/>
      <c r="U87" s="54"/>
      <c r="V87" s="54"/>
      <c r="AC87" s="54"/>
    </row>
    <row r="88" ht="15.75" customHeight="1">
      <c r="C88" s="54"/>
      <c r="U88" s="54"/>
      <c r="V88" s="54"/>
      <c r="AC88" s="54"/>
    </row>
    <row r="89" ht="15.75" customHeight="1">
      <c r="C89" s="54"/>
      <c r="U89" s="54"/>
      <c r="V89" s="54"/>
      <c r="AC89" s="54"/>
    </row>
    <row r="90" ht="15.75" customHeight="1">
      <c r="C90" s="54"/>
      <c r="U90" s="54"/>
      <c r="V90" s="54"/>
      <c r="AC90" s="54"/>
    </row>
    <row r="91" ht="15.75" customHeight="1">
      <c r="C91" s="54"/>
      <c r="U91" s="54"/>
      <c r="V91" s="54"/>
      <c r="AC91" s="54"/>
    </row>
    <row r="92" ht="15.75" customHeight="1">
      <c r="C92" s="54"/>
      <c r="U92" s="54"/>
      <c r="V92" s="54"/>
      <c r="AC92" s="54"/>
    </row>
    <row r="93" ht="15.75" customHeight="1">
      <c r="C93" s="54"/>
      <c r="U93" s="54"/>
      <c r="V93" s="54"/>
      <c r="AC93" s="54"/>
    </row>
    <row r="94" ht="15.75" customHeight="1">
      <c r="C94" s="54"/>
      <c r="U94" s="54"/>
      <c r="V94" s="54"/>
      <c r="AC94" s="54"/>
    </row>
    <row r="95" ht="15.75" customHeight="1">
      <c r="C95" s="54"/>
      <c r="U95" s="54"/>
      <c r="V95" s="54"/>
      <c r="AC95" s="54"/>
    </row>
    <row r="96" ht="15.75" customHeight="1">
      <c r="C96" s="54"/>
      <c r="U96" s="54"/>
      <c r="V96" s="54"/>
      <c r="AC96" s="54"/>
    </row>
    <row r="97" ht="15.75" customHeight="1">
      <c r="C97" s="54"/>
      <c r="U97" s="54"/>
      <c r="V97" s="54"/>
      <c r="AC97" s="54"/>
    </row>
    <row r="98" ht="15.75" customHeight="1">
      <c r="C98" s="54"/>
      <c r="U98" s="54"/>
      <c r="V98" s="54"/>
      <c r="AC98" s="54"/>
    </row>
    <row r="99" ht="15.75" customHeight="1">
      <c r="C99" s="54"/>
      <c r="U99" s="54"/>
      <c r="V99" s="54"/>
      <c r="AC99" s="54"/>
    </row>
    <row r="100" ht="15.75" customHeight="1">
      <c r="C100" s="54"/>
      <c r="U100" s="54"/>
      <c r="V100" s="54"/>
      <c r="AC100" s="54"/>
    </row>
    <row r="101" ht="15.75" customHeight="1">
      <c r="C101" s="54"/>
      <c r="U101" s="54"/>
      <c r="V101" s="54"/>
      <c r="AC101" s="54"/>
    </row>
    <row r="102" ht="15.75" customHeight="1">
      <c r="C102" s="54"/>
      <c r="U102" s="54"/>
      <c r="V102" s="54"/>
      <c r="AC102" s="54"/>
    </row>
    <row r="103" ht="15.75" customHeight="1">
      <c r="C103" s="54"/>
      <c r="U103" s="54"/>
      <c r="V103" s="54"/>
      <c r="AC103" s="54"/>
    </row>
    <row r="104" ht="15.75" customHeight="1">
      <c r="C104" s="54"/>
      <c r="U104" s="54"/>
      <c r="V104" s="54"/>
      <c r="AC104" s="54"/>
    </row>
    <row r="105" ht="15.75" customHeight="1">
      <c r="C105" s="54"/>
      <c r="U105" s="54"/>
      <c r="V105" s="54"/>
      <c r="AC105" s="54"/>
    </row>
    <row r="106" ht="15.75" customHeight="1">
      <c r="C106" s="54"/>
      <c r="U106" s="54"/>
      <c r="V106" s="54"/>
      <c r="AC106" s="54"/>
    </row>
    <row r="107" ht="15.75" customHeight="1">
      <c r="C107" s="54"/>
      <c r="U107" s="54"/>
      <c r="V107" s="54"/>
      <c r="AC107" s="54"/>
    </row>
    <row r="108" ht="15.75" customHeight="1">
      <c r="C108" s="54"/>
      <c r="U108" s="54"/>
      <c r="V108" s="54"/>
      <c r="AC108" s="54"/>
    </row>
    <row r="109" ht="15.75" customHeight="1">
      <c r="C109" s="54"/>
      <c r="U109" s="54"/>
      <c r="V109" s="54"/>
      <c r="AC109" s="54"/>
    </row>
    <row r="110" ht="15.75" customHeight="1">
      <c r="C110" s="54"/>
      <c r="U110" s="54"/>
      <c r="V110" s="54"/>
      <c r="AC110" s="54"/>
    </row>
    <row r="111" ht="15.75" customHeight="1">
      <c r="C111" s="54"/>
      <c r="U111" s="54"/>
      <c r="V111" s="54"/>
      <c r="AC111" s="54"/>
    </row>
    <row r="112" ht="15.75" customHeight="1">
      <c r="C112" s="54"/>
      <c r="U112" s="54"/>
      <c r="V112" s="54"/>
      <c r="AC112" s="54"/>
    </row>
    <row r="113" ht="15.75" customHeight="1">
      <c r="C113" s="54"/>
      <c r="U113" s="54"/>
      <c r="V113" s="54"/>
      <c r="AC113" s="54"/>
    </row>
    <row r="114" ht="15.75" customHeight="1">
      <c r="C114" s="54"/>
      <c r="U114" s="54"/>
      <c r="V114" s="54"/>
      <c r="AC114" s="54"/>
    </row>
    <row r="115" ht="15.75" customHeight="1">
      <c r="C115" s="54"/>
      <c r="U115" s="54"/>
      <c r="V115" s="54"/>
      <c r="AC115" s="54"/>
    </row>
    <row r="116" ht="15.75" customHeight="1">
      <c r="C116" s="54"/>
      <c r="U116" s="54"/>
      <c r="V116" s="54"/>
      <c r="AC116" s="54"/>
    </row>
    <row r="117" ht="15.75" customHeight="1">
      <c r="C117" s="54"/>
      <c r="U117" s="54"/>
      <c r="V117" s="54"/>
      <c r="AC117" s="54"/>
    </row>
    <row r="118" ht="15.75" customHeight="1">
      <c r="C118" s="54"/>
      <c r="U118" s="54"/>
      <c r="V118" s="54"/>
      <c r="AC118" s="54"/>
    </row>
    <row r="119" ht="15.75" customHeight="1">
      <c r="C119" s="54"/>
      <c r="U119" s="54"/>
      <c r="V119" s="54"/>
      <c r="AC119" s="54"/>
    </row>
    <row r="120" ht="15.75" customHeight="1">
      <c r="C120" s="54"/>
      <c r="U120" s="54"/>
      <c r="V120" s="54"/>
      <c r="AC120" s="54"/>
    </row>
    <row r="121" ht="15.75" customHeight="1">
      <c r="C121" s="54"/>
      <c r="U121" s="54"/>
      <c r="V121" s="54"/>
      <c r="AC121" s="54"/>
    </row>
    <row r="122" ht="15.75" customHeight="1">
      <c r="C122" s="54"/>
      <c r="U122" s="54"/>
      <c r="V122" s="54"/>
      <c r="AC122" s="54"/>
    </row>
    <row r="123" ht="15.75" customHeight="1">
      <c r="C123" s="54"/>
      <c r="U123" s="54"/>
      <c r="V123" s="54"/>
      <c r="AC123" s="54"/>
    </row>
    <row r="124" ht="15.75" customHeight="1">
      <c r="C124" s="54"/>
      <c r="U124" s="54"/>
      <c r="V124" s="54"/>
      <c r="AC124" s="54"/>
    </row>
    <row r="125" ht="15.75" customHeight="1">
      <c r="C125" s="54"/>
      <c r="U125" s="54"/>
      <c r="V125" s="54"/>
      <c r="AC125" s="54"/>
    </row>
    <row r="126" ht="15.75" customHeight="1">
      <c r="C126" s="54"/>
      <c r="U126" s="54"/>
      <c r="V126" s="54"/>
      <c r="AC126" s="54"/>
    </row>
    <row r="127" ht="15.75" customHeight="1">
      <c r="C127" s="54"/>
      <c r="U127" s="54"/>
      <c r="V127" s="54"/>
      <c r="AC127" s="54"/>
    </row>
    <row r="128" ht="15.75" customHeight="1">
      <c r="C128" s="54"/>
      <c r="U128" s="54"/>
      <c r="V128" s="54"/>
      <c r="AC128" s="54"/>
    </row>
    <row r="129" ht="15.75" customHeight="1">
      <c r="C129" s="54"/>
      <c r="U129" s="54"/>
      <c r="V129" s="54"/>
      <c r="AC129" s="54"/>
    </row>
    <row r="130" ht="15.75" customHeight="1">
      <c r="C130" s="54"/>
      <c r="U130" s="54"/>
      <c r="V130" s="54"/>
      <c r="AC130" s="54"/>
    </row>
    <row r="131" ht="15.75" customHeight="1">
      <c r="C131" s="54"/>
      <c r="U131" s="54"/>
      <c r="V131" s="54"/>
      <c r="AC131" s="54"/>
    </row>
    <row r="132" ht="15.75" customHeight="1">
      <c r="C132" s="54"/>
      <c r="U132" s="54"/>
      <c r="V132" s="54"/>
      <c r="AC132" s="54"/>
    </row>
    <row r="133" ht="15.75" customHeight="1">
      <c r="C133" s="54"/>
      <c r="U133" s="54"/>
      <c r="V133" s="54"/>
      <c r="AC133" s="54"/>
    </row>
    <row r="134" ht="15.75" customHeight="1">
      <c r="C134" s="54"/>
      <c r="U134" s="54"/>
      <c r="V134" s="54"/>
      <c r="AC134" s="54"/>
    </row>
    <row r="135" ht="15.75" customHeight="1">
      <c r="C135" s="54"/>
      <c r="U135" s="54"/>
      <c r="V135" s="54"/>
      <c r="AC135" s="54"/>
    </row>
    <row r="136" ht="15.75" customHeight="1">
      <c r="C136" s="54"/>
      <c r="U136" s="54"/>
      <c r="V136" s="54"/>
      <c r="AC136" s="54"/>
    </row>
    <row r="137" ht="15.75" customHeight="1">
      <c r="C137" s="54"/>
      <c r="U137" s="54"/>
      <c r="V137" s="54"/>
      <c r="AC137" s="54"/>
    </row>
    <row r="138" ht="15.75" customHeight="1">
      <c r="C138" s="54"/>
      <c r="U138" s="54"/>
      <c r="V138" s="54"/>
      <c r="AC138" s="54"/>
    </row>
    <row r="139" ht="15.75" customHeight="1">
      <c r="C139" s="54"/>
      <c r="U139" s="54"/>
      <c r="V139" s="54"/>
      <c r="AC139" s="54"/>
    </row>
    <row r="140" ht="15.75" customHeight="1">
      <c r="C140" s="54"/>
      <c r="U140" s="54"/>
      <c r="V140" s="54"/>
      <c r="AC140" s="54"/>
    </row>
    <row r="141" ht="15.75" customHeight="1">
      <c r="C141" s="54"/>
      <c r="U141" s="54"/>
      <c r="V141" s="54"/>
      <c r="AC141" s="54"/>
    </row>
    <row r="142" ht="15.75" customHeight="1">
      <c r="C142" s="54"/>
      <c r="U142" s="54"/>
      <c r="V142" s="54"/>
      <c r="AC142" s="54"/>
    </row>
    <row r="143" ht="15.75" customHeight="1">
      <c r="C143" s="54"/>
      <c r="U143" s="54"/>
      <c r="V143" s="54"/>
      <c r="AC143" s="54"/>
    </row>
    <row r="144" ht="15.75" customHeight="1">
      <c r="C144" s="54"/>
      <c r="U144" s="54"/>
      <c r="V144" s="54"/>
      <c r="AC144" s="54"/>
    </row>
    <row r="145" ht="15.75" customHeight="1">
      <c r="C145" s="54"/>
      <c r="U145" s="54"/>
      <c r="V145" s="54"/>
      <c r="AC145" s="54"/>
    </row>
    <row r="146" ht="15.75" customHeight="1">
      <c r="C146" s="54"/>
      <c r="U146" s="54"/>
      <c r="V146" s="54"/>
      <c r="AC146" s="54"/>
    </row>
    <row r="147" ht="15.75" customHeight="1">
      <c r="C147" s="54"/>
      <c r="U147" s="54"/>
      <c r="V147" s="54"/>
      <c r="AC147" s="54"/>
    </row>
    <row r="148" ht="15.75" customHeight="1">
      <c r="C148" s="54"/>
      <c r="U148" s="54"/>
      <c r="V148" s="54"/>
      <c r="AC148" s="54"/>
    </row>
    <row r="149" ht="15.75" customHeight="1">
      <c r="C149" s="54"/>
      <c r="U149" s="54"/>
      <c r="V149" s="54"/>
      <c r="AC149" s="54"/>
    </row>
    <row r="150" ht="15.75" customHeight="1">
      <c r="C150" s="54"/>
      <c r="U150" s="54"/>
      <c r="V150" s="54"/>
      <c r="AC150" s="54"/>
    </row>
    <row r="151" ht="15.75" customHeight="1">
      <c r="C151" s="54"/>
      <c r="U151" s="54"/>
      <c r="V151" s="54"/>
      <c r="AC151" s="54"/>
    </row>
    <row r="152" ht="15.75" customHeight="1">
      <c r="C152" s="54"/>
      <c r="U152" s="54"/>
      <c r="V152" s="54"/>
      <c r="AC152" s="54"/>
    </row>
    <row r="153" ht="15.75" customHeight="1">
      <c r="C153" s="54"/>
      <c r="U153" s="54"/>
      <c r="V153" s="54"/>
      <c r="AC153" s="54"/>
    </row>
    <row r="154" ht="15.75" customHeight="1">
      <c r="C154" s="54"/>
      <c r="U154" s="54"/>
      <c r="V154" s="54"/>
      <c r="AC154" s="54"/>
    </row>
    <row r="155" ht="15.75" customHeight="1">
      <c r="C155" s="54"/>
      <c r="U155" s="54"/>
      <c r="V155" s="54"/>
      <c r="AC155" s="54"/>
    </row>
    <row r="156" ht="15.75" customHeight="1">
      <c r="C156" s="54"/>
      <c r="U156" s="54"/>
      <c r="V156" s="54"/>
      <c r="AC156" s="54"/>
    </row>
    <row r="157" ht="15.75" customHeight="1">
      <c r="C157" s="54"/>
      <c r="U157" s="54"/>
      <c r="V157" s="54"/>
      <c r="AC157" s="54"/>
    </row>
    <row r="158" ht="15.75" customHeight="1">
      <c r="C158" s="54"/>
      <c r="U158" s="54"/>
      <c r="V158" s="54"/>
      <c r="AC158" s="54"/>
    </row>
    <row r="159" ht="15.75" customHeight="1">
      <c r="C159" s="54"/>
      <c r="U159" s="54"/>
      <c r="V159" s="54"/>
      <c r="AC159" s="54"/>
    </row>
    <row r="160" ht="15.75" customHeight="1">
      <c r="C160" s="54"/>
      <c r="U160" s="54"/>
      <c r="V160" s="54"/>
      <c r="AC160" s="54"/>
    </row>
    <row r="161" ht="15.75" customHeight="1">
      <c r="C161" s="54"/>
      <c r="U161" s="54"/>
      <c r="V161" s="54"/>
      <c r="AC161" s="54"/>
    </row>
    <row r="162" ht="15.75" customHeight="1">
      <c r="C162" s="54"/>
      <c r="U162" s="54"/>
      <c r="V162" s="54"/>
      <c r="AC162" s="54"/>
    </row>
    <row r="163" ht="15.75" customHeight="1">
      <c r="C163" s="54"/>
      <c r="U163" s="54"/>
      <c r="V163" s="54"/>
      <c r="AC163" s="54"/>
    </row>
    <row r="164" ht="15.75" customHeight="1">
      <c r="C164" s="54"/>
      <c r="U164" s="54"/>
      <c r="V164" s="54"/>
      <c r="AC164" s="54"/>
    </row>
    <row r="165" ht="15.75" customHeight="1">
      <c r="C165" s="54"/>
      <c r="U165" s="54"/>
      <c r="V165" s="54"/>
      <c r="AC165" s="54"/>
    </row>
    <row r="166" ht="15.75" customHeight="1">
      <c r="C166" s="54"/>
      <c r="U166" s="54"/>
      <c r="V166" s="54"/>
      <c r="AC166" s="54"/>
    </row>
    <row r="167" ht="15.75" customHeight="1">
      <c r="C167" s="54"/>
      <c r="U167" s="54"/>
      <c r="V167" s="54"/>
      <c r="AC167" s="54"/>
    </row>
    <row r="168" ht="15.75" customHeight="1">
      <c r="C168" s="54"/>
      <c r="U168" s="54"/>
      <c r="V168" s="54"/>
      <c r="AC168" s="54"/>
    </row>
    <row r="169" ht="15.75" customHeight="1">
      <c r="C169" s="54"/>
      <c r="U169" s="54"/>
      <c r="V169" s="54"/>
      <c r="AC169" s="54"/>
    </row>
    <row r="170" ht="15.75" customHeight="1">
      <c r="C170" s="54"/>
      <c r="U170" s="54"/>
      <c r="V170" s="54"/>
      <c r="AC170" s="54"/>
    </row>
    <row r="171" ht="15.75" customHeight="1">
      <c r="C171" s="54"/>
      <c r="U171" s="54"/>
      <c r="V171" s="54"/>
      <c r="AC171" s="54"/>
    </row>
    <row r="172" ht="15.75" customHeight="1">
      <c r="C172" s="54"/>
      <c r="U172" s="54"/>
      <c r="V172" s="54"/>
      <c r="AC172" s="54"/>
    </row>
    <row r="173" ht="15.75" customHeight="1">
      <c r="C173" s="54"/>
      <c r="U173" s="54"/>
      <c r="V173" s="54"/>
      <c r="AC173" s="54"/>
    </row>
    <row r="174" ht="15.75" customHeight="1">
      <c r="C174" s="54"/>
      <c r="U174" s="54"/>
      <c r="V174" s="54"/>
      <c r="AC174" s="54"/>
    </row>
    <row r="175" ht="15.75" customHeight="1">
      <c r="C175" s="54"/>
      <c r="U175" s="54"/>
      <c r="V175" s="54"/>
      <c r="AC175" s="54"/>
    </row>
    <row r="176" ht="15.75" customHeight="1">
      <c r="C176" s="54"/>
      <c r="U176" s="54"/>
      <c r="V176" s="54"/>
      <c r="AC176" s="54"/>
    </row>
    <row r="177" ht="15.75" customHeight="1">
      <c r="C177" s="54"/>
      <c r="U177" s="54"/>
      <c r="V177" s="54"/>
      <c r="AC177" s="54"/>
    </row>
    <row r="178" ht="15.75" customHeight="1">
      <c r="C178" s="54"/>
      <c r="U178" s="54"/>
      <c r="V178" s="54"/>
      <c r="AC178" s="54"/>
    </row>
    <row r="179" ht="15.75" customHeight="1">
      <c r="C179" s="54"/>
      <c r="U179" s="54"/>
      <c r="V179" s="54"/>
      <c r="AC179" s="54"/>
    </row>
    <row r="180" ht="15.75" customHeight="1">
      <c r="C180" s="54"/>
      <c r="U180" s="54"/>
      <c r="V180" s="54"/>
      <c r="AC180" s="54"/>
    </row>
    <row r="181" ht="15.75" customHeight="1">
      <c r="C181" s="54"/>
      <c r="U181" s="54"/>
      <c r="V181" s="54"/>
      <c r="AC181" s="54"/>
    </row>
    <row r="182" ht="15.75" customHeight="1">
      <c r="C182" s="54"/>
      <c r="U182" s="54"/>
      <c r="V182" s="54"/>
      <c r="AC182" s="54"/>
    </row>
    <row r="183" ht="15.75" customHeight="1">
      <c r="C183" s="54"/>
      <c r="U183" s="54"/>
      <c r="V183" s="54"/>
      <c r="AC183" s="54"/>
    </row>
    <row r="184" ht="15.75" customHeight="1">
      <c r="C184" s="54"/>
      <c r="U184" s="54"/>
      <c r="V184" s="54"/>
      <c r="AC184" s="54"/>
    </row>
    <row r="185" ht="15.75" customHeight="1">
      <c r="C185" s="54"/>
      <c r="U185" s="54"/>
      <c r="V185" s="54"/>
      <c r="AC185" s="54"/>
    </row>
    <row r="186" ht="15.75" customHeight="1">
      <c r="C186" s="54"/>
      <c r="U186" s="54"/>
      <c r="V186" s="54"/>
      <c r="AC186" s="54"/>
    </row>
    <row r="187" ht="15.75" customHeight="1">
      <c r="C187" s="54"/>
      <c r="U187" s="54"/>
      <c r="V187" s="54"/>
      <c r="AC187" s="54"/>
    </row>
    <row r="188" ht="15.75" customHeight="1">
      <c r="C188" s="54"/>
      <c r="U188" s="54"/>
      <c r="V188" s="54"/>
      <c r="AC188" s="54"/>
    </row>
    <row r="189" ht="15.75" customHeight="1">
      <c r="C189" s="54"/>
      <c r="U189" s="54"/>
      <c r="V189" s="54"/>
      <c r="AC189" s="54"/>
    </row>
    <row r="190" ht="15.75" customHeight="1">
      <c r="C190" s="54"/>
      <c r="U190" s="54"/>
      <c r="V190" s="54"/>
      <c r="AC190" s="54"/>
    </row>
    <row r="191" ht="15.75" customHeight="1">
      <c r="C191" s="54"/>
      <c r="U191" s="54"/>
      <c r="V191" s="54"/>
      <c r="AC191" s="54"/>
    </row>
    <row r="192" ht="15.75" customHeight="1">
      <c r="C192" s="54"/>
      <c r="U192" s="54"/>
      <c r="V192" s="54"/>
      <c r="AC192" s="54"/>
    </row>
    <row r="193" ht="15.75" customHeight="1">
      <c r="C193" s="54"/>
      <c r="U193" s="54"/>
      <c r="V193" s="54"/>
      <c r="AC193" s="54"/>
    </row>
    <row r="194" ht="15.75" customHeight="1">
      <c r="C194" s="54"/>
      <c r="U194" s="54"/>
      <c r="V194" s="54"/>
      <c r="AC194" s="54"/>
    </row>
    <row r="195" ht="15.75" customHeight="1">
      <c r="C195" s="54"/>
      <c r="U195" s="54"/>
      <c r="V195" s="54"/>
      <c r="AC195" s="54"/>
    </row>
    <row r="196" ht="15.75" customHeight="1">
      <c r="C196" s="54"/>
      <c r="U196" s="54"/>
      <c r="V196" s="54"/>
      <c r="AC196" s="54"/>
    </row>
    <row r="197" ht="15.75" customHeight="1">
      <c r="C197" s="54"/>
      <c r="U197" s="54"/>
      <c r="V197" s="54"/>
      <c r="AC197" s="54"/>
    </row>
    <row r="198" ht="15.75" customHeight="1">
      <c r="C198" s="54"/>
      <c r="U198" s="54"/>
      <c r="V198" s="54"/>
      <c r="AC198" s="54"/>
    </row>
    <row r="199" ht="15.75" customHeight="1">
      <c r="C199" s="54"/>
      <c r="U199" s="54"/>
      <c r="V199" s="54"/>
      <c r="AC199" s="54"/>
    </row>
    <row r="200" ht="15.75" customHeight="1">
      <c r="C200" s="54"/>
      <c r="U200" s="54"/>
      <c r="V200" s="54"/>
      <c r="AC200" s="54"/>
    </row>
    <row r="201" ht="15.75" customHeight="1">
      <c r="C201" s="54"/>
      <c r="U201" s="54"/>
      <c r="V201" s="54"/>
      <c r="AC201" s="54"/>
    </row>
    <row r="202" ht="15.75" customHeight="1">
      <c r="C202" s="54"/>
      <c r="U202" s="54"/>
      <c r="V202" s="54"/>
      <c r="AC202" s="54"/>
    </row>
    <row r="203" ht="15.75" customHeight="1">
      <c r="C203" s="54"/>
      <c r="U203" s="54"/>
      <c r="V203" s="54"/>
      <c r="AC203" s="54"/>
    </row>
    <row r="204" ht="15.75" customHeight="1">
      <c r="C204" s="54"/>
      <c r="U204" s="54"/>
      <c r="V204" s="54"/>
      <c r="AC204" s="54"/>
    </row>
    <row r="205" ht="15.75" customHeight="1">
      <c r="C205" s="54"/>
      <c r="U205" s="54"/>
      <c r="V205" s="54"/>
      <c r="AC205" s="54"/>
    </row>
    <row r="206" ht="15.75" customHeight="1">
      <c r="C206" s="54"/>
      <c r="U206" s="54"/>
      <c r="V206" s="54"/>
      <c r="AC206" s="54"/>
    </row>
    <row r="207" ht="15.75" customHeight="1">
      <c r="C207" s="54"/>
      <c r="U207" s="54"/>
      <c r="V207" s="54"/>
      <c r="AC207" s="54"/>
    </row>
    <row r="208" ht="15.75" customHeight="1">
      <c r="C208" s="54"/>
      <c r="U208" s="54"/>
      <c r="V208" s="54"/>
      <c r="AC208" s="54"/>
    </row>
    <row r="209" ht="15.75" customHeight="1">
      <c r="C209" s="54"/>
      <c r="U209" s="54"/>
      <c r="V209" s="54"/>
      <c r="AC209" s="54"/>
    </row>
    <row r="210" ht="15.75" customHeight="1">
      <c r="C210" s="54"/>
      <c r="U210" s="54"/>
      <c r="V210" s="54"/>
      <c r="AC210" s="54"/>
    </row>
    <row r="211" ht="15.75" customHeight="1">
      <c r="C211" s="54"/>
      <c r="U211" s="54"/>
      <c r="V211" s="54"/>
      <c r="AC211" s="54"/>
    </row>
    <row r="212" ht="15.75" customHeight="1">
      <c r="C212" s="54"/>
      <c r="U212" s="54"/>
      <c r="V212" s="54"/>
      <c r="AC212" s="54"/>
    </row>
    <row r="213" ht="15.75" customHeight="1">
      <c r="C213" s="54"/>
      <c r="U213" s="54"/>
      <c r="V213" s="54"/>
      <c r="AC213" s="54"/>
    </row>
    <row r="214" ht="15.75" customHeight="1">
      <c r="C214" s="54"/>
      <c r="U214" s="54"/>
      <c r="V214" s="54"/>
      <c r="AC214" s="54"/>
    </row>
    <row r="215" ht="15.75" customHeight="1">
      <c r="C215" s="54"/>
      <c r="U215" s="54"/>
      <c r="V215" s="54"/>
      <c r="AC215" s="54"/>
    </row>
    <row r="216" ht="15.75" customHeight="1">
      <c r="C216" s="54"/>
      <c r="U216" s="54"/>
      <c r="V216" s="54"/>
      <c r="AC216" s="54"/>
    </row>
    <row r="217" ht="15.75" customHeight="1">
      <c r="C217" s="54"/>
      <c r="U217" s="54"/>
      <c r="V217" s="54"/>
      <c r="AC217" s="54"/>
    </row>
    <row r="218" ht="15.75" customHeight="1">
      <c r="C218" s="54"/>
      <c r="U218" s="54"/>
      <c r="V218" s="54"/>
      <c r="AC218" s="54"/>
    </row>
    <row r="219" ht="15.75" customHeight="1">
      <c r="C219" s="54"/>
      <c r="U219" s="54"/>
      <c r="V219" s="54"/>
      <c r="AC219" s="54"/>
    </row>
    <row r="220" ht="15.75" customHeight="1">
      <c r="C220" s="54"/>
      <c r="U220" s="54"/>
      <c r="V220" s="54"/>
      <c r="AC220" s="54"/>
    </row>
    <row r="221" ht="15.75" customHeight="1">
      <c r="C221" s="54"/>
      <c r="U221" s="54"/>
      <c r="V221" s="54"/>
      <c r="AC221" s="54"/>
    </row>
    <row r="222" ht="15.75" customHeight="1">
      <c r="C222" s="54"/>
      <c r="U222" s="54"/>
      <c r="V222" s="54"/>
      <c r="AC222" s="54"/>
    </row>
    <row r="223" ht="15.75" customHeight="1">
      <c r="C223" s="54"/>
      <c r="U223" s="54"/>
      <c r="V223" s="54"/>
      <c r="AC223" s="54"/>
    </row>
    <row r="224" ht="15.75" customHeight="1">
      <c r="C224" s="54"/>
      <c r="U224" s="54"/>
      <c r="V224" s="54"/>
      <c r="AC224" s="54"/>
    </row>
    <row r="225" ht="15.75" customHeight="1">
      <c r="C225" s="54"/>
      <c r="U225" s="54"/>
      <c r="V225" s="54"/>
      <c r="AC225" s="54"/>
    </row>
    <row r="226" ht="15.75" customHeight="1">
      <c r="C226" s="54"/>
      <c r="U226" s="54"/>
      <c r="V226" s="54"/>
      <c r="AC226" s="54"/>
    </row>
    <row r="227" ht="15.75" customHeight="1">
      <c r="C227" s="54"/>
      <c r="U227" s="54"/>
      <c r="V227" s="54"/>
      <c r="AC227" s="54"/>
    </row>
    <row r="228" ht="15.75" customHeight="1">
      <c r="C228" s="54"/>
      <c r="U228" s="54"/>
      <c r="V228" s="54"/>
      <c r="AC228" s="54"/>
    </row>
    <row r="229" ht="15.75" customHeight="1">
      <c r="C229" s="54"/>
      <c r="U229" s="54"/>
      <c r="V229" s="54"/>
      <c r="AC229" s="54"/>
    </row>
    <row r="230" ht="15.75" customHeight="1">
      <c r="C230" s="54"/>
      <c r="U230" s="54"/>
      <c r="V230" s="54"/>
      <c r="AC230" s="54"/>
    </row>
    <row r="231" ht="15.75" customHeight="1">
      <c r="C231" s="54"/>
      <c r="U231" s="54"/>
      <c r="V231" s="54"/>
      <c r="AC231" s="54"/>
    </row>
    <row r="232" ht="15.75" customHeight="1">
      <c r="C232" s="54"/>
      <c r="U232" s="54"/>
      <c r="V232" s="54"/>
      <c r="AC232" s="54"/>
    </row>
    <row r="233" ht="15.75" customHeight="1">
      <c r="C233" s="54"/>
      <c r="U233" s="54"/>
      <c r="V233" s="54"/>
      <c r="AC233" s="54"/>
    </row>
    <row r="234" ht="15.75" customHeight="1">
      <c r="C234" s="54"/>
      <c r="U234" s="54"/>
      <c r="V234" s="54"/>
      <c r="AC234" s="54"/>
    </row>
    <row r="235" ht="15.75" customHeight="1">
      <c r="C235" s="54"/>
      <c r="U235" s="54"/>
      <c r="V235" s="54"/>
      <c r="AC235" s="54"/>
    </row>
    <row r="236" ht="15.75" customHeight="1">
      <c r="C236" s="54"/>
      <c r="U236" s="54"/>
      <c r="V236" s="54"/>
      <c r="AC236" s="54"/>
    </row>
    <row r="237" ht="15.75" customHeight="1">
      <c r="C237" s="54"/>
      <c r="U237" s="54"/>
      <c r="V237" s="54"/>
      <c r="AC237" s="54"/>
    </row>
    <row r="238" ht="15.75" customHeight="1">
      <c r="C238" s="54"/>
      <c r="U238" s="54"/>
      <c r="V238" s="54"/>
      <c r="AC238" s="54"/>
    </row>
    <row r="239" ht="15.75" customHeight="1">
      <c r="C239" s="54"/>
      <c r="U239" s="54"/>
      <c r="V239" s="54"/>
      <c r="AC239" s="54"/>
    </row>
    <row r="240" ht="15.75" customHeight="1">
      <c r="C240" s="54"/>
      <c r="U240" s="54"/>
      <c r="V240" s="54"/>
      <c r="AC240" s="54"/>
    </row>
    <row r="241" ht="15.75" customHeight="1">
      <c r="C241" s="54"/>
      <c r="U241" s="54"/>
      <c r="V241" s="54"/>
      <c r="AC241" s="54"/>
    </row>
    <row r="242" ht="15.75" customHeight="1">
      <c r="C242" s="54"/>
      <c r="U242" s="54"/>
      <c r="V242" s="54"/>
      <c r="AC242" s="54"/>
    </row>
    <row r="243" ht="15.75" customHeight="1">
      <c r="C243" s="54"/>
      <c r="U243" s="54"/>
      <c r="V243" s="54"/>
      <c r="AC243" s="54"/>
    </row>
    <row r="244" ht="15.75" customHeight="1">
      <c r="C244" s="54"/>
      <c r="U244" s="54"/>
      <c r="V244" s="54"/>
      <c r="AC244" s="54"/>
    </row>
    <row r="245" ht="15.75" customHeight="1">
      <c r="C245" s="54"/>
      <c r="U245" s="54"/>
      <c r="V245" s="54"/>
      <c r="AC245" s="54"/>
    </row>
    <row r="246" ht="15.75" customHeight="1">
      <c r="C246" s="54"/>
      <c r="U246" s="54"/>
      <c r="V246" s="54"/>
      <c r="AC246" s="54"/>
    </row>
    <row r="247" ht="15.75" customHeight="1">
      <c r="C247" s="54"/>
      <c r="U247" s="54"/>
      <c r="V247" s="54"/>
      <c r="AC247" s="54"/>
    </row>
    <row r="248" ht="15.75" customHeight="1">
      <c r="C248" s="54"/>
      <c r="U248" s="54"/>
      <c r="V248" s="54"/>
      <c r="AC248" s="54"/>
    </row>
    <row r="249" ht="15.75" customHeight="1">
      <c r="C249" s="54"/>
      <c r="U249" s="54"/>
      <c r="V249" s="54"/>
      <c r="AC249" s="54"/>
    </row>
    <row r="250" ht="15.75" customHeight="1">
      <c r="C250" s="54"/>
      <c r="U250" s="54"/>
      <c r="V250" s="54"/>
      <c r="AC250" s="54"/>
    </row>
    <row r="251" ht="15.75" customHeight="1">
      <c r="C251" s="54"/>
      <c r="U251" s="54"/>
      <c r="V251" s="54"/>
      <c r="AC251" s="54"/>
    </row>
    <row r="252" ht="15.75" customHeight="1">
      <c r="C252" s="54"/>
      <c r="U252" s="54"/>
      <c r="V252" s="54"/>
      <c r="AC252" s="54"/>
    </row>
    <row r="253" ht="15.75" customHeight="1">
      <c r="C253" s="54"/>
      <c r="U253" s="54"/>
      <c r="V253" s="54"/>
      <c r="AC253" s="54"/>
    </row>
    <row r="254" ht="15.75" customHeight="1">
      <c r="C254" s="54"/>
      <c r="U254" s="54"/>
      <c r="V254" s="54"/>
      <c r="AC254" s="54"/>
    </row>
    <row r="255" ht="15.75" customHeight="1">
      <c r="C255" s="54"/>
      <c r="U255" s="54"/>
      <c r="V255" s="54"/>
      <c r="AC255" s="54"/>
    </row>
    <row r="256" ht="15.75" customHeight="1">
      <c r="C256" s="54"/>
      <c r="U256" s="54"/>
      <c r="V256" s="54"/>
      <c r="AC256" s="54"/>
    </row>
    <row r="257" ht="15.75" customHeight="1">
      <c r="C257" s="54"/>
      <c r="U257" s="54"/>
      <c r="V257" s="54"/>
      <c r="AC257" s="54"/>
    </row>
    <row r="258" ht="15.75" customHeight="1">
      <c r="C258" s="54"/>
      <c r="U258" s="54"/>
      <c r="V258" s="54"/>
      <c r="AC258" s="54"/>
    </row>
    <row r="259" ht="15.75" customHeight="1">
      <c r="C259" s="54"/>
      <c r="U259" s="54"/>
      <c r="V259" s="54"/>
      <c r="AC259" s="54"/>
    </row>
    <row r="260" ht="15.75" customHeight="1">
      <c r="C260" s="54"/>
      <c r="U260" s="54"/>
      <c r="V260" s="54"/>
      <c r="AC260" s="54"/>
    </row>
    <row r="261" ht="15.75" customHeight="1">
      <c r="C261" s="54"/>
      <c r="U261" s="54"/>
      <c r="V261" s="54"/>
      <c r="AC261" s="54"/>
    </row>
    <row r="262" ht="15.75" customHeight="1">
      <c r="C262" s="54"/>
      <c r="U262" s="54"/>
      <c r="V262" s="54"/>
      <c r="AC262" s="54"/>
    </row>
    <row r="263" ht="15.75" customHeight="1">
      <c r="C263" s="54"/>
      <c r="U263" s="54"/>
      <c r="V263" s="54"/>
      <c r="AC263" s="54"/>
    </row>
    <row r="264" ht="15.75" customHeight="1">
      <c r="C264" s="54"/>
      <c r="U264" s="54"/>
      <c r="V264" s="54"/>
      <c r="AC264" s="54"/>
    </row>
    <row r="265" ht="15.75" customHeight="1">
      <c r="C265" s="54"/>
      <c r="U265" s="54"/>
      <c r="V265" s="54"/>
      <c r="AC265" s="54"/>
    </row>
    <row r="266" ht="15.75" customHeight="1">
      <c r="C266" s="54"/>
      <c r="U266" s="54"/>
      <c r="V266" s="54"/>
      <c r="AC266" s="54"/>
    </row>
    <row r="267" ht="15.75" customHeight="1">
      <c r="C267" s="54"/>
      <c r="U267" s="54"/>
      <c r="V267" s="54"/>
      <c r="AC267" s="54"/>
    </row>
    <row r="268" ht="15.75" customHeight="1">
      <c r="C268" s="54"/>
      <c r="U268" s="54"/>
      <c r="V268" s="54"/>
      <c r="AC268" s="54"/>
    </row>
    <row r="269" ht="15.75" customHeight="1">
      <c r="C269" s="54"/>
      <c r="U269" s="54"/>
      <c r="V269" s="54"/>
      <c r="AC269" s="54"/>
    </row>
    <row r="270" ht="15.75" customHeight="1">
      <c r="C270" s="54"/>
      <c r="U270" s="54"/>
      <c r="V270" s="54"/>
      <c r="AC270" s="54"/>
    </row>
    <row r="271" ht="15.75" customHeight="1">
      <c r="C271" s="54"/>
      <c r="U271" s="54"/>
      <c r="V271" s="54"/>
      <c r="AC271" s="54"/>
    </row>
    <row r="272" ht="15.75" customHeight="1">
      <c r="C272" s="54"/>
      <c r="U272" s="54"/>
      <c r="V272" s="54"/>
      <c r="AC272" s="54"/>
    </row>
    <row r="273" ht="15.75" customHeight="1">
      <c r="C273" s="54"/>
      <c r="U273" s="54"/>
      <c r="V273" s="54"/>
      <c r="AC273" s="54"/>
    </row>
    <row r="274" ht="15.75" customHeight="1">
      <c r="C274" s="54"/>
      <c r="U274" s="54"/>
      <c r="V274" s="54"/>
      <c r="AC274" s="54"/>
    </row>
    <row r="275" ht="15.75" customHeight="1">
      <c r="C275" s="54"/>
      <c r="U275" s="54"/>
      <c r="V275" s="54"/>
      <c r="AC275" s="54"/>
    </row>
    <row r="276" ht="15.75" customHeight="1">
      <c r="C276" s="54"/>
      <c r="U276" s="54"/>
      <c r="V276" s="54"/>
      <c r="AC276" s="54"/>
    </row>
    <row r="277" ht="15.75" customHeight="1">
      <c r="C277" s="54"/>
      <c r="U277" s="54"/>
      <c r="V277" s="54"/>
      <c r="AC277" s="54"/>
    </row>
    <row r="278" ht="15.75" customHeight="1">
      <c r="C278" s="54"/>
      <c r="U278" s="54"/>
      <c r="V278" s="54"/>
      <c r="AC278" s="54"/>
    </row>
    <row r="279" ht="15.75" customHeight="1">
      <c r="C279" s="54"/>
      <c r="U279" s="54"/>
      <c r="V279" s="54"/>
      <c r="AC279" s="54"/>
    </row>
    <row r="280" ht="15.75" customHeight="1">
      <c r="C280" s="54"/>
      <c r="U280" s="54"/>
      <c r="V280" s="54"/>
      <c r="AC280" s="54"/>
    </row>
    <row r="281" ht="15.75" customHeight="1">
      <c r="C281" s="54"/>
      <c r="U281" s="54"/>
      <c r="V281" s="54"/>
      <c r="AC281" s="54"/>
    </row>
    <row r="282" ht="15.75" customHeight="1">
      <c r="C282" s="54"/>
      <c r="U282" s="54"/>
      <c r="V282" s="54"/>
      <c r="AC282" s="54"/>
    </row>
    <row r="283" ht="15.75" customHeight="1">
      <c r="C283" s="54"/>
      <c r="U283" s="54"/>
      <c r="V283" s="54"/>
      <c r="AC283" s="54"/>
    </row>
    <row r="284" ht="15.75" customHeight="1">
      <c r="C284" s="54"/>
      <c r="U284" s="54"/>
      <c r="V284" s="54"/>
      <c r="AC284" s="54"/>
    </row>
    <row r="285" ht="15.75" customHeight="1">
      <c r="C285" s="54"/>
      <c r="U285" s="54"/>
      <c r="V285" s="54"/>
      <c r="AC285" s="54"/>
    </row>
    <row r="286" ht="15.75" customHeight="1">
      <c r="C286" s="54"/>
      <c r="U286" s="54"/>
      <c r="V286" s="54"/>
      <c r="AC286" s="54"/>
    </row>
    <row r="287" ht="15.75" customHeight="1">
      <c r="C287" s="54"/>
      <c r="U287" s="54"/>
      <c r="V287" s="54"/>
      <c r="AC287" s="54"/>
    </row>
    <row r="288" ht="15.75" customHeight="1">
      <c r="C288" s="54"/>
      <c r="U288" s="54"/>
      <c r="V288" s="54"/>
      <c r="AC288" s="54"/>
    </row>
    <row r="289" ht="15.75" customHeight="1">
      <c r="C289" s="54"/>
      <c r="U289" s="54"/>
      <c r="V289" s="54"/>
      <c r="AC289" s="54"/>
    </row>
    <row r="290" ht="15.75" customHeight="1">
      <c r="C290" s="54"/>
      <c r="U290" s="54"/>
      <c r="V290" s="54"/>
      <c r="AC290" s="54"/>
    </row>
    <row r="291" ht="15.75" customHeight="1">
      <c r="C291" s="54"/>
      <c r="U291" s="54"/>
      <c r="V291" s="54"/>
      <c r="AC291" s="54"/>
    </row>
    <row r="292" ht="15.75" customHeight="1">
      <c r="C292" s="54"/>
      <c r="U292" s="54"/>
      <c r="V292" s="54"/>
      <c r="AC292" s="54"/>
    </row>
    <row r="293" ht="15.75" customHeight="1">
      <c r="C293" s="54"/>
      <c r="U293" s="54"/>
      <c r="V293" s="54"/>
      <c r="AC293" s="54"/>
    </row>
    <row r="294" ht="15.75" customHeight="1">
      <c r="C294" s="54"/>
      <c r="U294" s="54"/>
      <c r="V294" s="54"/>
      <c r="AC294" s="54"/>
    </row>
    <row r="295" ht="15.75" customHeight="1">
      <c r="C295" s="54"/>
      <c r="U295" s="54"/>
      <c r="V295" s="54"/>
      <c r="AC295" s="54"/>
    </row>
    <row r="296" ht="15.75" customHeight="1">
      <c r="C296" s="54"/>
      <c r="U296" s="54"/>
      <c r="V296" s="54"/>
      <c r="AC296" s="54"/>
    </row>
    <row r="297" ht="15.75" customHeight="1">
      <c r="C297" s="54"/>
      <c r="U297" s="54"/>
      <c r="V297" s="54"/>
      <c r="AC297" s="54"/>
    </row>
    <row r="298" ht="15.75" customHeight="1">
      <c r="C298" s="54"/>
      <c r="U298" s="54"/>
      <c r="V298" s="54"/>
      <c r="AC298" s="54"/>
    </row>
    <row r="299" ht="15.75" customHeight="1">
      <c r="C299" s="54"/>
      <c r="U299" s="54"/>
      <c r="V299" s="54"/>
      <c r="AC299" s="54"/>
    </row>
    <row r="300" ht="15.75" customHeight="1">
      <c r="C300" s="54"/>
      <c r="U300" s="54"/>
      <c r="V300" s="54"/>
      <c r="AC300" s="54"/>
    </row>
    <row r="301" ht="15.75" customHeight="1">
      <c r="C301" s="54"/>
      <c r="U301" s="54"/>
      <c r="V301" s="54"/>
      <c r="AC301" s="54"/>
    </row>
    <row r="302" ht="15.75" customHeight="1">
      <c r="C302" s="54"/>
      <c r="U302" s="54"/>
      <c r="V302" s="54"/>
      <c r="AC302" s="54"/>
    </row>
    <row r="303" ht="15.75" customHeight="1">
      <c r="C303" s="54"/>
      <c r="U303" s="54"/>
      <c r="V303" s="54"/>
      <c r="AC303" s="54"/>
    </row>
    <row r="304" ht="15.75" customHeight="1">
      <c r="C304" s="54"/>
      <c r="U304" s="54"/>
      <c r="V304" s="54"/>
      <c r="AC304" s="54"/>
    </row>
    <row r="305" ht="15.75" customHeight="1">
      <c r="C305" s="54"/>
      <c r="U305" s="54"/>
      <c r="V305" s="54"/>
      <c r="AC305" s="54"/>
    </row>
    <row r="306" ht="15.75" customHeight="1">
      <c r="C306" s="54"/>
      <c r="U306" s="54"/>
      <c r="V306" s="54"/>
      <c r="AC306" s="54"/>
    </row>
    <row r="307" ht="15.75" customHeight="1">
      <c r="C307" s="54"/>
      <c r="U307" s="54"/>
      <c r="V307" s="54"/>
      <c r="AC307" s="54"/>
    </row>
    <row r="308" ht="15.75" customHeight="1">
      <c r="C308" s="54"/>
      <c r="U308" s="54"/>
      <c r="V308" s="54"/>
      <c r="AC308" s="54"/>
    </row>
    <row r="309" ht="15.75" customHeight="1">
      <c r="C309" s="54"/>
      <c r="U309" s="54"/>
      <c r="V309" s="54"/>
      <c r="AC309" s="54"/>
    </row>
    <row r="310" ht="15.75" customHeight="1">
      <c r="C310" s="54"/>
      <c r="U310" s="54"/>
      <c r="V310" s="54"/>
      <c r="AC310" s="54"/>
    </row>
    <row r="311" ht="15.75" customHeight="1">
      <c r="C311" s="54"/>
      <c r="U311" s="54"/>
      <c r="V311" s="54"/>
      <c r="AC311" s="54"/>
    </row>
    <row r="312" ht="15.75" customHeight="1">
      <c r="C312" s="54"/>
      <c r="U312" s="54"/>
      <c r="V312" s="54"/>
      <c r="AC312" s="54"/>
    </row>
    <row r="313" ht="15.75" customHeight="1">
      <c r="C313" s="54"/>
      <c r="U313" s="54"/>
      <c r="V313" s="54"/>
      <c r="AC313" s="54"/>
    </row>
    <row r="314" ht="15.75" customHeight="1">
      <c r="C314" s="54"/>
      <c r="U314" s="54"/>
      <c r="V314" s="54"/>
      <c r="AC314" s="54"/>
    </row>
    <row r="315" ht="15.75" customHeight="1">
      <c r="C315" s="54"/>
      <c r="U315" s="54"/>
      <c r="V315" s="54"/>
      <c r="AC315" s="54"/>
    </row>
    <row r="316" ht="15.75" customHeight="1">
      <c r="C316" s="54"/>
      <c r="U316" s="54"/>
      <c r="V316" s="54"/>
      <c r="AC316" s="54"/>
    </row>
    <row r="317" ht="15.75" customHeight="1">
      <c r="C317" s="54"/>
      <c r="U317" s="54"/>
      <c r="V317" s="54"/>
      <c r="AC317" s="54"/>
    </row>
    <row r="318" ht="15.75" customHeight="1">
      <c r="C318" s="54"/>
      <c r="U318" s="54"/>
      <c r="V318" s="54"/>
      <c r="AC318" s="54"/>
    </row>
    <row r="319" ht="15.75" customHeight="1">
      <c r="C319" s="54"/>
      <c r="U319" s="54"/>
      <c r="V319" s="54"/>
      <c r="AC319" s="54"/>
    </row>
    <row r="320" ht="15.75" customHeight="1">
      <c r="C320" s="54"/>
      <c r="U320" s="54"/>
      <c r="V320" s="54"/>
      <c r="AC320" s="54"/>
    </row>
    <row r="321" ht="15.75" customHeight="1">
      <c r="C321" s="54"/>
      <c r="U321" s="54"/>
      <c r="V321" s="54"/>
      <c r="AC321" s="54"/>
    </row>
    <row r="322" ht="15.75" customHeight="1">
      <c r="C322" s="54"/>
      <c r="U322" s="54"/>
      <c r="V322" s="54"/>
      <c r="AC322" s="54"/>
    </row>
    <row r="323" ht="15.75" customHeight="1">
      <c r="C323" s="54"/>
      <c r="U323" s="54"/>
      <c r="V323" s="54"/>
      <c r="AC323" s="54"/>
    </row>
    <row r="324" ht="15.75" customHeight="1">
      <c r="C324" s="54"/>
      <c r="U324" s="54"/>
      <c r="V324" s="54"/>
      <c r="AC324" s="54"/>
    </row>
    <row r="325" ht="15.75" customHeight="1">
      <c r="C325" s="54"/>
      <c r="U325" s="54"/>
      <c r="V325" s="54"/>
      <c r="AC325" s="54"/>
    </row>
    <row r="326" ht="15.75" customHeight="1">
      <c r="C326" s="54"/>
      <c r="U326" s="54"/>
      <c r="V326" s="54"/>
      <c r="AC326" s="54"/>
    </row>
    <row r="327" ht="15.75" customHeight="1">
      <c r="C327" s="54"/>
      <c r="U327" s="54"/>
      <c r="V327" s="54"/>
      <c r="AC327" s="54"/>
    </row>
    <row r="328" ht="15.75" customHeight="1">
      <c r="C328" s="54"/>
      <c r="U328" s="54"/>
      <c r="V328" s="54"/>
      <c r="AC328" s="54"/>
    </row>
    <row r="329" ht="15.75" customHeight="1">
      <c r="C329" s="54"/>
      <c r="U329" s="54"/>
      <c r="V329" s="54"/>
      <c r="AC329" s="54"/>
    </row>
    <row r="330" ht="15.75" customHeight="1">
      <c r="C330" s="54"/>
      <c r="U330" s="54"/>
      <c r="V330" s="54"/>
      <c r="AC330" s="54"/>
    </row>
    <row r="331" ht="15.75" customHeight="1">
      <c r="C331" s="54"/>
      <c r="U331" s="54"/>
      <c r="V331" s="54"/>
      <c r="AC331" s="54"/>
    </row>
    <row r="332" ht="15.75" customHeight="1">
      <c r="C332" s="54"/>
      <c r="U332" s="54"/>
      <c r="V332" s="54"/>
      <c r="AC332" s="54"/>
    </row>
    <row r="333" ht="15.75" customHeight="1">
      <c r="C333" s="54"/>
      <c r="U333" s="54"/>
      <c r="V333" s="54"/>
      <c r="AC333" s="54"/>
    </row>
    <row r="334" ht="15.75" customHeight="1">
      <c r="C334" s="54"/>
      <c r="U334" s="54"/>
      <c r="V334" s="54"/>
      <c r="AC334" s="54"/>
    </row>
    <row r="335" ht="15.75" customHeight="1">
      <c r="C335" s="54"/>
      <c r="U335" s="54"/>
      <c r="V335" s="54"/>
      <c r="AC335" s="54"/>
    </row>
    <row r="336" ht="15.75" customHeight="1">
      <c r="C336" s="54"/>
      <c r="U336" s="54"/>
      <c r="V336" s="54"/>
      <c r="AC336" s="54"/>
    </row>
    <row r="337" ht="15.75" customHeight="1">
      <c r="C337" s="54"/>
      <c r="U337" s="54"/>
      <c r="V337" s="54"/>
      <c r="AC337" s="54"/>
    </row>
    <row r="338" ht="15.75" customHeight="1">
      <c r="C338" s="54"/>
      <c r="U338" s="54"/>
      <c r="V338" s="54"/>
      <c r="AC338" s="54"/>
    </row>
    <row r="339" ht="15.75" customHeight="1">
      <c r="C339" s="54"/>
      <c r="U339" s="54"/>
      <c r="V339" s="54"/>
      <c r="AC339" s="54"/>
    </row>
    <row r="340" ht="15.75" customHeight="1">
      <c r="C340" s="54"/>
      <c r="U340" s="54"/>
      <c r="V340" s="54"/>
      <c r="AC340" s="54"/>
    </row>
    <row r="341" ht="15.75" customHeight="1">
      <c r="C341" s="54"/>
      <c r="U341" s="54"/>
      <c r="V341" s="54"/>
      <c r="AC341" s="54"/>
    </row>
    <row r="342" ht="15.75" customHeight="1">
      <c r="C342" s="54"/>
      <c r="U342" s="54"/>
      <c r="V342" s="54"/>
      <c r="AC342" s="54"/>
    </row>
    <row r="343" ht="15.75" customHeight="1">
      <c r="C343" s="54"/>
      <c r="U343" s="54"/>
      <c r="V343" s="54"/>
      <c r="AC343" s="54"/>
    </row>
    <row r="344" ht="15.75" customHeight="1">
      <c r="C344" s="54"/>
      <c r="U344" s="54"/>
      <c r="V344" s="54"/>
      <c r="AC344" s="54"/>
    </row>
    <row r="345" ht="15.75" customHeight="1">
      <c r="C345" s="54"/>
      <c r="U345" s="54"/>
      <c r="V345" s="54"/>
      <c r="AC345" s="54"/>
    </row>
    <row r="346" ht="15.75" customHeight="1">
      <c r="C346" s="54"/>
      <c r="U346" s="54"/>
      <c r="V346" s="54"/>
      <c r="AC346" s="54"/>
    </row>
    <row r="347" ht="15.75" customHeight="1">
      <c r="C347" s="54"/>
      <c r="U347" s="54"/>
      <c r="V347" s="54"/>
      <c r="AC347" s="54"/>
    </row>
    <row r="348" ht="15.75" customHeight="1">
      <c r="C348" s="54"/>
      <c r="U348" s="54"/>
      <c r="V348" s="54"/>
      <c r="AC348" s="54"/>
    </row>
    <row r="349" ht="15.75" customHeight="1">
      <c r="C349" s="54"/>
      <c r="U349" s="54"/>
      <c r="V349" s="54"/>
      <c r="AC349" s="54"/>
    </row>
    <row r="350" ht="15.75" customHeight="1">
      <c r="C350" s="54"/>
      <c r="U350" s="54"/>
      <c r="V350" s="54"/>
      <c r="AC350" s="54"/>
    </row>
    <row r="351" ht="15.75" customHeight="1">
      <c r="C351" s="54"/>
      <c r="U351" s="54"/>
      <c r="V351" s="54"/>
      <c r="AC351" s="54"/>
    </row>
    <row r="352" ht="15.75" customHeight="1">
      <c r="C352" s="54"/>
      <c r="U352" s="54"/>
      <c r="V352" s="54"/>
      <c r="AC352" s="54"/>
    </row>
    <row r="353" ht="15.75" customHeight="1">
      <c r="C353" s="54"/>
      <c r="U353" s="54"/>
      <c r="V353" s="54"/>
      <c r="AC353" s="54"/>
    </row>
    <row r="354" ht="15.75" customHeight="1">
      <c r="C354" s="54"/>
      <c r="U354" s="54"/>
      <c r="V354" s="54"/>
      <c r="AC354" s="54"/>
    </row>
    <row r="355" ht="15.75" customHeight="1">
      <c r="C355" s="54"/>
      <c r="U355" s="54"/>
      <c r="V355" s="54"/>
      <c r="AC355" s="54"/>
    </row>
    <row r="356" ht="15.75" customHeight="1">
      <c r="C356" s="54"/>
      <c r="U356" s="54"/>
      <c r="V356" s="54"/>
      <c r="AC356" s="54"/>
    </row>
    <row r="357" ht="15.75" customHeight="1">
      <c r="C357" s="54"/>
      <c r="U357" s="54"/>
      <c r="V357" s="54"/>
      <c r="AC357" s="54"/>
    </row>
    <row r="358" ht="15.75" customHeight="1">
      <c r="C358" s="54"/>
      <c r="U358" s="54"/>
      <c r="V358" s="54"/>
      <c r="AC358" s="54"/>
    </row>
    <row r="359" ht="15.75" customHeight="1">
      <c r="C359" s="54"/>
      <c r="U359" s="54"/>
      <c r="V359" s="54"/>
      <c r="AC359" s="54"/>
    </row>
    <row r="360" ht="15.75" customHeight="1">
      <c r="C360" s="54"/>
      <c r="U360" s="54"/>
      <c r="V360" s="54"/>
      <c r="AC360" s="54"/>
    </row>
    <row r="361" ht="15.75" customHeight="1">
      <c r="C361" s="54"/>
      <c r="U361" s="54"/>
      <c r="V361" s="54"/>
      <c r="AC361" s="54"/>
    </row>
    <row r="362" ht="15.75" customHeight="1">
      <c r="C362" s="54"/>
      <c r="U362" s="54"/>
      <c r="V362" s="54"/>
      <c r="AC362" s="54"/>
    </row>
    <row r="363" ht="15.75" customHeight="1">
      <c r="C363" s="54"/>
      <c r="U363" s="54"/>
      <c r="V363" s="54"/>
      <c r="AC363" s="54"/>
    </row>
    <row r="364" ht="15.75" customHeight="1">
      <c r="C364" s="54"/>
      <c r="U364" s="54"/>
      <c r="V364" s="54"/>
      <c r="AC364" s="54"/>
    </row>
    <row r="365" ht="15.75" customHeight="1">
      <c r="C365" s="54"/>
      <c r="U365" s="54"/>
      <c r="V365" s="54"/>
      <c r="AC365" s="54"/>
    </row>
    <row r="366" ht="15.75" customHeight="1">
      <c r="C366" s="54"/>
      <c r="U366" s="54"/>
      <c r="V366" s="54"/>
      <c r="AC366" s="54"/>
    </row>
    <row r="367" ht="15.75" customHeight="1">
      <c r="C367" s="54"/>
      <c r="U367" s="54"/>
      <c r="V367" s="54"/>
      <c r="AC367" s="54"/>
    </row>
    <row r="368" ht="15.75" customHeight="1">
      <c r="C368" s="54"/>
      <c r="U368" s="54"/>
      <c r="V368" s="54"/>
      <c r="AC368" s="54"/>
    </row>
    <row r="369" ht="15.75" customHeight="1">
      <c r="C369" s="54"/>
      <c r="U369" s="54"/>
      <c r="V369" s="54"/>
      <c r="AC369" s="54"/>
    </row>
    <row r="370" ht="15.75" customHeight="1">
      <c r="C370" s="54"/>
      <c r="U370" s="54"/>
      <c r="V370" s="54"/>
      <c r="AC370" s="54"/>
    </row>
    <row r="371" ht="15.75" customHeight="1">
      <c r="C371" s="54"/>
      <c r="U371" s="54"/>
      <c r="V371" s="54"/>
      <c r="AC371" s="54"/>
    </row>
    <row r="372" ht="15.75" customHeight="1">
      <c r="C372" s="54"/>
      <c r="U372" s="54"/>
      <c r="V372" s="54"/>
      <c r="AC372" s="54"/>
    </row>
    <row r="373" ht="15.75" customHeight="1">
      <c r="C373" s="54"/>
      <c r="U373" s="54"/>
      <c r="V373" s="54"/>
      <c r="AC373" s="54"/>
    </row>
    <row r="374" ht="15.75" customHeight="1">
      <c r="C374" s="54"/>
      <c r="U374" s="54"/>
      <c r="V374" s="54"/>
      <c r="AC374" s="54"/>
    </row>
    <row r="375" ht="15.75" customHeight="1">
      <c r="C375" s="54"/>
      <c r="U375" s="54"/>
      <c r="V375" s="54"/>
      <c r="AC375" s="54"/>
    </row>
    <row r="376" ht="15.75" customHeight="1">
      <c r="C376" s="54"/>
      <c r="U376" s="54"/>
      <c r="V376" s="54"/>
      <c r="AC376" s="54"/>
    </row>
    <row r="377" ht="15.75" customHeight="1">
      <c r="C377" s="54"/>
      <c r="U377" s="54"/>
      <c r="V377" s="54"/>
      <c r="AC377" s="54"/>
    </row>
    <row r="378" ht="15.75" customHeight="1">
      <c r="C378" s="54"/>
      <c r="U378" s="54"/>
      <c r="V378" s="54"/>
      <c r="AC378" s="54"/>
    </row>
    <row r="379" ht="15.75" customHeight="1">
      <c r="C379" s="54"/>
      <c r="U379" s="54"/>
      <c r="V379" s="54"/>
      <c r="AC379" s="54"/>
    </row>
    <row r="380" ht="15.75" customHeight="1">
      <c r="C380" s="54"/>
      <c r="U380" s="54"/>
      <c r="V380" s="54"/>
      <c r="AC380" s="54"/>
    </row>
    <row r="381" ht="15.75" customHeight="1">
      <c r="C381" s="54"/>
      <c r="U381" s="54"/>
      <c r="V381" s="54"/>
      <c r="AC381" s="54"/>
    </row>
    <row r="382" ht="15.75" customHeight="1">
      <c r="C382" s="54"/>
      <c r="U382" s="54"/>
      <c r="V382" s="54"/>
      <c r="AC382" s="54"/>
    </row>
    <row r="383" ht="15.75" customHeight="1">
      <c r="C383" s="54"/>
      <c r="U383" s="54"/>
      <c r="V383" s="54"/>
      <c r="AC383" s="54"/>
    </row>
    <row r="384" ht="15.75" customHeight="1">
      <c r="C384" s="54"/>
      <c r="U384" s="54"/>
      <c r="V384" s="54"/>
      <c r="AC384" s="54"/>
    </row>
    <row r="385" ht="15.75" customHeight="1">
      <c r="C385" s="54"/>
      <c r="U385" s="54"/>
      <c r="V385" s="54"/>
      <c r="AC385" s="54"/>
    </row>
    <row r="386" ht="15.75" customHeight="1">
      <c r="C386" s="54"/>
      <c r="U386" s="54"/>
      <c r="V386" s="54"/>
      <c r="AC386" s="54"/>
    </row>
    <row r="387" ht="15.75" customHeight="1">
      <c r="C387" s="54"/>
      <c r="U387" s="54"/>
      <c r="V387" s="54"/>
      <c r="AC387" s="54"/>
    </row>
    <row r="388" ht="15.75" customHeight="1">
      <c r="C388" s="54"/>
      <c r="U388" s="54"/>
      <c r="V388" s="54"/>
      <c r="AC388" s="54"/>
    </row>
    <row r="389" ht="15.75" customHeight="1">
      <c r="C389" s="54"/>
      <c r="U389" s="54"/>
      <c r="V389" s="54"/>
      <c r="AC389" s="54"/>
    </row>
    <row r="390" ht="15.75" customHeight="1">
      <c r="C390" s="54"/>
      <c r="U390" s="54"/>
      <c r="V390" s="54"/>
      <c r="AC390" s="54"/>
    </row>
    <row r="391" ht="15.75" customHeight="1">
      <c r="C391" s="54"/>
      <c r="U391" s="54"/>
      <c r="V391" s="54"/>
      <c r="AC391" s="54"/>
    </row>
    <row r="392" ht="15.75" customHeight="1">
      <c r="C392" s="54"/>
      <c r="U392" s="54"/>
      <c r="V392" s="54"/>
      <c r="AC392" s="54"/>
    </row>
    <row r="393" ht="15.75" customHeight="1">
      <c r="C393" s="54"/>
      <c r="U393" s="54"/>
      <c r="V393" s="54"/>
      <c r="AC393" s="54"/>
    </row>
    <row r="394" ht="15.75" customHeight="1">
      <c r="C394" s="54"/>
      <c r="U394" s="54"/>
      <c r="V394" s="54"/>
      <c r="AC394" s="54"/>
    </row>
    <row r="395" ht="15.75" customHeight="1">
      <c r="C395" s="54"/>
      <c r="U395" s="54"/>
      <c r="V395" s="54"/>
      <c r="AC395" s="54"/>
    </row>
    <row r="396" ht="15.75" customHeight="1">
      <c r="C396" s="54"/>
      <c r="U396" s="54"/>
      <c r="V396" s="54"/>
      <c r="AC396" s="54"/>
    </row>
    <row r="397" ht="15.75" customHeight="1">
      <c r="C397" s="54"/>
      <c r="U397" s="54"/>
      <c r="V397" s="54"/>
      <c r="AC397" s="54"/>
    </row>
    <row r="398" ht="15.75" customHeight="1">
      <c r="C398" s="54"/>
      <c r="U398" s="54"/>
      <c r="V398" s="54"/>
      <c r="AC398" s="54"/>
    </row>
    <row r="399" ht="15.75" customHeight="1">
      <c r="C399" s="54"/>
      <c r="U399" s="54"/>
      <c r="V399" s="54"/>
      <c r="AC399" s="54"/>
    </row>
    <row r="400" ht="15.75" customHeight="1">
      <c r="C400" s="54"/>
      <c r="U400" s="54"/>
      <c r="V400" s="54"/>
      <c r="AC400" s="54"/>
    </row>
    <row r="401" ht="15.75" customHeight="1">
      <c r="C401" s="54"/>
      <c r="U401" s="54"/>
      <c r="V401" s="54"/>
      <c r="AC401" s="54"/>
    </row>
    <row r="402" ht="15.75" customHeight="1">
      <c r="C402" s="54"/>
      <c r="U402" s="54"/>
      <c r="V402" s="54"/>
      <c r="AC402" s="54"/>
    </row>
    <row r="403" ht="15.75" customHeight="1">
      <c r="C403" s="54"/>
      <c r="U403" s="54"/>
      <c r="V403" s="54"/>
      <c r="AC403" s="54"/>
    </row>
    <row r="404" ht="15.75" customHeight="1">
      <c r="C404" s="54"/>
      <c r="U404" s="54"/>
      <c r="V404" s="54"/>
      <c r="AC404" s="54"/>
    </row>
    <row r="405" ht="15.75" customHeight="1">
      <c r="C405" s="54"/>
      <c r="U405" s="54"/>
      <c r="V405" s="54"/>
      <c r="AC405" s="54"/>
    </row>
    <row r="406" ht="15.75" customHeight="1">
      <c r="C406" s="54"/>
      <c r="U406" s="54"/>
      <c r="V406" s="54"/>
      <c r="AC406" s="54"/>
    </row>
    <row r="407" ht="15.75" customHeight="1">
      <c r="C407" s="54"/>
      <c r="U407" s="54"/>
      <c r="V407" s="54"/>
      <c r="AC407" s="54"/>
    </row>
    <row r="408" ht="15.75" customHeight="1">
      <c r="C408" s="54"/>
      <c r="U408" s="54"/>
      <c r="V408" s="54"/>
      <c r="AC408" s="54"/>
    </row>
    <row r="409" ht="15.75" customHeight="1">
      <c r="C409" s="54"/>
      <c r="U409" s="54"/>
      <c r="V409" s="54"/>
      <c r="AC409" s="54"/>
    </row>
    <row r="410" ht="15.75" customHeight="1">
      <c r="C410" s="54"/>
      <c r="U410" s="54"/>
      <c r="V410" s="54"/>
      <c r="AC410" s="54"/>
    </row>
    <row r="411" ht="15.75" customHeight="1">
      <c r="C411" s="54"/>
      <c r="U411" s="54"/>
      <c r="V411" s="54"/>
      <c r="AC411" s="54"/>
    </row>
    <row r="412" ht="15.75" customHeight="1">
      <c r="C412" s="54"/>
      <c r="U412" s="54"/>
      <c r="V412" s="54"/>
      <c r="AC412" s="54"/>
    </row>
    <row r="413" ht="15.75" customHeight="1">
      <c r="C413" s="54"/>
      <c r="U413" s="54"/>
      <c r="V413" s="54"/>
      <c r="AC413" s="54"/>
    </row>
    <row r="414" ht="15.75" customHeight="1">
      <c r="C414" s="54"/>
      <c r="U414" s="54"/>
      <c r="V414" s="54"/>
      <c r="AC414" s="54"/>
    </row>
    <row r="415" ht="15.75" customHeight="1">
      <c r="C415" s="54"/>
      <c r="U415" s="54"/>
      <c r="V415" s="54"/>
      <c r="AC415" s="54"/>
    </row>
    <row r="416" ht="15.75" customHeight="1">
      <c r="C416" s="54"/>
      <c r="U416" s="54"/>
      <c r="V416" s="54"/>
      <c r="AC416" s="54"/>
    </row>
    <row r="417" ht="15.75" customHeight="1">
      <c r="C417" s="54"/>
      <c r="U417" s="54"/>
      <c r="V417" s="54"/>
      <c r="AC417" s="54"/>
    </row>
    <row r="418" ht="15.75" customHeight="1">
      <c r="C418" s="54"/>
      <c r="U418" s="54"/>
      <c r="V418" s="54"/>
      <c r="AC418" s="54"/>
    </row>
    <row r="419" ht="15.75" customHeight="1">
      <c r="C419" s="54"/>
      <c r="U419" s="54"/>
      <c r="V419" s="54"/>
      <c r="AC419" s="54"/>
    </row>
    <row r="420" ht="15.75" customHeight="1">
      <c r="C420" s="54"/>
      <c r="U420" s="54"/>
      <c r="V420" s="54"/>
      <c r="AC420" s="54"/>
    </row>
    <row r="421" ht="15.75" customHeight="1">
      <c r="C421" s="54"/>
      <c r="U421" s="54"/>
      <c r="V421" s="54"/>
      <c r="AC421" s="54"/>
    </row>
    <row r="422" ht="15.75" customHeight="1">
      <c r="C422" s="54"/>
      <c r="U422" s="54"/>
      <c r="V422" s="54"/>
      <c r="AC422" s="54"/>
    </row>
    <row r="423" ht="15.75" customHeight="1">
      <c r="C423" s="54"/>
      <c r="U423" s="54"/>
      <c r="V423" s="54"/>
      <c r="AC423" s="54"/>
    </row>
    <row r="424" ht="15.75" customHeight="1">
      <c r="C424" s="54"/>
      <c r="U424" s="54"/>
      <c r="V424" s="54"/>
      <c r="AC424" s="54"/>
    </row>
    <row r="425" ht="15.75" customHeight="1">
      <c r="C425" s="54"/>
      <c r="U425" s="54"/>
      <c r="V425" s="54"/>
      <c r="AC425" s="54"/>
    </row>
    <row r="426" ht="15.75" customHeight="1">
      <c r="C426" s="54"/>
      <c r="U426" s="54"/>
      <c r="V426" s="54"/>
      <c r="AC426" s="54"/>
    </row>
    <row r="427" ht="15.75" customHeight="1">
      <c r="C427" s="54"/>
      <c r="U427" s="54"/>
      <c r="V427" s="54"/>
      <c r="AC427" s="54"/>
    </row>
    <row r="428" ht="15.75" customHeight="1">
      <c r="C428" s="54"/>
      <c r="U428" s="54"/>
      <c r="V428" s="54"/>
      <c r="AC428" s="54"/>
    </row>
    <row r="429" ht="15.75" customHeight="1">
      <c r="C429" s="54"/>
      <c r="U429" s="54"/>
      <c r="V429" s="54"/>
      <c r="AC429" s="54"/>
    </row>
    <row r="430" ht="15.75" customHeight="1">
      <c r="C430" s="54"/>
      <c r="U430" s="54"/>
      <c r="V430" s="54"/>
      <c r="AC430" s="54"/>
    </row>
    <row r="431" ht="15.75" customHeight="1">
      <c r="C431" s="54"/>
      <c r="U431" s="54"/>
      <c r="V431" s="54"/>
      <c r="AC431" s="54"/>
    </row>
    <row r="432" ht="15.75" customHeight="1">
      <c r="C432" s="54"/>
      <c r="U432" s="54"/>
      <c r="V432" s="54"/>
      <c r="AC432" s="54"/>
    </row>
    <row r="433" ht="15.75" customHeight="1">
      <c r="C433" s="54"/>
      <c r="U433" s="54"/>
      <c r="V433" s="54"/>
      <c r="AC433" s="54"/>
    </row>
    <row r="434" ht="15.75" customHeight="1">
      <c r="C434" s="54"/>
      <c r="U434" s="54"/>
      <c r="V434" s="54"/>
      <c r="AC434" s="54"/>
    </row>
    <row r="435" ht="15.75" customHeight="1">
      <c r="C435" s="54"/>
      <c r="U435" s="54"/>
      <c r="V435" s="54"/>
      <c r="AC435" s="54"/>
    </row>
    <row r="436" ht="15.75" customHeight="1">
      <c r="C436" s="54"/>
      <c r="U436" s="54"/>
      <c r="V436" s="54"/>
      <c r="AC436" s="54"/>
    </row>
    <row r="437" ht="15.75" customHeight="1">
      <c r="C437" s="54"/>
      <c r="U437" s="54"/>
      <c r="V437" s="54"/>
      <c r="AC437" s="54"/>
    </row>
    <row r="438" ht="15.75" customHeight="1">
      <c r="C438" s="54"/>
      <c r="U438" s="54"/>
      <c r="V438" s="54"/>
      <c r="AC438" s="54"/>
    </row>
    <row r="439" ht="15.75" customHeight="1">
      <c r="C439" s="54"/>
      <c r="U439" s="54"/>
      <c r="V439" s="54"/>
      <c r="AC439" s="54"/>
    </row>
    <row r="440" ht="15.75" customHeight="1">
      <c r="C440" s="54"/>
      <c r="U440" s="54"/>
      <c r="V440" s="54"/>
      <c r="AC440" s="54"/>
    </row>
    <row r="441" ht="15.75" customHeight="1">
      <c r="C441" s="54"/>
      <c r="U441" s="54"/>
      <c r="V441" s="54"/>
      <c r="AC441" s="54"/>
    </row>
    <row r="442" ht="15.75" customHeight="1">
      <c r="C442" s="54"/>
      <c r="U442" s="54"/>
      <c r="V442" s="54"/>
      <c r="AC442" s="54"/>
    </row>
    <row r="443" ht="15.75" customHeight="1">
      <c r="C443" s="54"/>
      <c r="U443" s="54"/>
      <c r="V443" s="54"/>
      <c r="AC443" s="54"/>
    </row>
    <row r="444" ht="15.75" customHeight="1">
      <c r="C444" s="54"/>
      <c r="U444" s="54"/>
      <c r="V444" s="54"/>
      <c r="AC444" s="54"/>
    </row>
    <row r="445" ht="15.75" customHeight="1">
      <c r="C445" s="54"/>
      <c r="U445" s="54"/>
      <c r="V445" s="54"/>
      <c r="AC445" s="54"/>
    </row>
    <row r="446" ht="15.75" customHeight="1">
      <c r="C446" s="54"/>
      <c r="U446" s="54"/>
      <c r="V446" s="54"/>
      <c r="AC446" s="54"/>
    </row>
    <row r="447" ht="15.75" customHeight="1">
      <c r="C447" s="54"/>
      <c r="U447" s="54"/>
      <c r="V447" s="54"/>
      <c r="AC447" s="54"/>
    </row>
    <row r="448" ht="15.75" customHeight="1">
      <c r="C448" s="54"/>
      <c r="U448" s="54"/>
      <c r="V448" s="54"/>
      <c r="AC448" s="54"/>
    </row>
    <row r="449" ht="15.75" customHeight="1">
      <c r="C449" s="54"/>
      <c r="U449" s="54"/>
      <c r="V449" s="54"/>
      <c r="AC449" s="54"/>
    </row>
    <row r="450" ht="15.75" customHeight="1">
      <c r="C450" s="54"/>
      <c r="U450" s="54"/>
      <c r="V450" s="54"/>
      <c r="AC450" s="54"/>
    </row>
    <row r="451" ht="15.75" customHeight="1">
      <c r="C451" s="54"/>
      <c r="U451" s="54"/>
      <c r="V451" s="54"/>
      <c r="AC451" s="54"/>
    </row>
    <row r="452" ht="15.75" customHeight="1">
      <c r="C452" s="54"/>
      <c r="U452" s="54"/>
      <c r="V452" s="54"/>
      <c r="AC452" s="54"/>
    </row>
    <row r="453" ht="15.75" customHeight="1">
      <c r="C453" s="54"/>
      <c r="U453" s="54"/>
      <c r="V453" s="54"/>
      <c r="AC453" s="54"/>
    </row>
    <row r="454" ht="15.75" customHeight="1">
      <c r="C454" s="54"/>
      <c r="U454" s="54"/>
      <c r="V454" s="54"/>
      <c r="AC454" s="54"/>
    </row>
    <row r="455" ht="15.75" customHeight="1">
      <c r="C455" s="54"/>
      <c r="U455" s="54"/>
      <c r="V455" s="54"/>
      <c r="AC455" s="54"/>
    </row>
    <row r="456" ht="15.75" customHeight="1">
      <c r="C456" s="54"/>
      <c r="U456" s="54"/>
      <c r="V456" s="54"/>
      <c r="AC456" s="54"/>
    </row>
    <row r="457" ht="15.75" customHeight="1">
      <c r="C457" s="54"/>
      <c r="U457" s="54"/>
      <c r="V457" s="54"/>
      <c r="AC457" s="54"/>
    </row>
    <row r="458" ht="15.75" customHeight="1">
      <c r="C458" s="54"/>
      <c r="U458" s="54"/>
      <c r="V458" s="54"/>
      <c r="AC458" s="54"/>
    </row>
    <row r="459" ht="15.75" customHeight="1">
      <c r="C459" s="54"/>
      <c r="U459" s="54"/>
      <c r="V459" s="54"/>
      <c r="AC459" s="54"/>
    </row>
    <row r="460" ht="15.75" customHeight="1">
      <c r="C460" s="54"/>
      <c r="U460" s="54"/>
      <c r="V460" s="54"/>
      <c r="AC460" s="54"/>
    </row>
    <row r="461" ht="15.75" customHeight="1">
      <c r="C461" s="54"/>
      <c r="U461" s="54"/>
      <c r="V461" s="54"/>
      <c r="AC461" s="54"/>
    </row>
    <row r="462" ht="15.75" customHeight="1">
      <c r="C462" s="54"/>
      <c r="U462" s="54"/>
      <c r="V462" s="54"/>
      <c r="AC462" s="54"/>
    </row>
    <row r="463" ht="15.75" customHeight="1">
      <c r="C463" s="54"/>
      <c r="U463" s="54"/>
      <c r="V463" s="54"/>
      <c r="AC463" s="54"/>
    </row>
    <row r="464" ht="15.75" customHeight="1">
      <c r="C464" s="54"/>
      <c r="U464" s="54"/>
      <c r="V464" s="54"/>
      <c r="AC464" s="54"/>
    </row>
    <row r="465" ht="15.75" customHeight="1">
      <c r="C465" s="54"/>
      <c r="U465" s="54"/>
      <c r="V465" s="54"/>
      <c r="AC465" s="54"/>
    </row>
    <row r="466" ht="15.75" customHeight="1">
      <c r="C466" s="54"/>
      <c r="U466" s="54"/>
      <c r="V466" s="54"/>
      <c r="AC466" s="54"/>
    </row>
    <row r="467" ht="15.75" customHeight="1">
      <c r="C467" s="54"/>
      <c r="U467" s="54"/>
      <c r="V467" s="54"/>
      <c r="AC467" s="54"/>
    </row>
    <row r="468" ht="15.75" customHeight="1">
      <c r="C468" s="54"/>
      <c r="U468" s="54"/>
      <c r="V468" s="54"/>
      <c r="AC468" s="54"/>
    </row>
    <row r="469" ht="15.75" customHeight="1">
      <c r="C469" s="54"/>
      <c r="U469" s="54"/>
      <c r="V469" s="54"/>
      <c r="AC469" s="54"/>
    </row>
    <row r="470" ht="15.75" customHeight="1">
      <c r="C470" s="54"/>
      <c r="U470" s="54"/>
      <c r="V470" s="54"/>
      <c r="AC470" s="54"/>
    </row>
    <row r="471" ht="15.75" customHeight="1">
      <c r="C471" s="54"/>
      <c r="U471" s="54"/>
      <c r="V471" s="54"/>
      <c r="AC471" s="54"/>
    </row>
    <row r="472" ht="15.75" customHeight="1">
      <c r="C472" s="54"/>
      <c r="U472" s="54"/>
      <c r="V472" s="54"/>
      <c r="AC472" s="54"/>
    </row>
    <row r="473" ht="15.75" customHeight="1">
      <c r="C473" s="54"/>
      <c r="U473" s="54"/>
      <c r="V473" s="54"/>
      <c r="AC473" s="54"/>
    </row>
    <row r="474" ht="15.75" customHeight="1">
      <c r="C474" s="54"/>
      <c r="U474" s="54"/>
      <c r="V474" s="54"/>
      <c r="AC474" s="54"/>
    </row>
    <row r="475" ht="15.75" customHeight="1">
      <c r="C475" s="54"/>
      <c r="U475" s="54"/>
      <c r="V475" s="54"/>
      <c r="AC475" s="54"/>
    </row>
    <row r="476" ht="15.75" customHeight="1">
      <c r="C476" s="54"/>
      <c r="U476" s="54"/>
      <c r="V476" s="54"/>
      <c r="AC476" s="54"/>
    </row>
    <row r="477" ht="15.75" customHeight="1">
      <c r="C477" s="54"/>
      <c r="U477" s="54"/>
      <c r="V477" s="54"/>
      <c r="AC477" s="54"/>
    </row>
    <row r="478" ht="15.75" customHeight="1">
      <c r="C478" s="54"/>
      <c r="U478" s="54"/>
      <c r="V478" s="54"/>
      <c r="AC478" s="54"/>
    </row>
    <row r="479" ht="15.75" customHeight="1">
      <c r="C479" s="54"/>
      <c r="U479" s="54"/>
      <c r="V479" s="54"/>
      <c r="AC479" s="54"/>
    </row>
    <row r="480" ht="15.75" customHeight="1">
      <c r="C480" s="54"/>
      <c r="U480" s="54"/>
      <c r="V480" s="54"/>
      <c r="AC480" s="54"/>
    </row>
    <row r="481" ht="15.75" customHeight="1">
      <c r="C481" s="54"/>
      <c r="U481" s="54"/>
      <c r="V481" s="54"/>
      <c r="AC481" s="54"/>
    </row>
    <row r="482" ht="15.75" customHeight="1">
      <c r="C482" s="54"/>
      <c r="U482" s="54"/>
      <c r="V482" s="54"/>
      <c r="AC482" s="54"/>
    </row>
    <row r="483" ht="15.75" customHeight="1">
      <c r="C483" s="54"/>
      <c r="U483" s="54"/>
      <c r="V483" s="54"/>
      <c r="AC483" s="54"/>
    </row>
    <row r="484" ht="15.75" customHeight="1">
      <c r="C484" s="54"/>
      <c r="U484" s="54"/>
      <c r="V484" s="54"/>
      <c r="AC484" s="54"/>
    </row>
    <row r="485" ht="15.75" customHeight="1">
      <c r="C485" s="54"/>
      <c r="U485" s="54"/>
      <c r="V485" s="54"/>
      <c r="AC485" s="54"/>
    </row>
    <row r="486" ht="15.75" customHeight="1">
      <c r="C486" s="54"/>
      <c r="U486" s="54"/>
      <c r="V486" s="54"/>
      <c r="AC486" s="54"/>
    </row>
    <row r="487" ht="15.75" customHeight="1">
      <c r="C487" s="54"/>
      <c r="U487" s="54"/>
      <c r="V487" s="54"/>
      <c r="AC487" s="54"/>
    </row>
    <row r="488" ht="15.75" customHeight="1">
      <c r="C488" s="54"/>
      <c r="U488" s="54"/>
      <c r="V488" s="54"/>
      <c r="AC488" s="54"/>
    </row>
    <row r="489" ht="15.75" customHeight="1">
      <c r="C489" s="54"/>
      <c r="U489" s="54"/>
      <c r="V489" s="54"/>
      <c r="AC489" s="54"/>
    </row>
    <row r="490" ht="15.75" customHeight="1">
      <c r="C490" s="54"/>
      <c r="U490" s="54"/>
      <c r="V490" s="54"/>
      <c r="AC490" s="54"/>
    </row>
    <row r="491" ht="15.75" customHeight="1">
      <c r="C491" s="54"/>
      <c r="U491" s="54"/>
      <c r="V491" s="54"/>
      <c r="AC491" s="54"/>
    </row>
    <row r="492" ht="15.75" customHeight="1">
      <c r="C492" s="54"/>
      <c r="U492" s="54"/>
      <c r="V492" s="54"/>
      <c r="AC492" s="54"/>
    </row>
    <row r="493" ht="15.75" customHeight="1">
      <c r="C493" s="54"/>
      <c r="U493" s="54"/>
      <c r="V493" s="54"/>
      <c r="AC493" s="54"/>
    </row>
    <row r="494" ht="15.75" customHeight="1">
      <c r="C494" s="54"/>
      <c r="U494" s="54"/>
      <c r="V494" s="54"/>
      <c r="AC494" s="54"/>
    </row>
    <row r="495" ht="15.75" customHeight="1">
      <c r="C495" s="54"/>
      <c r="U495" s="54"/>
      <c r="V495" s="54"/>
      <c r="AC495" s="54"/>
    </row>
    <row r="496" ht="15.75" customHeight="1">
      <c r="C496" s="54"/>
      <c r="U496" s="54"/>
      <c r="V496" s="54"/>
      <c r="AC496" s="54"/>
    </row>
    <row r="497" ht="15.75" customHeight="1">
      <c r="C497" s="54"/>
      <c r="U497" s="54"/>
      <c r="V497" s="54"/>
      <c r="AC497" s="54"/>
    </row>
    <row r="498" ht="15.75" customHeight="1">
      <c r="C498" s="54"/>
      <c r="U498" s="54"/>
      <c r="V498" s="54"/>
      <c r="AC498" s="54"/>
    </row>
    <row r="499" ht="15.75" customHeight="1">
      <c r="C499" s="54"/>
      <c r="U499" s="54"/>
      <c r="V499" s="54"/>
      <c r="AC499" s="54"/>
    </row>
    <row r="500" ht="15.75" customHeight="1">
      <c r="C500" s="54"/>
      <c r="U500" s="54"/>
      <c r="V500" s="54"/>
      <c r="AC500" s="54"/>
    </row>
    <row r="501" ht="15.75" customHeight="1">
      <c r="C501" s="54"/>
      <c r="U501" s="54"/>
      <c r="V501" s="54"/>
      <c r="AC501" s="54"/>
    </row>
    <row r="502" ht="15.75" customHeight="1">
      <c r="C502" s="54"/>
      <c r="U502" s="54"/>
      <c r="V502" s="54"/>
      <c r="AC502" s="54"/>
    </row>
    <row r="503" ht="15.75" customHeight="1">
      <c r="C503" s="54"/>
      <c r="U503" s="54"/>
      <c r="V503" s="54"/>
      <c r="AC503" s="54"/>
    </row>
    <row r="504" ht="15.75" customHeight="1">
      <c r="C504" s="54"/>
      <c r="U504" s="54"/>
      <c r="V504" s="54"/>
      <c r="AC504" s="54"/>
    </row>
    <row r="505" ht="15.75" customHeight="1">
      <c r="C505" s="54"/>
      <c r="U505" s="54"/>
      <c r="V505" s="54"/>
      <c r="AC505" s="54"/>
    </row>
    <row r="506" ht="15.75" customHeight="1">
      <c r="C506" s="54"/>
      <c r="U506" s="54"/>
      <c r="V506" s="54"/>
      <c r="AC506" s="54"/>
    </row>
    <row r="507" ht="15.75" customHeight="1">
      <c r="C507" s="54"/>
      <c r="U507" s="54"/>
      <c r="V507" s="54"/>
      <c r="AC507" s="54"/>
    </row>
    <row r="508" ht="15.75" customHeight="1">
      <c r="C508" s="54"/>
      <c r="U508" s="54"/>
      <c r="V508" s="54"/>
      <c r="AC508" s="54"/>
    </row>
    <row r="509" ht="15.75" customHeight="1">
      <c r="C509" s="54"/>
      <c r="U509" s="54"/>
      <c r="V509" s="54"/>
      <c r="AC509" s="54"/>
    </row>
    <row r="510" ht="15.75" customHeight="1">
      <c r="C510" s="54"/>
      <c r="U510" s="54"/>
      <c r="V510" s="54"/>
      <c r="AC510" s="54"/>
    </row>
    <row r="511" ht="15.75" customHeight="1">
      <c r="C511" s="54"/>
      <c r="U511" s="54"/>
      <c r="V511" s="54"/>
      <c r="AC511" s="54"/>
    </row>
    <row r="512" ht="15.75" customHeight="1">
      <c r="C512" s="54"/>
      <c r="U512" s="54"/>
      <c r="V512" s="54"/>
      <c r="AC512" s="54"/>
    </row>
    <row r="513" ht="15.75" customHeight="1">
      <c r="C513" s="54"/>
      <c r="U513" s="54"/>
      <c r="V513" s="54"/>
      <c r="AC513" s="54"/>
    </row>
    <row r="514" ht="15.75" customHeight="1">
      <c r="C514" s="54"/>
      <c r="U514" s="54"/>
      <c r="V514" s="54"/>
      <c r="AC514" s="54"/>
    </row>
    <row r="515" ht="15.75" customHeight="1">
      <c r="C515" s="54"/>
      <c r="U515" s="54"/>
      <c r="V515" s="54"/>
      <c r="AC515" s="54"/>
    </row>
    <row r="516" ht="15.75" customHeight="1">
      <c r="C516" s="54"/>
      <c r="U516" s="54"/>
      <c r="V516" s="54"/>
      <c r="AC516" s="54"/>
    </row>
    <row r="517" ht="15.75" customHeight="1">
      <c r="C517" s="54"/>
      <c r="U517" s="54"/>
      <c r="V517" s="54"/>
      <c r="AC517" s="54"/>
    </row>
    <row r="518" ht="15.75" customHeight="1">
      <c r="C518" s="54"/>
      <c r="U518" s="54"/>
      <c r="V518" s="54"/>
      <c r="AC518" s="54"/>
    </row>
    <row r="519" ht="15.75" customHeight="1">
      <c r="C519" s="54"/>
      <c r="U519" s="54"/>
      <c r="V519" s="54"/>
      <c r="AC519" s="54"/>
    </row>
    <row r="520" ht="15.75" customHeight="1">
      <c r="C520" s="54"/>
      <c r="U520" s="54"/>
      <c r="V520" s="54"/>
      <c r="AC520" s="54"/>
    </row>
    <row r="521" ht="15.75" customHeight="1">
      <c r="C521" s="54"/>
      <c r="U521" s="54"/>
      <c r="V521" s="54"/>
      <c r="AC521" s="54"/>
    </row>
    <row r="522" ht="15.75" customHeight="1">
      <c r="C522" s="54"/>
      <c r="U522" s="54"/>
      <c r="V522" s="54"/>
      <c r="AC522" s="54"/>
    </row>
    <row r="523" ht="15.75" customHeight="1">
      <c r="C523" s="54"/>
      <c r="U523" s="54"/>
      <c r="V523" s="54"/>
      <c r="AC523" s="54"/>
    </row>
    <row r="524" ht="15.75" customHeight="1">
      <c r="C524" s="54"/>
      <c r="U524" s="54"/>
      <c r="V524" s="54"/>
      <c r="AC524" s="54"/>
    </row>
    <row r="525" ht="15.75" customHeight="1">
      <c r="C525" s="54"/>
      <c r="U525" s="54"/>
      <c r="V525" s="54"/>
      <c r="AC525" s="54"/>
    </row>
    <row r="526" ht="15.75" customHeight="1">
      <c r="C526" s="54"/>
      <c r="U526" s="54"/>
      <c r="V526" s="54"/>
      <c r="AC526" s="54"/>
    </row>
    <row r="527" ht="15.75" customHeight="1">
      <c r="C527" s="54"/>
      <c r="U527" s="54"/>
      <c r="V527" s="54"/>
      <c r="AC527" s="54"/>
    </row>
    <row r="528" ht="15.75" customHeight="1">
      <c r="C528" s="54"/>
      <c r="U528" s="54"/>
      <c r="V528" s="54"/>
      <c r="AC528" s="54"/>
    </row>
    <row r="529" ht="15.75" customHeight="1">
      <c r="C529" s="54"/>
      <c r="U529" s="54"/>
      <c r="V529" s="54"/>
      <c r="AC529" s="54"/>
    </row>
    <row r="530" ht="15.75" customHeight="1">
      <c r="C530" s="54"/>
      <c r="U530" s="54"/>
      <c r="V530" s="54"/>
      <c r="AC530" s="54"/>
    </row>
    <row r="531" ht="15.75" customHeight="1">
      <c r="C531" s="54"/>
      <c r="U531" s="54"/>
      <c r="V531" s="54"/>
      <c r="AC531" s="54"/>
    </row>
    <row r="532" ht="15.75" customHeight="1">
      <c r="C532" s="54"/>
      <c r="U532" s="54"/>
      <c r="V532" s="54"/>
      <c r="AC532" s="54"/>
    </row>
    <row r="533" ht="15.75" customHeight="1">
      <c r="C533" s="54"/>
      <c r="U533" s="54"/>
      <c r="V533" s="54"/>
      <c r="AC533" s="54"/>
    </row>
    <row r="534" ht="15.75" customHeight="1">
      <c r="C534" s="54"/>
      <c r="U534" s="54"/>
      <c r="V534" s="54"/>
      <c r="AC534" s="54"/>
    </row>
    <row r="535" ht="15.75" customHeight="1">
      <c r="C535" s="54"/>
      <c r="U535" s="54"/>
      <c r="V535" s="54"/>
      <c r="AC535" s="54"/>
    </row>
    <row r="536" ht="15.75" customHeight="1">
      <c r="C536" s="54"/>
      <c r="U536" s="54"/>
      <c r="V536" s="54"/>
      <c r="AC536" s="54"/>
    </row>
    <row r="537" ht="15.75" customHeight="1">
      <c r="C537" s="54"/>
      <c r="U537" s="54"/>
      <c r="V537" s="54"/>
      <c r="AC537" s="54"/>
    </row>
    <row r="538" ht="15.75" customHeight="1">
      <c r="C538" s="54"/>
      <c r="U538" s="54"/>
      <c r="V538" s="54"/>
      <c r="AC538" s="54"/>
    </row>
    <row r="539" ht="15.75" customHeight="1">
      <c r="C539" s="54"/>
      <c r="U539" s="54"/>
      <c r="V539" s="54"/>
      <c r="AC539" s="54"/>
    </row>
    <row r="540" ht="15.75" customHeight="1">
      <c r="C540" s="54"/>
      <c r="U540" s="54"/>
      <c r="V540" s="54"/>
      <c r="AC540" s="54"/>
    </row>
    <row r="541" ht="15.75" customHeight="1">
      <c r="C541" s="54"/>
      <c r="U541" s="54"/>
      <c r="V541" s="54"/>
      <c r="AC541" s="54"/>
    </row>
    <row r="542" ht="15.75" customHeight="1">
      <c r="C542" s="54"/>
      <c r="U542" s="54"/>
      <c r="V542" s="54"/>
      <c r="AC542" s="54"/>
    </row>
    <row r="543" ht="15.75" customHeight="1">
      <c r="C543" s="54"/>
      <c r="U543" s="54"/>
      <c r="V543" s="54"/>
      <c r="AC543" s="54"/>
    </row>
    <row r="544" ht="15.75" customHeight="1">
      <c r="C544" s="54"/>
      <c r="U544" s="54"/>
      <c r="V544" s="54"/>
      <c r="AC544" s="54"/>
    </row>
    <row r="545" ht="15.75" customHeight="1">
      <c r="C545" s="54"/>
      <c r="U545" s="54"/>
      <c r="V545" s="54"/>
      <c r="AC545" s="54"/>
    </row>
    <row r="546" ht="15.75" customHeight="1">
      <c r="C546" s="54"/>
      <c r="U546" s="54"/>
      <c r="V546" s="54"/>
      <c r="AC546" s="54"/>
    </row>
    <row r="547" ht="15.75" customHeight="1">
      <c r="C547" s="54"/>
      <c r="U547" s="54"/>
      <c r="V547" s="54"/>
      <c r="AC547" s="54"/>
    </row>
    <row r="548" ht="15.75" customHeight="1">
      <c r="C548" s="54"/>
      <c r="U548" s="54"/>
      <c r="V548" s="54"/>
      <c r="AC548" s="54"/>
    </row>
    <row r="549" ht="15.75" customHeight="1">
      <c r="C549" s="54"/>
      <c r="U549" s="54"/>
      <c r="V549" s="54"/>
      <c r="AC549" s="54"/>
    </row>
    <row r="550" ht="15.75" customHeight="1">
      <c r="C550" s="54"/>
      <c r="U550" s="54"/>
      <c r="V550" s="54"/>
      <c r="AC550" s="54"/>
    </row>
    <row r="551" ht="15.75" customHeight="1">
      <c r="C551" s="54"/>
      <c r="U551" s="54"/>
      <c r="V551" s="54"/>
      <c r="AC551" s="54"/>
    </row>
    <row r="552" ht="15.75" customHeight="1">
      <c r="C552" s="54"/>
      <c r="U552" s="54"/>
      <c r="V552" s="54"/>
      <c r="AC552" s="54"/>
    </row>
    <row r="553" ht="15.75" customHeight="1">
      <c r="C553" s="54"/>
      <c r="U553" s="54"/>
      <c r="V553" s="54"/>
      <c r="AC553" s="54"/>
    </row>
    <row r="554" ht="15.75" customHeight="1">
      <c r="C554" s="54"/>
      <c r="U554" s="54"/>
      <c r="V554" s="54"/>
      <c r="AC554" s="54"/>
    </row>
    <row r="555" ht="15.75" customHeight="1">
      <c r="C555" s="54"/>
      <c r="U555" s="54"/>
      <c r="V555" s="54"/>
      <c r="AC555" s="54"/>
    </row>
    <row r="556" ht="15.75" customHeight="1">
      <c r="C556" s="54"/>
      <c r="U556" s="54"/>
      <c r="V556" s="54"/>
      <c r="AC556" s="54"/>
    </row>
    <row r="557" ht="15.75" customHeight="1">
      <c r="C557" s="54"/>
      <c r="U557" s="54"/>
      <c r="V557" s="54"/>
      <c r="AC557" s="54"/>
    </row>
    <row r="558" ht="15.75" customHeight="1">
      <c r="C558" s="54"/>
      <c r="U558" s="54"/>
      <c r="V558" s="54"/>
      <c r="AC558" s="54"/>
    </row>
    <row r="559" ht="15.75" customHeight="1">
      <c r="C559" s="54"/>
      <c r="U559" s="54"/>
      <c r="V559" s="54"/>
      <c r="AC559" s="54"/>
    </row>
    <row r="560" ht="15.75" customHeight="1">
      <c r="C560" s="54"/>
      <c r="U560" s="54"/>
      <c r="V560" s="54"/>
      <c r="AC560" s="54"/>
    </row>
    <row r="561" ht="15.75" customHeight="1">
      <c r="C561" s="54"/>
      <c r="U561" s="54"/>
      <c r="V561" s="54"/>
      <c r="AC561" s="54"/>
    </row>
    <row r="562" ht="15.75" customHeight="1">
      <c r="C562" s="54"/>
      <c r="U562" s="54"/>
      <c r="V562" s="54"/>
      <c r="AC562" s="54"/>
    </row>
    <row r="563" ht="15.75" customHeight="1">
      <c r="C563" s="54"/>
      <c r="U563" s="54"/>
      <c r="V563" s="54"/>
      <c r="AC563" s="54"/>
    </row>
    <row r="564" ht="15.75" customHeight="1">
      <c r="C564" s="54"/>
      <c r="U564" s="54"/>
      <c r="V564" s="54"/>
      <c r="AC564" s="54"/>
    </row>
    <row r="565" ht="15.75" customHeight="1">
      <c r="C565" s="54"/>
      <c r="U565" s="54"/>
      <c r="V565" s="54"/>
      <c r="AC565" s="54"/>
    </row>
    <row r="566" ht="15.75" customHeight="1">
      <c r="C566" s="54"/>
      <c r="U566" s="54"/>
      <c r="V566" s="54"/>
      <c r="AC566" s="54"/>
    </row>
    <row r="567" ht="15.75" customHeight="1">
      <c r="C567" s="54"/>
      <c r="U567" s="54"/>
      <c r="V567" s="54"/>
      <c r="AC567" s="54"/>
    </row>
    <row r="568" ht="15.75" customHeight="1">
      <c r="C568" s="54"/>
      <c r="U568" s="54"/>
      <c r="V568" s="54"/>
      <c r="AC568" s="54"/>
    </row>
    <row r="569" ht="15.75" customHeight="1">
      <c r="C569" s="54"/>
      <c r="U569" s="54"/>
      <c r="V569" s="54"/>
      <c r="AC569" s="54"/>
    </row>
    <row r="570" ht="15.75" customHeight="1">
      <c r="C570" s="54"/>
      <c r="U570" s="54"/>
      <c r="V570" s="54"/>
      <c r="AC570" s="54"/>
    </row>
    <row r="571" ht="15.75" customHeight="1">
      <c r="C571" s="54"/>
      <c r="U571" s="54"/>
      <c r="V571" s="54"/>
      <c r="AC571" s="54"/>
    </row>
    <row r="572" ht="15.75" customHeight="1">
      <c r="C572" s="54"/>
      <c r="U572" s="54"/>
      <c r="V572" s="54"/>
      <c r="AC572" s="54"/>
    </row>
    <row r="573" ht="15.75" customHeight="1">
      <c r="C573" s="54"/>
      <c r="U573" s="54"/>
      <c r="V573" s="54"/>
      <c r="AC573" s="54"/>
    </row>
    <row r="574" ht="15.75" customHeight="1">
      <c r="C574" s="54"/>
      <c r="U574" s="54"/>
      <c r="V574" s="54"/>
      <c r="AC574" s="54"/>
    </row>
    <row r="575" ht="15.75" customHeight="1">
      <c r="C575" s="54"/>
      <c r="U575" s="54"/>
      <c r="V575" s="54"/>
      <c r="AC575" s="54"/>
    </row>
    <row r="576" ht="15.75" customHeight="1">
      <c r="C576" s="54"/>
      <c r="U576" s="54"/>
      <c r="V576" s="54"/>
      <c r="AC576" s="54"/>
    </row>
    <row r="577" ht="15.75" customHeight="1">
      <c r="C577" s="54"/>
      <c r="U577" s="54"/>
      <c r="V577" s="54"/>
      <c r="AC577" s="54"/>
    </row>
    <row r="578" ht="15.75" customHeight="1">
      <c r="C578" s="54"/>
      <c r="U578" s="54"/>
      <c r="V578" s="54"/>
      <c r="AC578" s="54"/>
    </row>
    <row r="579" ht="15.75" customHeight="1">
      <c r="C579" s="54"/>
      <c r="U579" s="54"/>
      <c r="V579" s="54"/>
      <c r="AC579" s="54"/>
    </row>
    <row r="580" ht="15.75" customHeight="1">
      <c r="C580" s="54"/>
      <c r="U580" s="54"/>
      <c r="V580" s="54"/>
      <c r="AC580" s="54"/>
    </row>
    <row r="581" ht="15.75" customHeight="1">
      <c r="C581" s="54"/>
      <c r="U581" s="54"/>
      <c r="V581" s="54"/>
      <c r="AC581" s="54"/>
    </row>
    <row r="582" ht="15.75" customHeight="1">
      <c r="C582" s="54"/>
      <c r="U582" s="54"/>
      <c r="V582" s="54"/>
      <c r="AC582" s="54"/>
    </row>
    <row r="583" ht="15.75" customHeight="1">
      <c r="C583" s="54"/>
      <c r="U583" s="54"/>
      <c r="V583" s="54"/>
      <c r="AC583" s="54"/>
    </row>
    <row r="584" ht="15.75" customHeight="1">
      <c r="C584" s="54"/>
      <c r="U584" s="54"/>
      <c r="V584" s="54"/>
      <c r="AC584" s="54"/>
    </row>
    <row r="585" ht="15.75" customHeight="1">
      <c r="C585" s="54"/>
      <c r="U585" s="54"/>
      <c r="V585" s="54"/>
      <c r="AC585" s="54"/>
    </row>
    <row r="586" ht="15.75" customHeight="1">
      <c r="C586" s="54"/>
      <c r="U586" s="54"/>
      <c r="V586" s="54"/>
      <c r="AC586" s="54"/>
    </row>
    <row r="587" ht="15.75" customHeight="1">
      <c r="C587" s="54"/>
      <c r="U587" s="54"/>
      <c r="V587" s="54"/>
      <c r="AC587" s="54"/>
    </row>
    <row r="588" ht="15.75" customHeight="1">
      <c r="C588" s="54"/>
      <c r="U588" s="54"/>
      <c r="V588" s="54"/>
      <c r="AC588" s="54"/>
    </row>
    <row r="589" ht="15.75" customHeight="1">
      <c r="C589" s="54"/>
      <c r="U589" s="54"/>
      <c r="V589" s="54"/>
      <c r="AC589" s="54"/>
    </row>
    <row r="590" ht="15.75" customHeight="1">
      <c r="C590" s="54"/>
      <c r="U590" s="54"/>
      <c r="V590" s="54"/>
      <c r="AC590" s="54"/>
    </row>
    <row r="591" ht="15.75" customHeight="1">
      <c r="C591" s="54"/>
      <c r="U591" s="54"/>
      <c r="V591" s="54"/>
      <c r="AC591" s="54"/>
    </row>
    <row r="592" ht="15.75" customHeight="1">
      <c r="C592" s="54"/>
      <c r="U592" s="54"/>
      <c r="V592" s="54"/>
      <c r="AC592" s="54"/>
    </row>
    <row r="593" ht="15.75" customHeight="1">
      <c r="C593" s="54"/>
      <c r="U593" s="54"/>
      <c r="V593" s="54"/>
      <c r="AC593" s="54"/>
    </row>
    <row r="594" ht="15.75" customHeight="1">
      <c r="C594" s="54"/>
      <c r="U594" s="54"/>
      <c r="V594" s="54"/>
      <c r="AC594" s="54"/>
    </row>
    <row r="595" ht="15.75" customHeight="1">
      <c r="C595" s="54"/>
      <c r="U595" s="54"/>
      <c r="V595" s="54"/>
      <c r="AC595" s="54"/>
    </row>
    <row r="596" ht="15.75" customHeight="1">
      <c r="C596" s="54"/>
      <c r="U596" s="54"/>
      <c r="V596" s="54"/>
      <c r="AC596" s="54"/>
    </row>
    <row r="597" ht="15.75" customHeight="1">
      <c r="C597" s="54"/>
      <c r="U597" s="54"/>
      <c r="V597" s="54"/>
      <c r="AC597" s="54"/>
    </row>
    <row r="598" ht="15.75" customHeight="1">
      <c r="C598" s="54"/>
      <c r="U598" s="54"/>
      <c r="V598" s="54"/>
      <c r="AC598" s="54"/>
    </row>
    <row r="599" ht="15.75" customHeight="1">
      <c r="C599" s="54"/>
      <c r="U599" s="54"/>
      <c r="V599" s="54"/>
      <c r="AC599" s="54"/>
    </row>
    <row r="600" ht="15.75" customHeight="1">
      <c r="C600" s="54"/>
      <c r="U600" s="54"/>
      <c r="V600" s="54"/>
      <c r="AC600" s="54"/>
    </row>
    <row r="601" ht="15.75" customHeight="1">
      <c r="C601" s="54"/>
      <c r="U601" s="54"/>
      <c r="V601" s="54"/>
      <c r="AC601" s="54"/>
    </row>
    <row r="602" ht="15.75" customHeight="1">
      <c r="C602" s="54"/>
      <c r="U602" s="54"/>
      <c r="V602" s="54"/>
      <c r="AC602" s="54"/>
    </row>
    <row r="603" ht="15.75" customHeight="1">
      <c r="C603" s="54"/>
      <c r="U603" s="54"/>
      <c r="V603" s="54"/>
      <c r="AC603" s="54"/>
    </row>
    <row r="604" ht="15.75" customHeight="1">
      <c r="C604" s="54"/>
      <c r="U604" s="54"/>
      <c r="V604" s="54"/>
      <c r="AC604" s="54"/>
    </row>
    <row r="605" ht="15.75" customHeight="1">
      <c r="C605" s="54"/>
      <c r="U605" s="54"/>
      <c r="V605" s="54"/>
      <c r="AC605" s="54"/>
    </row>
    <row r="606" ht="15.75" customHeight="1">
      <c r="C606" s="54"/>
      <c r="U606" s="54"/>
      <c r="V606" s="54"/>
      <c r="AC606" s="54"/>
    </row>
    <row r="607" ht="15.75" customHeight="1">
      <c r="C607" s="54"/>
      <c r="U607" s="54"/>
      <c r="V607" s="54"/>
      <c r="AC607" s="54"/>
    </row>
    <row r="608" ht="15.75" customHeight="1">
      <c r="C608" s="54"/>
      <c r="U608" s="54"/>
      <c r="V608" s="54"/>
      <c r="AC608" s="54"/>
    </row>
    <row r="609" ht="15.75" customHeight="1">
      <c r="C609" s="54"/>
      <c r="U609" s="54"/>
      <c r="V609" s="54"/>
      <c r="AC609" s="54"/>
    </row>
    <row r="610" ht="15.75" customHeight="1">
      <c r="C610" s="54"/>
      <c r="U610" s="54"/>
      <c r="V610" s="54"/>
      <c r="AC610" s="54"/>
    </row>
    <row r="611" ht="15.75" customHeight="1">
      <c r="C611" s="54"/>
      <c r="U611" s="54"/>
      <c r="V611" s="54"/>
      <c r="AC611" s="54"/>
    </row>
    <row r="612" ht="15.75" customHeight="1">
      <c r="C612" s="54"/>
      <c r="U612" s="54"/>
      <c r="V612" s="54"/>
      <c r="AC612" s="54"/>
    </row>
    <row r="613" ht="15.75" customHeight="1">
      <c r="C613" s="54"/>
      <c r="U613" s="54"/>
      <c r="V613" s="54"/>
      <c r="AC613" s="54"/>
    </row>
    <row r="614" ht="15.75" customHeight="1">
      <c r="C614" s="54"/>
      <c r="U614" s="54"/>
      <c r="V614" s="54"/>
      <c r="AC614" s="54"/>
    </row>
    <row r="615" ht="15.75" customHeight="1">
      <c r="C615" s="54"/>
      <c r="U615" s="54"/>
      <c r="V615" s="54"/>
      <c r="AC615" s="54"/>
    </row>
    <row r="616" ht="15.75" customHeight="1">
      <c r="C616" s="54"/>
      <c r="U616" s="54"/>
      <c r="V616" s="54"/>
      <c r="AC616" s="54"/>
    </row>
    <row r="617" ht="15.75" customHeight="1">
      <c r="C617" s="54"/>
      <c r="U617" s="54"/>
      <c r="V617" s="54"/>
      <c r="AC617" s="54"/>
    </row>
    <row r="618" ht="15.75" customHeight="1">
      <c r="C618" s="54"/>
      <c r="U618" s="54"/>
      <c r="V618" s="54"/>
      <c r="AC618" s="54"/>
    </row>
    <row r="619" ht="15.75" customHeight="1">
      <c r="C619" s="54"/>
      <c r="U619" s="54"/>
      <c r="V619" s="54"/>
      <c r="AC619" s="54"/>
    </row>
    <row r="620" ht="15.75" customHeight="1">
      <c r="C620" s="54"/>
      <c r="U620" s="54"/>
      <c r="V620" s="54"/>
      <c r="AC620" s="54"/>
    </row>
    <row r="621" ht="15.75" customHeight="1">
      <c r="C621" s="54"/>
      <c r="U621" s="54"/>
      <c r="V621" s="54"/>
      <c r="AC621" s="54"/>
    </row>
    <row r="622" ht="15.75" customHeight="1">
      <c r="C622" s="54"/>
      <c r="U622" s="54"/>
      <c r="V622" s="54"/>
      <c r="AC622" s="54"/>
    </row>
    <row r="623" ht="15.75" customHeight="1">
      <c r="C623" s="54"/>
      <c r="U623" s="54"/>
      <c r="V623" s="54"/>
      <c r="AC623" s="54"/>
    </row>
    <row r="624" ht="15.75" customHeight="1">
      <c r="C624" s="54"/>
      <c r="U624" s="54"/>
      <c r="V624" s="54"/>
      <c r="AC624" s="54"/>
    </row>
    <row r="625" ht="15.75" customHeight="1">
      <c r="C625" s="54"/>
      <c r="U625" s="54"/>
      <c r="V625" s="54"/>
      <c r="AC625" s="54"/>
    </row>
    <row r="626" ht="15.75" customHeight="1">
      <c r="C626" s="54"/>
      <c r="U626" s="54"/>
      <c r="V626" s="54"/>
      <c r="AC626" s="54"/>
    </row>
    <row r="627" ht="15.75" customHeight="1">
      <c r="C627" s="54"/>
      <c r="U627" s="54"/>
      <c r="V627" s="54"/>
      <c r="AC627" s="54"/>
    </row>
    <row r="628" ht="15.75" customHeight="1">
      <c r="C628" s="54"/>
      <c r="U628" s="54"/>
      <c r="V628" s="54"/>
      <c r="AC628" s="54"/>
    </row>
    <row r="629" ht="15.75" customHeight="1">
      <c r="C629" s="54"/>
      <c r="U629" s="54"/>
      <c r="V629" s="54"/>
      <c r="AC629" s="54"/>
    </row>
    <row r="630" ht="15.75" customHeight="1">
      <c r="C630" s="54"/>
      <c r="U630" s="54"/>
      <c r="V630" s="54"/>
      <c r="AC630" s="54"/>
    </row>
    <row r="631" ht="15.75" customHeight="1">
      <c r="C631" s="54"/>
      <c r="U631" s="54"/>
      <c r="V631" s="54"/>
      <c r="AC631" s="54"/>
    </row>
    <row r="632" ht="15.75" customHeight="1">
      <c r="C632" s="54"/>
      <c r="U632" s="54"/>
      <c r="V632" s="54"/>
      <c r="AC632" s="54"/>
    </row>
    <row r="633" ht="15.75" customHeight="1">
      <c r="C633" s="54"/>
      <c r="U633" s="54"/>
      <c r="V633" s="54"/>
      <c r="AC633" s="54"/>
    </row>
    <row r="634" ht="15.75" customHeight="1">
      <c r="C634" s="54"/>
      <c r="U634" s="54"/>
      <c r="V634" s="54"/>
      <c r="AC634" s="54"/>
    </row>
    <row r="635" ht="15.75" customHeight="1">
      <c r="C635" s="54"/>
      <c r="U635" s="54"/>
      <c r="V635" s="54"/>
      <c r="AC635" s="54"/>
    </row>
    <row r="636" ht="15.75" customHeight="1">
      <c r="C636" s="54"/>
      <c r="U636" s="54"/>
      <c r="V636" s="54"/>
      <c r="AC636" s="54"/>
    </row>
    <row r="637" ht="15.75" customHeight="1">
      <c r="C637" s="54"/>
      <c r="U637" s="54"/>
      <c r="V637" s="54"/>
      <c r="AC637" s="54"/>
    </row>
    <row r="638" ht="15.75" customHeight="1">
      <c r="C638" s="54"/>
      <c r="U638" s="54"/>
      <c r="V638" s="54"/>
      <c r="AC638" s="54"/>
    </row>
    <row r="639" ht="15.75" customHeight="1">
      <c r="C639" s="54"/>
      <c r="U639" s="54"/>
      <c r="V639" s="54"/>
      <c r="AC639" s="54"/>
    </row>
    <row r="640" ht="15.75" customHeight="1">
      <c r="C640" s="54"/>
      <c r="U640" s="54"/>
      <c r="V640" s="54"/>
      <c r="AC640" s="54"/>
    </row>
    <row r="641" ht="15.75" customHeight="1">
      <c r="C641" s="54"/>
      <c r="U641" s="54"/>
      <c r="V641" s="54"/>
      <c r="AC641" s="54"/>
    </row>
    <row r="642" ht="15.75" customHeight="1">
      <c r="C642" s="54"/>
      <c r="U642" s="54"/>
      <c r="V642" s="54"/>
      <c r="AC642" s="54"/>
    </row>
    <row r="643" ht="15.75" customHeight="1">
      <c r="C643" s="54"/>
      <c r="U643" s="54"/>
      <c r="V643" s="54"/>
      <c r="AC643" s="54"/>
    </row>
    <row r="644" ht="15.75" customHeight="1">
      <c r="C644" s="54"/>
      <c r="U644" s="54"/>
      <c r="V644" s="54"/>
      <c r="AC644" s="54"/>
    </row>
    <row r="645" ht="15.75" customHeight="1">
      <c r="C645" s="54"/>
      <c r="U645" s="54"/>
      <c r="V645" s="54"/>
      <c r="AC645" s="54"/>
    </row>
    <row r="646" ht="15.75" customHeight="1">
      <c r="C646" s="54"/>
      <c r="U646" s="54"/>
      <c r="V646" s="54"/>
      <c r="AC646" s="54"/>
    </row>
    <row r="647" ht="15.75" customHeight="1">
      <c r="C647" s="54"/>
      <c r="U647" s="54"/>
      <c r="V647" s="54"/>
      <c r="AC647" s="54"/>
    </row>
    <row r="648" ht="15.75" customHeight="1">
      <c r="C648" s="54"/>
      <c r="U648" s="54"/>
      <c r="V648" s="54"/>
      <c r="AC648" s="54"/>
    </row>
    <row r="649" ht="15.75" customHeight="1">
      <c r="C649" s="54"/>
      <c r="U649" s="54"/>
      <c r="V649" s="54"/>
      <c r="AC649" s="54"/>
    </row>
    <row r="650" ht="15.75" customHeight="1">
      <c r="C650" s="54"/>
      <c r="U650" s="54"/>
      <c r="V650" s="54"/>
      <c r="AC650" s="54"/>
    </row>
    <row r="651" ht="15.75" customHeight="1">
      <c r="C651" s="54"/>
      <c r="U651" s="54"/>
      <c r="V651" s="54"/>
      <c r="AC651" s="54"/>
    </row>
    <row r="652" ht="15.75" customHeight="1">
      <c r="C652" s="54"/>
      <c r="U652" s="54"/>
      <c r="V652" s="54"/>
      <c r="AC652" s="54"/>
    </row>
    <row r="653" ht="15.75" customHeight="1">
      <c r="C653" s="54"/>
      <c r="U653" s="54"/>
      <c r="V653" s="54"/>
      <c r="AC653" s="54"/>
    </row>
    <row r="654" ht="15.75" customHeight="1">
      <c r="C654" s="54"/>
      <c r="U654" s="54"/>
      <c r="V654" s="54"/>
      <c r="AC654" s="54"/>
    </row>
    <row r="655" ht="15.75" customHeight="1">
      <c r="C655" s="54"/>
      <c r="U655" s="54"/>
      <c r="V655" s="54"/>
      <c r="AC655" s="54"/>
    </row>
    <row r="656" ht="15.75" customHeight="1">
      <c r="C656" s="54"/>
      <c r="U656" s="54"/>
      <c r="V656" s="54"/>
      <c r="AC656" s="54"/>
    </row>
    <row r="657" ht="15.75" customHeight="1">
      <c r="C657" s="54"/>
      <c r="U657" s="54"/>
      <c r="V657" s="54"/>
      <c r="AC657" s="54"/>
    </row>
    <row r="658" ht="15.75" customHeight="1">
      <c r="C658" s="54"/>
      <c r="U658" s="54"/>
      <c r="V658" s="54"/>
      <c r="AC658" s="54"/>
    </row>
    <row r="659" ht="15.75" customHeight="1">
      <c r="C659" s="54"/>
      <c r="U659" s="54"/>
      <c r="V659" s="54"/>
      <c r="AC659" s="54"/>
    </row>
    <row r="660" ht="15.75" customHeight="1">
      <c r="C660" s="54"/>
      <c r="U660" s="54"/>
      <c r="V660" s="54"/>
      <c r="AC660" s="54"/>
    </row>
    <row r="661" ht="15.75" customHeight="1">
      <c r="C661" s="54"/>
      <c r="U661" s="54"/>
      <c r="V661" s="54"/>
      <c r="AC661" s="54"/>
    </row>
    <row r="662" ht="15.75" customHeight="1">
      <c r="C662" s="54"/>
      <c r="U662" s="54"/>
      <c r="V662" s="54"/>
      <c r="AC662" s="54"/>
    </row>
    <row r="663" ht="15.75" customHeight="1">
      <c r="C663" s="54"/>
      <c r="U663" s="54"/>
      <c r="V663" s="54"/>
      <c r="AC663" s="54"/>
    </row>
    <row r="664" ht="15.75" customHeight="1">
      <c r="C664" s="54"/>
      <c r="U664" s="54"/>
      <c r="V664" s="54"/>
      <c r="AC664" s="54"/>
    </row>
    <row r="665" ht="15.75" customHeight="1">
      <c r="C665" s="54"/>
      <c r="U665" s="54"/>
      <c r="V665" s="54"/>
      <c r="AC665" s="54"/>
    </row>
    <row r="666" ht="15.75" customHeight="1">
      <c r="C666" s="54"/>
      <c r="U666" s="54"/>
      <c r="V666" s="54"/>
      <c r="AC666" s="54"/>
    </row>
    <row r="667" ht="15.75" customHeight="1">
      <c r="C667" s="54"/>
      <c r="U667" s="54"/>
      <c r="V667" s="54"/>
      <c r="AC667" s="54"/>
    </row>
    <row r="668" ht="15.75" customHeight="1">
      <c r="C668" s="54"/>
      <c r="U668" s="54"/>
      <c r="V668" s="54"/>
      <c r="AC668" s="54"/>
    </row>
    <row r="669" ht="15.75" customHeight="1">
      <c r="C669" s="54"/>
      <c r="U669" s="54"/>
      <c r="V669" s="54"/>
      <c r="AC669" s="54"/>
    </row>
    <row r="670" ht="15.75" customHeight="1">
      <c r="C670" s="54"/>
      <c r="U670" s="54"/>
      <c r="V670" s="54"/>
      <c r="AC670" s="54"/>
    </row>
    <row r="671" ht="15.75" customHeight="1">
      <c r="C671" s="54"/>
      <c r="U671" s="54"/>
      <c r="V671" s="54"/>
      <c r="AC671" s="54"/>
    </row>
    <row r="672" ht="15.75" customHeight="1">
      <c r="C672" s="54"/>
      <c r="U672" s="54"/>
      <c r="V672" s="54"/>
      <c r="AC672" s="54"/>
    </row>
    <row r="673" ht="15.75" customHeight="1">
      <c r="C673" s="54"/>
      <c r="U673" s="54"/>
      <c r="V673" s="54"/>
      <c r="AC673" s="54"/>
    </row>
    <row r="674" ht="15.75" customHeight="1">
      <c r="C674" s="54"/>
      <c r="U674" s="54"/>
      <c r="V674" s="54"/>
      <c r="AC674" s="54"/>
    </row>
    <row r="675" ht="15.75" customHeight="1">
      <c r="C675" s="54"/>
      <c r="U675" s="54"/>
      <c r="V675" s="54"/>
      <c r="AC675" s="54"/>
    </row>
    <row r="676" ht="15.75" customHeight="1">
      <c r="C676" s="54"/>
      <c r="U676" s="54"/>
      <c r="V676" s="54"/>
      <c r="AC676" s="54"/>
    </row>
    <row r="677" ht="15.75" customHeight="1">
      <c r="C677" s="54"/>
      <c r="U677" s="54"/>
      <c r="V677" s="54"/>
      <c r="AC677" s="54"/>
    </row>
    <row r="678" ht="15.75" customHeight="1">
      <c r="C678" s="54"/>
      <c r="U678" s="54"/>
      <c r="V678" s="54"/>
      <c r="AC678" s="54"/>
    </row>
    <row r="679" ht="15.75" customHeight="1">
      <c r="C679" s="54"/>
      <c r="U679" s="54"/>
      <c r="V679" s="54"/>
      <c r="AC679" s="54"/>
    </row>
    <row r="680" ht="15.75" customHeight="1">
      <c r="C680" s="54"/>
      <c r="U680" s="54"/>
      <c r="V680" s="54"/>
      <c r="AC680" s="54"/>
    </row>
    <row r="681" ht="15.75" customHeight="1">
      <c r="C681" s="54"/>
      <c r="U681" s="54"/>
      <c r="V681" s="54"/>
      <c r="AC681" s="54"/>
    </row>
    <row r="682" ht="15.75" customHeight="1">
      <c r="C682" s="54"/>
      <c r="U682" s="54"/>
      <c r="V682" s="54"/>
      <c r="AC682" s="54"/>
    </row>
    <row r="683" ht="15.75" customHeight="1">
      <c r="C683" s="54"/>
      <c r="U683" s="54"/>
      <c r="V683" s="54"/>
      <c r="AC683" s="54"/>
    </row>
    <row r="684" ht="15.75" customHeight="1">
      <c r="C684" s="54"/>
      <c r="U684" s="54"/>
      <c r="V684" s="54"/>
      <c r="AC684" s="54"/>
    </row>
    <row r="685" ht="15.75" customHeight="1">
      <c r="C685" s="54"/>
      <c r="U685" s="54"/>
      <c r="V685" s="54"/>
      <c r="AC685" s="54"/>
    </row>
    <row r="686" ht="15.75" customHeight="1">
      <c r="C686" s="54"/>
      <c r="U686" s="54"/>
      <c r="V686" s="54"/>
      <c r="AC686" s="54"/>
    </row>
    <row r="687" ht="15.75" customHeight="1">
      <c r="C687" s="54"/>
      <c r="U687" s="54"/>
      <c r="V687" s="54"/>
      <c r="AC687" s="54"/>
    </row>
    <row r="688" ht="15.75" customHeight="1">
      <c r="C688" s="54"/>
      <c r="U688" s="54"/>
      <c r="V688" s="54"/>
      <c r="AC688" s="54"/>
    </row>
    <row r="689" ht="15.75" customHeight="1">
      <c r="C689" s="54"/>
      <c r="U689" s="54"/>
      <c r="V689" s="54"/>
      <c r="AC689" s="54"/>
    </row>
    <row r="690" ht="15.75" customHeight="1">
      <c r="C690" s="54"/>
      <c r="U690" s="54"/>
      <c r="V690" s="54"/>
      <c r="AC690" s="54"/>
    </row>
    <row r="691" ht="15.75" customHeight="1">
      <c r="C691" s="54"/>
      <c r="U691" s="54"/>
      <c r="V691" s="54"/>
      <c r="AC691" s="54"/>
    </row>
    <row r="692" ht="15.75" customHeight="1">
      <c r="C692" s="54"/>
      <c r="U692" s="54"/>
      <c r="V692" s="54"/>
      <c r="AC692" s="54"/>
    </row>
    <row r="693" ht="15.75" customHeight="1">
      <c r="C693" s="54"/>
      <c r="U693" s="54"/>
      <c r="V693" s="54"/>
      <c r="AC693" s="54"/>
    </row>
    <row r="694" ht="15.75" customHeight="1">
      <c r="C694" s="54"/>
      <c r="U694" s="54"/>
      <c r="V694" s="54"/>
      <c r="AC694" s="54"/>
    </row>
    <row r="695" ht="15.75" customHeight="1">
      <c r="C695" s="54"/>
      <c r="U695" s="54"/>
      <c r="V695" s="54"/>
      <c r="AC695" s="54"/>
    </row>
    <row r="696" ht="15.75" customHeight="1">
      <c r="C696" s="54"/>
      <c r="U696" s="54"/>
      <c r="V696" s="54"/>
      <c r="AC696" s="54"/>
    </row>
    <row r="697" ht="15.75" customHeight="1">
      <c r="C697" s="54"/>
      <c r="U697" s="54"/>
      <c r="V697" s="54"/>
      <c r="AC697" s="54"/>
    </row>
    <row r="698" ht="15.75" customHeight="1">
      <c r="C698" s="54"/>
      <c r="U698" s="54"/>
      <c r="V698" s="54"/>
      <c r="AC698" s="54"/>
    </row>
    <row r="699" ht="15.75" customHeight="1">
      <c r="C699" s="54"/>
      <c r="U699" s="54"/>
      <c r="V699" s="54"/>
      <c r="AC699" s="54"/>
    </row>
    <row r="700" ht="15.75" customHeight="1">
      <c r="C700" s="54"/>
      <c r="U700" s="54"/>
      <c r="V700" s="54"/>
      <c r="AC700" s="54"/>
    </row>
    <row r="701" ht="15.75" customHeight="1">
      <c r="C701" s="54"/>
      <c r="U701" s="54"/>
      <c r="V701" s="54"/>
      <c r="AC701" s="54"/>
    </row>
    <row r="702" ht="15.75" customHeight="1">
      <c r="C702" s="54"/>
      <c r="U702" s="54"/>
      <c r="V702" s="54"/>
      <c r="AC702" s="54"/>
    </row>
    <row r="703" ht="15.75" customHeight="1">
      <c r="C703" s="54"/>
      <c r="U703" s="54"/>
      <c r="V703" s="54"/>
      <c r="AC703" s="54"/>
    </row>
    <row r="704" ht="15.75" customHeight="1">
      <c r="C704" s="54"/>
      <c r="U704" s="54"/>
      <c r="V704" s="54"/>
      <c r="AC704" s="54"/>
    </row>
    <row r="705" ht="15.75" customHeight="1">
      <c r="C705" s="54"/>
      <c r="U705" s="54"/>
      <c r="V705" s="54"/>
      <c r="AC705" s="54"/>
    </row>
    <row r="706" ht="15.75" customHeight="1">
      <c r="C706" s="54"/>
      <c r="U706" s="54"/>
      <c r="V706" s="54"/>
      <c r="AC706" s="54"/>
    </row>
    <row r="707" ht="15.75" customHeight="1">
      <c r="C707" s="54"/>
      <c r="U707" s="54"/>
      <c r="V707" s="54"/>
      <c r="AC707" s="54"/>
    </row>
    <row r="708" ht="15.75" customHeight="1">
      <c r="C708" s="54"/>
      <c r="U708" s="54"/>
      <c r="V708" s="54"/>
      <c r="AC708" s="54"/>
    </row>
    <row r="709" ht="15.75" customHeight="1">
      <c r="C709" s="54"/>
      <c r="U709" s="54"/>
      <c r="V709" s="54"/>
      <c r="AC709" s="54"/>
    </row>
    <row r="710" ht="15.75" customHeight="1">
      <c r="C710" s="54"/>
      <c r="U710" s="54"/>
      <c r="V710" s="54"/>
      <c r="AC710" s="54"/>
    </row>
    <row r="711" ht="15.75" customHeight="1">
      <c r="C711" s="54"/>
      <c r="U711" s="54"/>
      <c r="V711" s="54"/>
      <c r="AC711" s="54"/>
    </row>
    <row r="712" ht="15.75" customHeight="1">
      <c r="C712" s="54"/>
      <c r="U712" s="54"/>
      <c r="V712" s="54"/>
      <c r="AC712" s="54"/>
    </row>
    <row r="713" ht="15.75" customHeight="1">
      <c r="C713" s="54"/>
      <c r="U713" s="54"/>
      <c r="V713" s="54"/>
      <c r="AC713" s="54"/>
    </row>
    <row r="714" ht="15.75" customHeight="1">
      <c r="C714" s="54"/>
      <c r="U714" s="54"/>
      <c r="V714" s="54"/>
      <c r="AC714" s="54"/>
    </row>
    <row r="715" ht="15.75" customHeight="1">
      <c r="C715" s="54"/>
      <c r="U715" s="54"/>
      <c r="V715" s="54"/>
      <c r="AC715" s="54"/>
    </row>
    <row r="716" ht="15.75" customHeight="1">
      <c r="C716" s="54"/>
      <c r="U716" s="54"/>
      <c r="V716" s="54"/>
      <c r="AC716" s="54"/>
    </row>
    <row r="717" ht="15.75" customHeight="1">
      <c r="C717" s="54"/>
      <c r="U717" s="54"/>
      <c r="V717" s="54"/>
      <c r="AC717" s="54"/>
    </row>
    <row r="718" ht="15.75" customHeight="1">
      <c r="C718" s="54"/>
      <c r="U718" s="54"/>
      <c r="V718" s="54"/>
      <c r="AC718" s="54"/>
    </row>
    <row r="719" ht="15.75" customHeight="1">
      <c r="C719" s="54"/>
      <c r="U719" s="54"/>
      <c r="V719" s="54"/>
      <c r="AC719" s="54"/>
    </row>
    <row r="720" ht="15.75" customHeight="1">
      <c r="C720" s="54"/>
      <c r="U720" s="54"/>
      <c r="V720" s="54"/>
      <c r="AC720" s="54"/>
    </row>
    <row r="721" ht="15.75" customHeight="1">
      <c r="C721" s="54"/>
      <c r="U721" s="54"/>
      <c r="V721" s="54"/>
      <c r="AC721" s="54"/>
    </row>
    <row r="722" ht="15.75" customHeight="1">
      <c r="C722" s="54"/>
      <c r="U722" s="54"/>
      <c r="V722" s="54"/>
      <c r="AC722" s="54"/>
    </row>
    <row r="723" ht="15.75" customHeight="1">
      <c r="C723" s="54"/>
      <c r="U723" s="54"/>
      <c r="V723" s="54"/>
      <c r="AC723" s="54"/>
    </row>
    <row r="724" ht="15.75" customHeight="1">
      <c r="C724" s="54"/>
      <c r="U724" s="54"/>
      <c r="V724" s="54"/>
      <c r="AC724" s="54"/>
    </row>
    <row r="725" ht="15.75" customHeight="1">
      <c r="C725" s="54"/>
      <c r="U725" s="54"/>
      <c r="V725" s="54"/>
      <c r="AC725" s="54"/>
    </row>
    <row r="726" ht="15.75" customHeight="1">
      <c r="C726" s="54"/>
      <c r="U726" s="54"/>
      <c r="V726" s="54"/>
      <c r="AC726" s="54"/>
    </row>
    <row r="727" ht="15.75" customHeight="1">
      <c r="C727" s="54"/>
      <c r="U727" s="54"/>
      <c r="V727" s="54"/>
      <c r="AC727" s="54"/>
    </row>
    <row r="728" ht="15.75" customHeight="1">
      <c r="C728" s="54"/>
      <c r="U728" s="54"/>
      <c r="V728" s="54"/>
      <c r="AC728" s="54"/>
    </row>
    <row r="729" ht="15.75" customHeight="1">
      <c r="C729" s="54"/>
      <c r="U729" s="54"/>
      <c r="V729" s="54"/>
      <c r="AC729" s="54"/>
    </row>
    <row r="730" ht="15.75" customHeight="1">
      <c r="C730" s="54"/>
      <c r="U730" s="54"/>
      <c r="V730" s="54"/>
      <c r="AC730" s="54"/>
    </row>
    <row r="731" ht="15.75" customHeight="1">
      <c r="C731" s="54"/>
      <c r="U731" s="54"/>
      <c r="V731" s="54"/>
      <c r="AC731" s="54"/>
    </row>
    <row r="732" ht="15.75" customHeight="1">
      <c r="C732" s="54"/>
      <c r="U732" s="54"/>
      <c r="V732" s="54"/>
      <c r="AC732" s="54"/>
    </row>
    <row r="733" ht="15.75" customHeight="1">
      <c r="C733" s="54"/>
      <c r="U733" s="54"/>
      <c r="V733" s="54"/>
      <c r="AC733" s="54"/>
    </row>
    <row r="734" ht="15.75" customHeight="1">
      <c r="C734" s="54"/>
      <c r="U734" s="54"/>
      <c r="V734" s="54"/>
      <c r="AC734" s="54"/>
    </row>
    <row r="735" ht="15.75" customHeight="1">
      <c r="C735" s="54"/>
      <c r="U735" s="54"/>
      <c r="V735" s="54"/>
      <c r="AC735" s="54"/>
    </row>
    <row r="736" ht="15.75" customHeight="1">
      <c r="C736" s="54"/>
      <c r="U736" s="54"/>
      <c r="V736" s="54"/>
      <c r="AC736" s="54"/>
    </row>
    <row r="737" ht="15.75" customHeight="1">
      <c r="C737" s="54"/>
      <c r="U737" s="54"/>
      <c r="V737" s="54"/>
      <c r="AC737" s="54"/>
    </row>
    <row r="738" ht="15.75" customHeight="1">
      <c r="C738" s="54"/>
      <c r="U738" s="54"/>
      <c r="V738" s="54"/>
      <c r="AC738" s="54"/>
    </row>
    <row r="739" ht="15.75" customHeight="1">
      <c r="C739" s="54"/>
      <c r="U739" s="54"/>
      <c r="V739" s="54"/>
      <c r="AC739" s="54"/>
    </row>
    <row r="740" ht="15.75" customHeight="1">
      <c r="C740" s="54"/>
      <c r="U740" s="54"/>
      <c r="V740" s="54"/>
      <c r="AC740" s="54"/>
    </row>
    <row r="741" ht="15.75" customHeight="1">
      <c r="C741" s="54"/>
      <c r="U741" s="54"/>
      <c r="V741" s="54"/>
      <c r="AC741" s="54"/>
    </row>
    <row r="742" ht="15.75" customHeight="1">
      <c r="C742" s="54"/>
      <c r="U742" s="54"/>
      <c r="V742" s="54"/>
      <c r="AC742" s="54"/>
    </row>
    <row r="743" ht="15.75" customHeight="1">
      <c r="C743" s="54"/>
      <c r="U743" s="54"/>
      <c r="V743" s="54"/>
      <c r="AC743" s="54"/>
    </row>
    <row r="744" ht="15.75" customHeight="1">
      <c r="C744" s="54"/>
      <c r="U744" s="54"/>
      <c r="V744" s="54"/>
      <c r="AC744" s="54"/>
    </row>
    <row r="745" ht="15.75" customHeight="1">
      <c r="C745" s="54"/>
      <c r="U745" s="54"/>
      <c r="V745" s="54"/>
      <c r="AC745" s="54"/>
    </row>
    <row r="746" ht="15.75" customHeight="1">
      <c r="C746" s="54"/>
      <c r="U746" s="54"/>
      <c r="V746" s="54"/>
      <c r="AC746" s="54"/>
    </row>
    <row r="747" ht="15.75" customHeight="1">
      <c r="C747" s="54"/>
      <c r="U747" s="54"/>
      <c r="V747" s="54"/>
      <c r="AC747" s="54"/>
    </row>
    <row r="748" ht="15.75" customHeight="1">
      <c r="C748" s="54"/>
      <c r="U748" s="54"/>
      <c r="V748" s="54"/>
      <c r="AC748" s="54"/>
    </row>
    <row r="749" ht="15.75" customHeight="1">
      <c r="C749" s="54"/>
      <c r="U749" s="54"/>
      <c r="V749" s="54"/>
      <c r="AC749" s="54"/>
    </row>
    <row r="750" ht="15.75" customHeight="1">
      <c r="C750" s="54"/>
      <c r="U750" s="54"/>
      <c r="V750" s="54"/>
      <c r="AC750" s="54"/>
    </row>
    <row r="751" ht="15.75" customHeight="1">
      <c r="C751" s="54"/>
      <c r="U751" s="54"/>
      <c r="V751" s="54"/>
      <c r="AC751" s="54"/>
    </row>
    <row r="752" ht="15.75" customHeight="1">
      <c r="C752" s="54"/>
      <c r="U752" s="54"/>
      <c r="V752" s="54"/>
      <c r="AC752" s="54"/>
    </row>
    <row r="753" ht="15.75" customHeight="1">
      <c r="C753" s="54"/>
      <c r="U753" s="54"/>
      <c r="V753" s="54"/>
      <c r="AC753" s="54"/>
    </row>
    <row r="754" ht="15.75" customHeight="1">
      <c r="C754" s="54"/>
      <c r="U754" s="54"/>
      <c r="V754" s="54"/>
      <c r="AC754" s="54"/>
    </row>
    <row r="755" ht="15.75" customHeight="1">
      <c r="C755" s="54"/>
      <c r="U755" s="54"/>
      <c r="V755" s="54"/>
      <c r="AC755" s="54"/>
    </row>
    <row r="756" ht="15.75" customHeight="1">
      <c r="C756" s="54"/>
      <c r="U756" s="54"/>
      <c r="V756" s="54"/>
      <c r="AC756" s="54"/>
    </row>
    <row r="757" ht="15.75" customHeight="1">
      <c r="C757" s="54"/>
      <c r="U757" s="54"/>
      <c r="V757" s="54"/>
      <c r="AC757" s="54"/>
    </row>
    <row r="758" ht="15.75" customHeight="1">
      <c r="C758" s="54"/>
      <c r="U758" s="54"/>
      <c r="V758" s="54"/>
      <c r="AC758" s="54"/>
    </row>
    <row r="759" ht="15.75" customHeight="1">
      <c r="C759" s="54"/>
      <c r="U759" s="54"/>
      <c r="V759" s="54"/>
      <c r="AC759" s="54"/>
    </row>
    <row r="760" ht="15.75" customHeight="1">
      <c r="C760" s="54"/>
      <c r="U760" s="54"/>
      <c r="V760" s="54"/>
      <c r="AC760" s="54"/>
    </row>
    <row r="761" ht="15.75" customHeight="1">
      <c r="C761" s="54"/>
      <c r="U761" s="54"/>
      <c r="V761" s="54"/>
      <c r="AC761" s="54"/>
    </row>
    <row r="762" ht="15.75" customHeight="1">
      <c r="C762" s="54"/>
      <c r="U762" s="54"/>
      <c r="V762" s="54"/>
      <c r="AC762" s="54"/>
    </row>
    <row r="763" ht="15.75" customHeight="1">
      <c r="C763" s="54"/>
      <c r="U763" s="54"/>
      <c r="V763" s="54"/>
      <c r="AC763" s="54"/>
    </row>
    <row r="764" ht="15.75" customHeight="1">
      <c r="C764" s="54"/>
      <c r="U764" s="54"/>
      <c r="V764" s="54"/>
      <c r="AC764" s="54"/>
    </row>
    <row r="765" ht="15.75" customHeight="1">
      <c r="C765" s="54"/>
      <c r="U765" s="54"/>
      <c r="V765" s="54"/>
      <c r="AC765" s="54"/>
    </row>
    <row r="766" ht="15.75" customHeight="1">
      <c r="C766" s="54"/>
      <c r="U766" s="54"/>
      <c r="V766" s="54"/>
      <c r="AC766" s="54"/>
    </row>
    <row r="767" ht="15.75" customHeight="1">
      <c r="C767" s="54"/>
      <c r="U767" s="54"/>
      <c r="V767" s="54"/>
      <c r="AC767" s="54"/>
    </row>
    <row r="768" ht="15.75" customHeight="1">
      <c r="C768" s="54"/>
      <c r="U768" s="54"/>
      <c r="V768" s="54"/>
      <c r="AC768" s="54"/>
    </row>
    <row r="769" ht="15.75" customHeight="1">
      <c r="C769" s="54"/>
      <c r="U769" s="54"/>
      <c r="V769" s="54"/>
      <c r="AC769" s="54"/>
    </row>
    <row r="770" ht="15.75" customHeight="1">
      <c r="C770" s="54"/>
      <c r="U770" s="54"/>
      <c r="V770" s="54"/>
      <c r="AC770" s="54"/>
    </row>
    <row r="771" ht="15.75" customHeight="1">
      <c r="C771" s="54"/>
      <c r="U771" s="54"/>
      <c r="V771" s="54"/>
      <c r="AC771" s="54"/>
    </row>
    <row r="772" ht="15.75" customHeight="1">
      <c r="C772" s="54"/>
      <c r="U772" s="54"/>
      <c r="V772" s="54"/>
      <c r="AC772" s="54"/>
    </row>
    <row r="773" ht="15.75" customHeight="1">
      <c r="C773" s="54"/>
      <c r="U773" s="54"/>
      <c r="V773" s="54"/>
      <c r="AC773" s="54"/>
    </row>
    <row r="774" ht="15.75" customHeight="1">
      <c r="C774" s="54"/>
      <c r="U774" s="54"/>
      <c r="V774" s="54"/>
      <c r="AC774" s="54"/>
    </row>
    <row r="775" ht="15.75" customHeight="1">
      <c r="C775" s="54"/>
      <c r="U775" s="54"/>
      <c r="V775" s="54"/>
      <c r="AC775" s="54"/>
    </row>
    <row r="776" ht="15.75" customHeight="1">
      <c r="C776" s="54"/>
      <c r="U776" s="54"/>
      <c r="V776" s="54"/>
      <c r="AC776" s="54"/>
    </row>
    <row r="777" ht="15.75" customHeight="1">
      <c r="C777" s="54"/>
      <c r="U777" s="54"/>
      <c r="V777" s="54"/>
      <c r="AC777" s="54"/>
    </row>
    <row r="778" ht="15.75" customHeight="1">
      <c r="C778" s="54"/>
      <c r="U778" s="54"/>
      <c r="V778" s="54"/>
      <c r="AC778" s="54"/>
    </row>
    <row r="779" ht="15.75" customHeight="1">
      <c r="C779" s="54"/>
      <c r="U779" s="54"/>
      <c r="V779" s="54"/>
      <c r="AC779" s="54"/>
    </row>
    <row r="780" ht="15.75" customHeight="1">
      <c r="C780" s="54"/>
      <c r="U780" s="54"/>
      <c r="V780" s="54"/>
      <c r="AC780" s="54"/>
    </row>
    <row r="781" ht="15.75" customHeight="1">
      <c r="C781" s="54"/>
      <c r="U781" s="54"/>
      <c r="V781" s="54"/>
      <c r="AC781" s="54"/>
    </row>
    <row r="782" ht="15.75" customHeight="1">
      <c r="C782" s="54"/>
      <c r="U782" s="54"/>
      <c r="V782" s="54"/>
      <c r="AC782" s="54"/>
    </row>
    <row r="783" ht="15.75" customHeight="1">
      <c r="C783" s="54"/>
      <c r="U783" s="54"/>
      <c r="V783" s="54"/>
      <c r="AC783" s="54"/>
    </row>
    <row r="784" ht="15.75" customHeight="1">
      <c r="C784" s="54"/>
      <c r="U784" s="54"/>
      <c r="V784" s="54"/>
      <c r="AC784" s="54"/>
    </row>
    <row r="785" ht="15.75" customHeight="1">
      <c r="C785" s="54"/>
      <c r="U785" s="54"/>
      <c r="V785" s="54"/>
      <c r="AC785" s="54"/>
    </row>
    <row r="786" ht="15.75" customHeight="1">
      <c r="C786" s="54"/>
      <c r="U786" s="54"/>
      <c r="V786" s="54"/>
      <c r="AC786" s="54"/>
    </row>
    <row r="787" ht="15.75" customHeight="1">
      <c r="C787" s="54"/>
      <c r="U787" s="54"/>
      <c r="V787" s="54"/>
      <c r="AC787" s="54"/>
    </row>
    <row r="788" ht="15.75" customHeight="1">
      <c r="C788" s="54"/>
      <c r="U788" s="54"/>
      <c r="V788" s="54"/>
      <c r="AC788" s="54"/>
    </row>
    <row r="789" ht="15.75" customHeight="1">
      <c r="C789" s="54"/>
      <c r="U789" s="54"/>
      <c r="V789" s="54"/>
      <c r="AC789" s="54"/>
    </row>
    <row r="790" ht="15.75" customHeight="1">
      <c r="C790" s="54"/>
      <c r="U790" s="54"/>
      <c r="V790" s="54"/>
      <c r="AC790" s="54"/>
    </row>
    <row r="791" ht="15.75" customHeight="1">
      <c r="C791" s="54"/>
      <c r="U791" s="54"/>
      <c r="V791" s="54"/>
      <c r="AC791" s="54"/>
    </row>
    <row r="792" ht="15.75" customHeight="1">
      <c r="C792" s="54"/>
      <c r="U792" s="54"/>
      <c r="V792" s="54"/>
      <c r="AC792" s="54"/>
    </row>
    <row r="793" ht="15.75" customHeight="1">
      <c r="C793" s="54"/>
      <c r="U793" s="54"/>
      <c r="V793" s="54"/>
      <c r="AC793" s="54"/>
    </row>
    <row r="794" ht="15.75" customHeight="1">
      <c r="C794" s="54"/>
      <c r="U794" s="54"/>
      <c r="V794" s="54"/>
      <c r="AC794" s="54"/>
    </row>
    <row r="795" ht="15.75" customHeight="1">
      <c r="C795" s="54"/>
      <c r="U795" s="54"/>
      <c r="V795" s="54"/>
      <c r="AC795" s="54"/>
    </row>
    <row r="796" ht="15.75" customHeight="1">
      <c r="C796" s="54"/>
      <c r="U796" s="54"/>
      <c r="V796" s="54"/>
      <c r="AC796" s="54"/>
    </row>
    <row r="797" ht="15.75" customHeight="1">
      <c r="C797" s="54"/>
      <c r="U797" s="54"/>
      <c r="V797" s="54"/>
      <c r="AC797" s="54"/>
    </row>
    <row r="798" ht="15.75" customHeight="1">
      <c r="C798" s="54"/>
      <c r="U798" s="54"/>
      <c r="V798" s="54"/>
      <c r="AC798" s="54"/>
    </row>
    <row r="799" ht="15.75" customHeight="1">
      <c r="C799" s="54"/>
      <c r="U799" s="54"/>
      <c r="V799" s="54"/>
      <c r="AC799" s="54"/>
    </row>
    <row r="800" ht="15.75" customHeight="1">
      <c r="C800" s="54"/>
      <c r="U800" s="54"/>
      <c r="V800" s="54"/>
      <c r="AC800" s="54"/>
    </row>
    <row r="801" ht="15.75" customHeight="1">
      <c r="C801" s="54"/>
      <c r="U801" s="54"/>
      <c r="V801" s="54"/>
      <c r="AC801" s="54"/>
    </row>
    <row r="802" ht="15.75" customHeight="1">
      <c r="C802" s="54"/>
      <c r="U802" s="54"/>
      <c r="V802" s="54"/>
      <c r="AC802" s="54"/>
    </row>
    <row r="803" ht="15.75" customHeight="1">
      <c r="C803" s="54"/>
      <c r="U803" s="54"/>
      <c r="V803" s="54"/>
      <c r="AC803" s="54"/>
    </row>
    <row r="804" ht="15.75" customHeight="1">
      <c r="C804" s="54"/>
      <c r="U804" s="54"/>
      <c r="V804" s="54"/>
      <c r="AC804" s="54"/>
    </row>
    <row r="805" ht="15.75" customHeight="1">
      <c r="C805" s="54"/>
      <c r="U805" s="54"/>
      <c r="V805" s="54"/>
      <c r="AC805" s="54"/>
    </row>
    <row r="806" ht="15.75" customHeight="1">
      <c r="C806" s="54"/>
      <c r="U806" s="54"/>
      <c r="V806" s="54"/>
      <c r="AC806" s="54"/>
    </row>
    <row r="807" ht="15.75" customHeight="1">
      <c r="C807" s="54"/>
      <c r="U807" s="54"/>
      <c r="V807" s="54"/>
      <c r="AC807" s="54"/>
    </row>
    <row r="808" ht="15.75" customHeight="1">
      <c r="C808" s="54"/>
      <c r="U808" s="54"/>
      <c r="V808" s="54"/>
      <c r="AC808" s="54"/>
    </row>
    <row r="809" ht="15.75" customHeight="1">
      <c r="C809" s="54"/>
      <c r="U809" s="54"/>
      <c r="V809" s="54"/>
      <c r="AC809" s="54"/>
    </row>
    <row r="810" ht="15.75" customHeight="1">
      <c r="C810" s="54"/>
      <c r="U810" s="54"/>
      <c r="V810" s="54"/>
      <c r="AC810" s="54"/>
    </row>
    <row r="811" ht="15.75" customHeight="1">
      <c r="C811" s="54"/>
      <c r="U811" s="54"/>
      <c r="V811" s="54"/>
      <c r="AC811" s="54"/>
    </row>
    <row r="812" ht="15.75" customHeight="1">
      <c r="C812" s="54"/>
      <c r="U812" s="54"/>
      <c r="V812" s="54"/>
      <c r="AC812" s="54"/>
    </row>
    <row r="813" ht="15.75" customHeight="1">
      <c r="C813" s="54"/>
      <c r="U813" s="54"/>
      <c r="V813" s="54"/>
      <c r="AC813" s="54"/>
    </row>
    <row r="814" ht="15.75" customHeight="1">
      <c r="C814" s="54"/>
      <c r="U814" s="54"/>
      <c r="V814" s="54"/>
      <c r="AC814" s="54"/>
    </row>
    <row r="815" ht="15.75" customHeight="1">
      <c r="C815" s="54"/>
      <c r="U815" s="54"/>
      <c r="V815" s="54"/>
      <c r="AC815" s="54"/>
    </row>
    <row r="816" ht="15.75" customHeight="1">
      <c r="C816" s="54"/>
      <c r="U816" s="54"/>
      <c r="V816" s="54"/>
      <c r="AC816" s="54"/>
    </row>
    <row r="817" ht="15.75" customHeight="1">
      <c r="C817" s="54"/>
      <c r="U817" s="54"/>
      <c r="V817" s="54"/>
      <c r="AC817" s="54"/>
    </row>
    <row r="818" ht="15.75" customHeight="1">
      <c r="C818" s="54"/>
      <c r="U818" s="54"/>
      <c r="V818" s="54"/>
      <c r="AC818" s="54"/>
    </row>
    <row r="819" ht="15.75" customHeight="1">
      <c r="C819" s="54"/>
      <c r="U819" s="54"/>
      <c r="V819" s="54"/>
      <c r="AC819" s="54"/>
    </row>
    <row r="820" ht="15.75" customHeight="1">
      <c r="C820" s="54"/>
      <c r="U820" s="54"/>
      <c r="V820" s="54"/>
      <c r="AC820" s="54"/>
    </row>
    <row r="821" ht="15.75" customHeight="1">
      <c r="C821" s="54"/>
      <c r="U821" s="54"/>
      <c r="V821" s="54"/>
      <c r="AC821" s="54"/>
    </row>
    <row r="822" ht="15.75" customHeight="1">
      <c r="C822" s="54"/>
      <c r="U822" s="54"/>
      <c r="V822" s="54"/>
      <c r="AC822" s="54"/>
    </row>
    <row r="823" ht="15.75" customHeight="1">
      <c r="C823" s="54"/>
      <c r="U823" s="54"/>
      <c r="V823" s="54"/>
      <c r="AC823" s="54"/>
    </row>
    <row r="824" ht="15.75" customHeight="1">
      <c r="C824" s="54"/>
      <c r="U824" s="54"/>
      <c r="V824" s="54"/>
      <c r="AC824" s="54"/>
    </row>
    <row r="825" ht="15.75" customHeight="1">
      <c r="C825" s="54"/>
      <c r="U825" s="54"/>
      <c r="V825" s="54"/>
      <c r="AC825" s="54"/>
    </row>
    <row r="826" ht="15.75" customHeight="1">
      <c r="C826" s="54"/>
      <c r="U826" s="54"/>
      <c r="V826" s="54"/>
      <c r="AC826" s="54"/>
    </row>
    <row r="827" ht="15.75" customHeight="1">
      <c r="C827" s="54"/>
      <c r="U827" s="54"/>
      <c r="V827" s="54"/>
      <c r="AC827" s="54"/>
    </row>
    <row r="828" ht="15.75" customHeight="1">
      <c r="C828" s="54"/>
      <c r="U828" s="54"/>
      <c r="V828" s="54"/>
      <c r="AC828" s="54"/>
    </row>
    <row r="829" ht="15.75" customHeight="1">
      <c r="C829" s="54"/>
      <c r="U829" s="54"/>
      <c r="V829" s="54"/>
      <c r="AC829" s="54"/>
    </row>
    <row r="830" ht="15.75" customHeight="1">
      <c r="C830" s="54"/>
      <c r="U830" s="54"/>
      <c r="V830" s="54"/>
      <c r="AC830" s="54"/>
    </row>
    <row r="831" ht="15.75" customHeight="1">
      <c r="C831" s="54"/>
      <c r="U831" s="54"/>
      <c r="V831" s="54"/>
      <c r="AC831" s="54"/>
    </row>
    <row r="832" ht="15.75" customHeight="1">
      <c r="C832" s="54"/>
      <c r="U832" s="54"/>
      <c r="V832" s="54"/>
      <c r="AC832" s="54"/>
    </row>
    <row r="833" ht="15.75" customHeight="1">
      <c r="C833" s="54"/>
      <c r="U833" s="54"/>
      <c r="V833" s="54"/>
      <c r="AC833" s="54"/>
    </row>
    <row r="834" ht="15.75" customHeight="1">
      <c r="C834" s="54"/>
      <c r="U834" s="54"/>
      <c r="V834" s="54"/>
      <c r="AC834" s="54"/>
    </row>
    <row r="835" ht="15.75" customHeight="1">
      <c r="C835" s="54"/>
      <c r="U835" s="54"/>
      <c r="V835" s="54"/>
      <c r="AC835" s="54"/>
    </row>
    <row r="836" ht="15.75" customHeight="1">
      <c r="C836" s="54"/>
      <c r="U836" s="54"/>
      <c r="V836" s="54"/>
      <c r="AC836" s="54"/>
    </row>
    <row r="837" ht="15.75" customHeight="1">
      <c r="C837" s="54"/>
      <c r="U837" s="54"/>
      <c r="V837" s="54"/>
      <c r="AC837" s="54"/>
    </row>
    <row r="838" ht="15.75" customHeight="1">
      <c r="C838" s="54"/>
      <c r="U838" s="54"/>
      <c r="V838" s="54"/>
      <c r="AC838" s="54"/>
    </row>
    <row r="839" ht="15.75" customHeight="1">
      <c r="C839" s="54"/>
      <c r="U839" s="54"/>
      <c r="V839" s="54"/>
      <c r="AC839" s="54"/>
    </row>
    <row r="840" ht="15.75" customHeight="1">
      <c r="C840" s="54"/>
      <c r="U840" s="54"/>
      <c r="V840" s="54"/>
      <c r="AC840" s="54"/>
    </row>
    <row r="841" ht="15.75" customHeight="1">
      <c r="C841" s="54"/>
      <c r="U841" s="54"/>
      <c r="V841" s="54"/>
      <c r="AC841" s="54"/>
    </row>
    <row r="842" ht="15.75" customHeight="1">
      <c r="C842" s="54"/>
      <c r="U842" s="54"/>
      <c r="V842" s="54"/>
      <c r="AC842" s="54"/>
    </row>
    <row r="843" ht="15.75" customHeight="1">
      <c r="C843" s="54"/>
      <c r="U843" s="54"/>
      <c r="V843" s="54"/>
      <c r="AC843" s="54"/>
    </row>
    <row r="844" ht="15.75" customHeight="1">
      <c r="C844" s="54"/>
      <c r="U844" s="54"/>
      <c r="V844" s="54"/>
      <c r="AC844" s="54"/>
    </row>
    <row r="845" ht="15.75" customHeight="1">
      <c r="C845" s="54"/>
      <c r="U845" s="54"/>
      <c r="V845" s="54"/>
      <c r="AC845" s="54"/>
    </row>
    <row r="846" ht="15.75" customHeight="1">
      <c r="C846" s="54"/>
      <c r="U846" s="54"/>
      <c r="V846" s="54"/>
      <c r="AC846" s="54"/>
    </row>
    <row r="847" ht="15.75" customHeight="1">
      <c r="C847" s="54"/>
      <c r="U847" s="54"/>
      <c r="V847" s="54"/>
      <c r="AC847" s="54"/>
    </row>
    <row r="848" ht="15.75" customHeight="1">
      <c r="C848" s="54"/>
      <c r="U848" s="54"/>
      <c r="V848" s="54"/>
      <c r="AC848" s="54"/>
    </row>
    <row r="849" ht="15.75" customHeight="1">
      <c r="C849" s="54"/>
      <c r="U849" s="54"/>
      <c r="V849" s="54"/>
      <c r="AC849" s="54"/>
    </row>
    <row r="850" ht="15.75" customHeight="1">
      <c r="C850" s="54"/>
      <c r="U850" s="54"/>
      <c r="V850" s="54"/>
      <c r="AC850" s="54"/>
    </row>
    <row r="851" ht="15.75" customHeight="1">
      <c r="C851" s="54"/>
      <c r="U851" s="54"/>
      <c r="V851" s="54"/>
      <c r="AC851" s="54"/>
    </row>
    <row r="852" ht="15.75" customHeight="1">
      <c r="C852" s="54"/>
      <c r="U852" s="54"/>
      <c r="V852" s="54"/>
      <c r="AC852" s="54"/>
    </row>
    <row r="853" ht="15.75" customHeight="1">
      <c r="C853" s="54"/>
      <c r="U853" s="54"/>
      <c r="V853" s="54"/>
      <c r="AC853" s="54"/>
    </row>
    <row r="854" ht="15.75" customHeight="1">
      <c r="C854" s="54"/>
      <c r="U854" s="54"/>
      <c r="V854" s="54"/>
      <c r="AC854" s="54"/>
    </row>
    <row r="855" ht="15.75" customHeight="1">
      <c r="C855" s="54"/>
      <c r="U855" s="54"/>
      <c r="V855" s="54"/>
      <c r="AC855" s="54"/>
    </row>
    <row r="856" ht="15.75" customHeight="1">
      <c r="C856" s="54"/>
      <c r="U856" s="54"/>
      <c r="V856" s="54"/>
      <c r="AC856" s="54"/>
    </row>
    <row r="857" ht="15.75" customHeight="1">
      <c r="C857" s="54"/>
      <c r="U857" s="54"/>
      <c r="V857" s="54"/>
      <c r="AC857" s="54"/>
    </row>
    <row r="858" ht="15.75" customHeight="1">
      <c r="C858" s="54"/>
      <c r="U858" s="54"/>
      <c r="V858" s="54"/>
      <c r="AC858" s="54"/>
    </row>
    <row r="859" ht="15.75" customHeight="1">
      <c r="C859" s="54"/>
      <c r="U859" s="54"/>
      <c r="V859" s="54"/>
      <c r="AC859" s="54"/>
    </row>
    <row r="860" ht="15.75" customHeight="1">
      <c r="C860" s="54"/>
      <c r="U860" s="54"/>
      <c r="V860" s="54"/>
      <c r="AC860" s="54"/>
    </row>
    <row r="861" ht="15.75" customHeight="1">
      <c r="C861" s="54"/>
      <c r="U861" s="54"/>
      <c r="V861" s="54"/>
      <c r="AC861" s="54"/>
    </row>
    <row r="862" ht="15.75" customHeight="1">
      <c r="C862" s="54"/>
      <c r="U862" s="54"/>
      <c r="V862" s="54"/>
      <c r="AC862" s="54"/>
    </row>
    <row r="863" ht="15.75" customHeight="1">
      <c r="C863" s="54"/>
      <c r="U863" s="54"/>
      <c r="V863" s="54"/>
      <c r="AC863" s="54"/>
    </row>
    <row r="864" ht="15.75" customHeight="1">
      <c r="C864" s="54"/>
      <c r="U864" s="54"/>
      <c r="V864" s="54"/>
      <c r="AC864" s="54"/>
    </row>
    <row r="865" ht="15.75" customHeight="1">
      <c r="C865" s="54"/>
      <c r="U865" s="54"/>
      <c r="V865" s="54"/>
      <c r="AC865" s="54"/>
    </row>
    <row r="866" ht="15.75" customHeight="1">
      <c r="C866" s="54"/>
      <c r="U866" s="54"/>
      <c r="V866" s="54"/>
      <c r="AC866" s="54"/>
    </row>
    <row r="867" ht="15.75" customHeight="1">
      <c r="C867" s="54"/>
      <c r="U867" s="54"/>
      <c r="V867" s="54"/>
      <c r="AC867" s="54"/>
    </row>
    <row r="868" ht="15.75" customHeight="1">
      <c r="C868" s="54"/>
      <c r="U868" s="54"/>
      <c r="V868" s="54"/>
      <c r="AC868" s="54"/>
    </row>
    <row r="869" ht="15.75" customHeight="1">
      <c r="C869" s="54"/>
      <c r="U869" s="54"/>
      <c r="V869" s="54"/>
      <c r="AC869" s="54"/>
    </row>
    <row r="870" ht="15.75" customHeight="1">
      <c r="C870" s="54"/>
      <c r="U870" s="54"/>
      <c r="V870" s="54"/>
      <c r="AC870" s="54"/>
    </row>
    <row r="871" ht="15.75" customHeight="1">
      <c r="C871" s="54"/>
      <c r="U871" s="54"/>
      <c r="V871" s="54"/>
      <c r="AC871" s="54"/>
    </row>
    <row r="872" ht="15.75" customHeight="1">
      <c r="C872" s="54"/>
      <c r="U872" s="54"/>
      <c r="V872" s="54"/>
      <c r="AC872" s="54"/>
    </row>
    <row r="873" ht="15.75" customHeight="1">
      <c r="C873" s="54"/>
      <c r="U873" s="54"/>
      <c r="V873" s="54"/>
      <c r="AC873" s="54"/>
    </row>
    <row r="874" ht="15.75" customHeight="1">
      <c r="C874" s="54"/>
      <c r="U874" s="54"/>
      <c r="V874" s="54"/>
      <c r="AC874" s="54"/>
    </row>
    <row r="875" ht="15.75" customHeight="1">
      <c r="C875" s="54"/>
      <c r="U875" s="54"/>
      <c r="V875" s="54"/>
      <c r="AC875" s="54"/>
    </row>
    <row r="876" ht="15.75" customHeight="1">
      <c r="C876" s="54"/>
      <c r="U876" s="54"/>
      <c r="V876" s="54"/>
      <c r="AC876" s="54"/>
    </row>
    <row r="877" ht="15.75" customHeight="1">
      <c r="C877" s="54"/>
      <c r="U877" s="54"/>
      <c r="V877" s="54"/>
      <c r="AC877" s="54"/>
    </row>
    <row r="878" ht="15.75" customHeight="1">
      <c r="C878" s="54"/>
      <c r="U878" s="54"/>
      <c r="V878" s="54"/>
      <c r="AC878" s="54"/>
    </row>
    <row r="879" ht="15.75" customHeight="1">
      <c r="C879" s="54"/>
      <c r="U879" s="54"/>
      <c r="V879" s="54"/>
      <c r="AC879" s="54"/>
    </row>
    <row r="880" ht="15.75" customHeight="1">
      <c r="C880" s="54"/>
      <c r="U880" s="54"/>
      <c r="V880" s="54"/>
      <c r="AC880" s="54"/>
    </row>
    <row r="881" ht="15.75" customHeight="1">
      <c r="C881" s="54"/>
      <c r="U881" s="54"/>
      <c r="V881" s="54"/>
      <c r="AC881" s="54"/>
    </row>
    <row r="882" ht="15.75" customHeight="1">
      <c r="C882" s="54"/>
      <c r="U882" s="54"/>
      <c r="V882" s="54"/>
      <c r="AC882" s="54"/>
    </row>
    <row r="883" ht="15.75" customHeight="1">
      <c r="C883" s="54"/>
      <c r="U883" s="54"/>
      <c r="V883" s="54"/>
      <c r="AC883" s="54"/>
    </row>
    <row r="884" ht="15.75" customHeight="1">
      <c r="C884" s="54"/>
      <c r="U884" s="54"/>
      <c r="V884" s="54"/>
      <c r="AC884" s="54"/>
    </row>
    <row r="885" ht="15.75" customHeight="1">
      <c r="C885" s="54"/>
      <c r="U885" s="54"/>
      <c r="V885" s="54"/>
      <c r="AC885" s="54"/>
    </row>
    <row r="886" ht="15.75" customHeight="1">
      <c r="C886" s="54"/>
      <c r="U886" s="54"/>
      <c r="V886" s="54"/>
      <c r="AC886" s="54"/>
    </row>
    <row r="887" ht="15.75" customHeight="1">
      <c r="C887" s="54"/>
      <c r="U887" s="54"/>
      <c r="V887" s="54"/>
      <c r="AC887" s="54"/>
    </row>
    <row r="888" ht="15.75" customHeight="1">
      <c r="C888" s="54"/>
      <c r="U888" s="54"/>
      <c r="V888" s="54"/>
      <c r="AC888" s="54"/>
    </row>
    <row r="889" ht="15.75" customHeight="1">
      <c r="C889" s="54"/>
      <c r="U889" s="54"/>
      <c r="V889" s="54"/>
      <c r="AC889" s="54"/>
    </row>
    <row r="890" ht="15.75" customHeight="1">
      <c r="C890" s="54"/>
      <c r="U890" s="54"/>
      <c r="V890" s="54"/>
      <c r="AC890" s="54"/>
    </row>
    <row r="891" ht="15.75" customHeight="1">
      <c r="C891" s="54"/>
      <c r="U891" s="54"/>
      <c r="V891" s="54"/>
      <c r="AC891" s="54"/>
    </row>
    <row r="892" ht="15.75" customHeight="1">
      <c r="C892" s="54"/>
      <c r="U892" s="54"/>
      <c r="V892" s="54"/>
      <c r="AC892" s="54"/>
    </row>
    <row r="893" ht="15.75" customHeight="1">
      <c r="C893" s="54"/>
      <c r="U893" s="54"/>
      <c r="V893" s="54"/>
      <c r="AC893" s="54"/>
    </row>
    <row r="894" ht="15.75" customHeight="1">
      <c r="C894" s="54"/>
      <c r="U894" s="54"/>
      <c r="V894" s="54"/>
      <c r="AC894" s="54"/>
    </row>
    <row r="895" ht="15.75" customHeight="1">
      <c r="C895" s="54"/>
      <c r="U895" s="54"/>
      <c r="V895" s="54"/>
      <c r="AC895" s="54"/>
    </row>
    <row r="896" ht="15.75" customHeight="1">
      <c r="C896" s="54"/>
      <c r="U896" s="54"/>
      <c r="V896" s="54"/>
      <c r="AC896" s="54"/>
    </row>
    <row r="897" ht="15.75" customHeight="1">
      <c r="C897" s="54"/>
      <c r="U897" s="54"/>
      <c r="V897" s="54"/>
      <c r="AC897" s="54"/>
    </row>
    <row r="898" ht="15.75" customHeight="1">
      <c r="C898" s="54"/>
      <c r="U898" s="54"/>
      <c r="V898" s="54"/>
      <c r="AC898" s="54"/>
    </row>
    <row r="899" ht="15.75" customHeight="1">
      <c r="C899" s="54"/>
      <c r="U899" s="54"/>
      <c r="V899" s="54"/>
      <c r="AC899" s="54"/>
    </row>
    <row r="900" ht="15.75" customHeight="1">
      <c r="C900" s="54"/>
      <c r="U900" s="54"/>
      <c r="V900" s="54"/>
      <c r="AC900" s="54"/>
    </row>
    <row r="901" ht="15.75" customHeight="1">
      <c r="C901" s="54"/>
      <c r="U901" s="54"/>
      <c r="V901" s="54"/>
      <c r="AC901" s="54"/>
    </row>
    <row r="902" ht="15.75" customHeight="1">
      <c r="C902" s="54"/>
      <c r="U902" s="54"/>
      <c r="V902" s="54"/>
      <c r="AC902" s="54"/>
    </row>
    <row r="903" ht="15.75" customHeight="1">
      <c r="C903" s="54"/>
      <c r="U903" s="54"/>
      <c r="V903" s="54"/>
      <c r="AC903" s="54"/>
    </row>
    <row r="904" ht="15.75" customHeight="1">
      <c r="C904" s="54"/>
      <c r="U904" s="54"/>
      <c r="V904" s="54"/>
      <c r="AC904" s="54"/>
    </row>
    <row r="905" ht="15.75" customHeight="1">
      <c r="C905" s="54"/>
      <c r="U905" s="54"/>
      <c r="V905" s="54"/>
      <c r="AC905" s="54"/>
    </row>
    <row r="906" ht="15.75" customHeight="1">
      <c r="C906" s="54"/>
      <c r="U906" s="54"/>
      <c r="V906" s="54"/>
      <c r="AC906" s="54"/>
    </row>
    <row r="907" ht="15.75" customHeight="1">
      <c r="C907" s="54"/>
      <c r="U907" s="54"/>
      <c r="V907" s="54"/>
      <c r="AC907" s="54"/>
    </row>
    <row r="908" ht="15.75" customHeight="1">
      <c r="C908" s="54"/>
      <c r="U908" s="54"/>
      <c r="V908" s="54"/>
      <c r="AC908" s="54"/>
    </row>
    <row r="909" ht="15.75" customHeight="1">
      <c r="C909" s="54"/>
      <c r="U909" s="54"/>
      <c r="V909" s="54"/>
      <c r="AC909" s="54"/>
    </row>
    <row r="910" ht="15.75" customHeight="1">
      <c r="C910" s="54"/>
      <c r="U910" s="54"/>
      <c r="V910" s="54"/>
      <c r="AC910" s="54"/>
    </row>
    <row r="911" ht="15.75" customHeight="1">
      <c r="C911" s="54"/>
      <c r="U911" s="54"/>
      <c r="V911" s="54"/>
      <c r="AC911" s="54"/>
    </row>
    <row r="912" ht="15.75" customHeight="1">
      <c r="C912" s="54"/>
      <c r="U912" s="54"/>
      <c r="V912" s="54"/>
      <c r="AC912" s="54"/>
    </row>
    <row r="913" ht="15.75" customHeight="1">
      <c r="C913" s="54"/>
      <c r="U913" s="54"/>
      <c r="V913" s="54"/>
      <c r="AC913" s="54"/>
    </row>
    <row r="914" ht="15.75" customHeight="1">
      <c r="C914" s="54"/>
      <c r="U914" s="54"/>
      <c r="V914" s="54"/>
      <c r="AC914" s="54"/>
    </row>
    <row r="915" ht="15.75" customHeight="1">
      <c r="C915" s="54"/>
      <c r="U915" s="54"/>
      <c r="V915" s="54"/>
      <c r="AC915" s="54"/>
    </row>
    <row r="916" ht="15.75" customHeight="1">
      <c r="C916" s="54"/>
      <c r="U916" s="54"/>
      <c r="V916" s="54"/>
      <c r="AC916" s="54"/>
    </row>
    <row r="917" ht="15.75" customHeight="1">
      <c r="C917" s="54"/>
      <c r="U917" s="54"/>
      <c r="V917" s="54"/>
      <c r="AC917" s="54"/>
    </row>
    <row r="918" ht="15.75" customHeight="1">
      <c r="C918" s="54"/>
      <c r="U918" s="54"/>
      <c r="V918" s="54"/>
      <c r="AC918" s="54"/>
    </row>
    <row r="919" ht="15.75" customHeight="1">
      <c r="C919" s="54"/>
      <c r="U919" s="54"/>
      <c r="V919" s="54"/>
      <c r="AC919" s="54"/>
    </row>
    <row r="920" ht="15.75" customHeight="1">
      <c r="C920" s="54"/>
      <c r="U920" s="54"/>
      <c r="V920" s="54"/>
      <c r="AC920" s="54"/>
    </row>
    <row r="921" ht="15.75" customHeight="1">
      <c r="C921" s="54"/>
      <c r="U921" s="54"/>
      <c r="V921" s="54"/>
      <c r="AC921" s="54"/>
    </row>
    <row r="922" ht="15.75" customHeight="1">
      <c r="C922" s="54"/>
      <c r="U922" s="54"/>
      <c r="V922" s="54"/>
      <c r="AC922" s="54"/>
    </row>
    <row r="923" ht="15.75" customHeight="1">
      <c r="C923" s="54"/>
      <c r="U923" s="54"/>
      <c r="V923" s="54"/>
      <c r="AC923" s="54"/>
    </row>
    <row r="924" ht="15.75" customHeight="1">
      <c r="C924" s="54"/>
      <c r="U924" s="54"/>
      <c r="V924" s="54"/>
      <c r="AC924" s="54"/>
    </row>
    <row r="925" ht="15.75" customHeight="1">
      <c r="C925" s="54"/>
      <c r="U925" s="54"/>
      <c r="V925" s="54"/>
      <c r="AC925" s="54"/>
    </row>
    <row r="926" ht="15.75" customHeight="1">
      <c r="C926" s="54"/>
      <c r="U926" s="54"/>
      <c r="V926" s="54"/>
      <c r="AC926" s="54"/>
    </row>
    <row r="927" ht="15.75" customHeight="1">
      <c r="C927" s="54"/>
      <c r="U927" s="54"/>
      <c r="V927" s="54"/>
      <c r="AC927" s="54"/>
    </row>
    <row r="928" ht="15.75" customHeight="1">
      <c r="C928" s="54"/>
      <c r="U928" s="54"/>
      <c r="V928" s="54"/>
      <c r="AC928" s="54"/>
    </row>
    <row r="929" ht="15.75" customHeight="1">
      <c r="C929" s="54"/>
      <c r="U929" s="54"/>
      <c r="V929" s="54"/>
      <c r="AC929" s="54"/>
    </row>
    <row r="930" ht="15.75" customHeight="1">
      <c r="C930" s="54"/>
      <c r="U930" s="54"/>
      <c r="V930" s="54"/>
      <c r="AC930" s="54"/>
    </row>
    <row r="931" ht="15.75" customHeight="1">
      <c r="C931" s="54"/>
      <c r="U931" s="54"/>
      <c r="V931" s="54"/>
      <c r="AC931" s="54"/>
    </row>
    <row r="932" ht="15.75" customHeight="1">
      <c r="C932" s="54"/>
      <c r="U932" s="54"/>
      <c r="V932" s="54"/>
      <c r="AC932" s="54"/>
    </row>
    <row r="933" ht="15.75" customHeight="1">
      <c r="C933" s="54"/>
      <c r="U933" s="54"/>
      <c r="V933" s="54"/>
      <c r="AC933" s="54"/>
    </row>
    <row r="934" ht="15.75" customHeight="1">
      <c r="C934" s="54"/>
      <c r="U934" s="54"/>
      <c r="V934" s="54"/>
      <c r="AC934" s="54"/>
    </row>
    <row r="935" ht="15.75" customHeight="1">
      <c r="C935" s="54"/>
      <c r="U935" s="54"/>
      <c r="V935" s="54"/>
      <c r="AC935" s="54"/>
    </row>
    <row r="936" ht="15.75" customHeight="1">
      <c r="C936" s="54"/>
      <c r="U936" s="54"/>
      <c r="V936" s="54"/>
      <c r="AC936" s="54"/>
    </row>
    <row r="937" ht="15.75" customHeight="1">
      <c r="C937" s="54"/>
      <c r="U937" s="54"/>
      <c r="V937" s="54"/>
      <c r="AC937" s="54"/>
    </row>
    <row r="938" ht="15.75" customHeight="1">
      <c r="C938" s="54"/>
      <c r="U938" s="54"/>
      <c r="V938" s="54"/>
      <c r="AC938" s="54"/>
    </row>
    <row r="939" ht="15.75" customHeight="1">
      <c r="C939" s="54"/>
      <c r="U939" s="54"/>
      <c r="V939" s="54"/>
      <c r="AC939" s="54"/>
    </row>
    <row r="940" ht="15.75" customHeight="1">
      <c r="C940" s="54"/>
      <c r="U940" s="54"/>
      <c r="V940" s="54"/>
      <c r="AC940" s="54"/>
    </row>
    <row r="941" ht="15.75" customHeight="1">
      <c r="C941" s="54"/>
      <c r="U941" s="54"/>
      <c r="V941" s="54"/>
      <c r="AC941" s="54"/>
    </row>
    <row r="942" ht="15.75" customHeight="1">
      <c r="C942" s="54"/>
      <c r="U942" s="54"/>
      <c r="V942" s="54"/>
      <c r="AC942" s="54"/>
    </row>
    <row r="943" ht="15.75" customHeight="1">
      <c r="C943" s="54"/>
      <c r="U943" s="54"/>
      <c r="V943" s="54"/>
      <c r="AC943" s="54"/>
    </row>
    <row r="944" ht="15.75" customHeight="1">
      <c r="C944" s="54"/>
      <c r="U944" s="54"/>
      <c r="V944" s="54"/>
      <c r="AC944" s="54"/>
    </row>
    <row r="945" ht="15.75" customHeight="1">
      <c r="C945" s="54"/>
      <c r="U945" s="54"/>
      <c r="V945" s="54"/>
      <c r="AC945" s="54"/>
    </row>
    <row r="946" ht="15.75" customHeight="1">
      <c r="C946" s="54"/>
      <c r="U946" s="54"/>
      <c r="V946" s="54"/>
      <c r="AC946" s="54"/>
    </row>
    <row r="947" ht="15.75" customHeight="1">
      <c r="C947" s="54"/>
      <c r="U947" s="54"/>
      <c r="V947" s="54"/>
      <c r="AC947" s="54"/>
    </row>
    <row r="948" ht="15.75" customHeight="1">
      <c r="C948" s="54"/>
      <c r="U948" s="54"/>
      <c r="V948" s="54"/>
      <c r="AC948" s="54"/>
    </row>
    <row r="949" ht="15.75" customHeight="1">
      <c r="C949" s="54"/>
      <c r="U949" s="54"/>
      <c r="V949" s="54"/>
      <c r="AC949" s="54"/>
    </row>
    <row r="950" ht="15.75" customHeight="1">
      <c r="C950" s="54"/>
      <c r="U950" s="54"/>
      <c r="V950" s="54"/>
      <c r="AC950" s="54"/>
    </row>
    <row r="951" ht="15.75" customHeight="1">
      <c r="C951" s="54"/>
      <c r="U951" s="54"/>
      <c r="V951" s="54"/>
      <c r="AC951" s="54"/>
    </row>
    <row r="952" ht="15.75" customHeight="1">
      <c r="C952" s="54"/>
      <c r="U952" s="54"/>
      <c r="V952" s="54"/>
      <c r="AC952" s="54"/>
    </row>
    <row r="953" ht="15.75" customHeight="1">
      <c r="C953" s="54"/>
      <c r="U953" s="54"/>
      <c r="V953" s="54"/>
      <c r="AC953" s="54"/>
    </row>
    <row r="954" ht="15.75" customHeight="1">
      <c r="C954" s="54"/>
      <c r="U954" s="54"/>
      <c r="V954" s="54"/>
      <c r="AC954" s="54"/>
    </row>
    <row r="955" ht="15.75" customHeight="1">
      <c r="C955" s="54"/>
      <c r="U955" s="54"/>
      <c r="V955" s="54"/>
      <c r="AC955" s="54"/>
    </row>
    <row r="956" ht="15.75" customHeight="1">
      <c r="C956" s="54"/>
      <c r="U956" s="54"/>
      <c r="V956" s="54"/>
      <c r="AC956" s="54"/>
    </row>
    <row r="957" ht="15.75" customHeight="1">
      <c r="C957" s="54"/>
      <c r="U957" s="54"/>
      <c r="V957" s="54"/>
      <c r="AC957" s="54"/>
    </row>
    <row r="958" ht="15.75" customHeight="1">
      <c r="C958" s="54"/>
      <c r="U958" s="54"/>
      <c r="V958" s="54"/>
      <c r="AC958" s="54"/>
    </row>
    <row r="959" ht="15.75" customHeight="1">
      <c r="C959" s="54"/>
      <c r="U959" s="54"/>
      <c r="V959" s="54"/>
      <c r="AC959" s="54"/>
    </row>
    <row r="960" ht="15.75" customHeight="1">
      <c r="C960" s="54"/>
      <c r="U960" s="54"/>
      <c r="V960" s="54"/>
      <c r="AC960" s="54"/>
    </row>
    <row r="961" ht="15.75" customHeight="1">
      <c r="C961" s="54"/>
      <c r="U961" s="54"/>
      <c r="V961" s="54"/>
      <c r="AC961" s="54"/>
    </row>
    <row r="962" ht="15.75" customHeight="1">
      <c r="C962" s="54"/>
      <c r="U962" s="54"/>
      <c r="V962" s="54"/>
      <c r="AC962" s="54"/>
    </row>
    <row r="963" ht="15.75" customHeight="1">
      <c r="C963" s="54"/>
      <c r="U963" s="54"/>
      <c r="V963" s="54"/>
      <c r="AC963" s="54"/>
    </row>
    <row r="964" ht="15.75" customHeight="1">
      <c r="C964" s="54"/>
      <c r="U964" s="54"/>
      <c r="V964" s="54"/>
      <c r="AC964" s="54"/>
    </row>
    <row r="965" ht="15.75" customHeight="1">
      <c r="C965" s="54"/>
      <c r="U965" s="54"/>
      <c r="V965" s="54"/>
      <c r="AC965" s="54"/>
    </row>
    <row r="966" ht="15.75" customHeight="1">
      <c r="C966" s="54"/>
      <c r="U966" s="54"/>
      <c r="V966" s="54"/>
      <c r="AC966" s="54"/>
    </row>
    <row r="967" ht="15.75" customHeight="1">
      <c r="C967" s="54"/>
      <c r="U967" s="54"/>
      <c r="V967" s="54"/>
      <c r="AC967" s="54"/>
    </row>
    <row r="968" ht="15.75" customHeight="1">
      <c r="C968" s="54"/>
      <c r="U968" s="54"/>
      <c r="V968" s="54"/>
      <c r="AC968" s="54"/>
    </row>
    <row r="969" ht="15.75" customHeight="1">
      <c r="C969" s="54"/>
      <c r="U969" s="54"/>
      <c r="V969" s="54"/>
      <c r="AC969" s="54"/>
    </row>
    <row r="970" ht="15.75" customHeight="1">
      <c r="C970" s="54"/>
      <c r="U970" s="54"/>
      <c r="V970" s="54"/>
      <c r="AC970" s="54"/>
    </row>
    <row r="971" ht="15.75" customHeight="1">
      <c r="C971" s="54"/>
      <c r="U971" s="54"/>
      <c r="V971" s="54"/>
      <c r="AC971" s="54"/>
    </row>
    <row r="972" ht="15.75" customHeight="1">
      <c r="C972" s="54"/>
      <c r="U972" s="54"/>
      <c r="V972" s="54"/>
      <c r="AC972" s="54"/>
    </row>
    <row r="973" ht="15.75" customHeight="1">
      <c r="C973" s="54"/>
      <c r="U973" s="54"/>
      <c r="V973" s="54"/>
      <c r="AC973" s="54"/>
    </row>
    <row r="974" ht="15.75" customHeight="1">
      <c r="C974" s="54"/>
      <c r="U974" s="54"/>
      <c r="V974" s="54"/>
      <c r="AC974" s="54"/>
    </row>
    <row r="975" ht="15.75" customHeight="1">
      <c r="C975" s="54"/>
      <c r="U975" s="54"/>
      <c r="V975" s="54"/>
      <c r="AC975" s="54"/>
    </row>
    <row r="976" ht="15.75" customHeight="1">
      <c r="C976" s="54"/>
      <c r="U976" s="54"/>
      <c r="V976" s="54"/>
      <c r="AC976" s="54"/>
    </row>
    <row r="977" ht="15.75" customHeight="1">
      <c r="C977" s="54"/>
      <c r="U977" s="54"/>
      <c r="V977" s="54"/>
      <c r="AC977" s="54"/>
    </row>
    <row r="978" ht="15.75" customHeight="1">
      <c r="C978" s="54"/>
      <c r="U978" s="54"/>
      <c r="V978" s="54"/>
      <c r="AC978" s="54"/>
    </row>
    <row r="979" ht="15.75" customHeight="1">
      <c r="C979" s="54"/>
      <c r="U979" s="54"/>
      <c r="V979" s="54"/>
      <c r="AC979" s="54"/>
    </row>
    <row r="980" ht="15.75" customHeight="1">
      <c r="C980" s="54"/>
      <c r="U980" s="54"/>
      <c r="V980" s="54"/>
      <c r="AC980" s="54"/>
    </row>
    <row r="981" ht="15.75" customHeight="1">
      <c r="C981" s="54"/>
      <c r="U981" s="54"/>
      <c r="V981" s="54"/>
      <c r="AC981" s="54"/>
    </row>
    <row r="982" ht="15.75" customHeight="1">
      <c r="C982" s="54"/>
      <c r="U982" s="54"/>
      <c r="V982" s="54"/>
      <c r="AC982" s="54"/>
    </row>
    <row r="983" ht="15.75" customHeight="1">
      <c r="C983" s="54"/>
      <c r="U983" s="54"/>
      <c r="V983" s="54"/>
      <c r="AC983" s="54"/>
    </row>
    <row r="984" ht="15.75" customHeight="1">
      <c r="C984" s="54"/>
      <c r="U984" s="54"/>
      <c r="V984" s="54"/>
      <c r="AC984" s="54"/>
    </row>
    <row r="985" ht="15.75" customHeight="1">
      <c r="C985" s="54"/>
      <c r="U985" s="54"/>
      <c r="V985" s="54"/>
      <c r="AC985" s="54"/>
    </row>
    <row r="986" ht="15.75" customHeight="1">
      <c r="C986" s="54"/>
      <c r="U986" s="54"/>
      <c r="V986" s="54"/>
      <c r="AC986" s="54"/>
    </row>
    <row r="987" ht="15.75" customHeight="1">
      <c r="C987" s="54"/>
      <c r="U987" s="54"/>
      <c r="V987" s="54"/>
      <c r="AC987" s="54"/>
    </row>
    <row r="988" ht="15.75" customHeight="1">
      <c r="C988" s="54"/>
      <c r="U988" s="54"/>
      <c r="V988" s="54"/>
      <c r="AC988" s="54"/>
    </row>
    <row r="989" ht="15.75" customHeight="1">
      <c r="C989" s="54"/>
      <c r="U989" s="54"/>
      <c r="V989" s="54"/>
      <c r="AC989" s="54"/>
    </row>
    <row r="990" ht="15.75" customHeight="1">
      <c r="C990" s="54"/>
      <c r="U990" s="54"/>
      <c r="V990" s="54"/>
      <c r="AC990" s="54"/>
    </row>
    <row r="991" ht="15.75" customHeight="1">
      <c r="C991" s="54"/>
      <c r="U991" s="54"/>
      <c r="V991" s="54"/>
      <c r="AC991" s="54"/>
    </row>
    <row r="992" ht="15.75" customHeight="1">
      <c r="C992" s="54"/>
      <c r="U992" s="54"/>
      <c r="V992" s="54"/>
      <c r="AC992" s="54"/>
    </row>
    <row r="993" ht="15.75" customHeight="1">
      <c r="C993" s="54"/>
      <c r="U993" s="54"/>
      <c r="V993" s="54"/>
      <c r="AC993" s="54"/>
    </row>
    <row r="994" ht="15.75" customHeight="1">
      <c r="C994" s="54"/>
      <c r="U994" s="54"/>
      <c r="V994" s="54"/>
      <c r="AC994" s="54"/>
    </row>
    <row r="995" ht="15.75" customHeight="1">
      <c r="C995" s="54"/>
      <c r="U995" s="54"/>
      <c r="V995" s="54"/>
      <c r="AC995" s="54"/>
    </row>
    <row r="996" ht="15.75" customHeight="1">
      <c r="C996" s="54"/>
      <c r="U996" s="54"/>
      <c r="V996" s="54"/>
      <c r="AC996" s="54"/>
    </row>
    <row r="997" ht="15.75" customHeight="1">
      <c r="C997" s="54"/>
      <c r="U997" s="54"/>
      <c r="V997" s="54"/>
      <c r="AC997" s="54"/>
    </row>
    <row r="998" ht="15.75" customHeight="1">
      <c r="C998" s="54"/>
      <c r="U998" s="54"/>
      <c r="V998" s="54"/>
      <c r="AC998" s="54"/>
    </row>
    <row r="999" ht="15.75" customHeight="1">
      <c r="C999" s="54"/>
      <c r="U999" s="54"/>
      <c r="V999" s="54"/>
      <c r="AC999" s="54"/>
    </row>
    <row r="1000" ht="15.75" customHeight="1">
      <c r="C1000" s="54"/>
      <c r="U1000" s="54"/>
      <c r="V1000" s="54"/>
      <c r="AC1000" s="54"/>
    </row>
  </sheetData>
  <mergeCells count="12">
    <mergeCell ref="A3:A21"/>
    <mergeCell ref="A22:A37"/>
    <mergeCell ref="A38:A46"/>
    <mergeCell ref="A47:A58"/>
    <mergeCell ref="A59:A68"/>
    <mergeCell ref="G1:N1"/>
    <mergeCell ref="P1:U1"/>
    <mergeCell ref="W1:AC1"/>
    <mergeCell ref="AD1:AJ1"/>
    <mergeCell ref="AK1:AQ1"/>
    <mergeCell ref="AR1:AT1"/>
    <mergeCell ref="AU1:AW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6.88"/>
    <col customWidth="1" min="4" max="4" width="16.5"/>
    <col customWidth="1" min="5" max="5" width="17.75"/>
    <col customWidth="1" min="7" max="7" width="37.0"/>
    <col customWidth="1" min="8" max="8" width="16.25"/>
    <col customWidth="1" min="9" max="9" width="21.88"/>
    <col customWidth="1" min="10" max="10" width="23.13"/>
    <col customWidth="1" min="11" max="11" width="23.75"/>
    <col customWidth="1" min="12" max="12" width="22.38"/>
    <col customWidth="1" min="13" max="13" width="23.88"/>
    <col customWidth="1" min="14" max="14" width="25.13"/>
    <col customWidth="1" min="16" max="16" width="15.88"/>
    <col customWidth="1" min="17" max="17" width="18.13"/>
    <col customWidth="1" min="18" max="18" width="17.38"/>
    <col customWidth="1" min="19" max="19" width="24.25"/>
    <col customWidth="1" min="20" max="20" width="22.25"/>
    <col customWidth="1" min="21" max="21" width="27.0"/>
    <col customWidth="1" min="22" max="22" width="30.75"/>
    <col customWidth="1" min="23" max="23" width="17.88"/>
    <col customWidth="1" min="24" max="24" width="27.5"/>
    <col customWidth="1" min="25" max="25" width="27.75"/>
    <col customWidth="1" min="26" max="26" width="27.13"/>
    <col customWidth="1" min="27" max="27" width="26.5"/>
    <col customWidth="1" min="28" max="28" width="23.5"/>
    <col customWidth="1" min="29" max="29" width="28.88"/>
    <col customWidth="1" min="30" max="30" width="14.13"/>
    <col customWidth="1" min="31" max="31" width="22.0"/>
    <col customWidth="1" min="32" max="32" width="21.0"/>
    <col customWidth="1" min="33" max="33" width="22.63"/>
    <col customWidth="1" min="34" max="34" width="23.13"/>
    <col customWidth="1" min="35" max="35" width="21.75"/>
    <col customWidth="1" min="36" max="36" width="25.75"/>
    <col customWidth="1" min="37" max="37" width="17.13"/>
    <col customWidth="1" min="38" max="38" width="27.63"/>
    <col customWidth="1" min="39" max="39" width="26.25"/>
    <col customWidth="1" min="40" max="40" width="23.88"/>
    <col customWidth="1" min="41" max="41" width="30.63"/>
    <col customWidth="1" min="42" max="42" width="23.63"/>
    <col customWidth="1" min="43" max="43" width="27.0"/>
    <col customWidth="1" min="44" max="44" width="14.25"/>
    <col customWidth="1" min="45" max="45" width="25.25"/>
    <col customWidth="1" min="46" max="46" width="25.5"/>
    <col customWidth="1" min="48" max="48" width="24.38"/>
    <col customWidth="1" min="49" max="49" width="25.0"/>
    <col customWidth="1" min="50" max="50" width="38.63"/>
    <col customWidth="1" min="51" max="51" width="42.88"/>
    <col customWidth="1" min="52" max="52" width="30.75"/>
    <col customWidth="1" min="53" max="53" width="18.88"/>
  </cols>
  <sheetData>
    <row r="1" ht="15.75" customHeight="1">
      <c r="A1" s="34" t="s">
        <v>0</v>
      </c>
      <c r="B1" s="34" t="s">
        <v>405</v>
      </c>
      <c r="C1" s="35" t="s">
        <v>406</v>
      </c>
      <c r="D1" s="36" t="s">
        <v>3</v>
      </c>
      <c r="E1" s="36" t="s">
        <v>4</v>
      </c>
      <c r="F1" s="36" t="s">
        <v>8</v>
      </c>
      <c r="G1" s="37" t="s">
        <v>407</v>
      </c>
      <c r="H1" s="38"/>
      <c r="I1" s="38"/>
      <c r="J1" s="38"/>
      <c r="K1" s="38"/>
      <c r="L1" s="38"/>
      <c r="M1" s="38"/>
      <c r="N1" s="39"/>
      <c r="O1" s="40" t="s">
        <v>408</v>
      </c>
      <c r="P1" s="137" t="s">
        <v>409</v>
      </c>
      <c r="Q1" s="138"/>
      <c r="R1" s="138"/>
      <c r="S1" s="138"/>
      <c r="T1" s="138"/>
      <c r="U1" s="139"/>
      <c r="V1" s="42" t="s">
        <v>410</v>
      </c>
      <c r="W1" s="41" t="s">
        <v>411</v>
      </c>
      <c r="X1" s="38"/>
      <c r="Y1" s="38"/>
      <c r="Z1" s="38"/>
      <c r="AA1" s="38"/>
      <c r="AB1" s="38"/>
      <c r="AC1" s="39"/>
      <c r="AD1" s="43" t="s">
        <v>412</v>
      </c>
      <c r="AE1" s="44"/>
      <c r="AF1" s="44"/>
      <c r="AG1" s="44"/>
      <c r="AH1" s="44"/>
      <c r="AI1" s="44"/>
      <c r="AJ1" s="45"/>
      <c r="AK1" s="46" t="s">
        <v>413</v>
      </c>
      <c r="AL1" s="44"/>
      <c r="AM1" s="44"/>
      <c r="AN1" s="44"/>
      <c r="AO1" s="44"/>
      <c r="AP1" s="44"/>
      <c r="AQ1" s="45"/>
      <c r="AR1" s="43" t="s">
        <v>414</v>
      </c>
      <c r="AS1" s="44"/>
      <c r="AT1" s="45"/>
      <c r="AU1" s="43" t="s">
        <v>415</v>
      </c>
      <c r="AV1" s="44"/>
      <c r="AW1" s="45"/>
      <c r="AX1" s="47" t="s">
        <v>416</v>
      </c>
      <c r="AY1" s="48" t="s">
        <v>417</v>
      </c>
      <c r="AZ1" s="48" t="s">
        <v>418</v>
      </c>
      <c r="BA1" s="140" t="s">
        <v>463</v>
      </c>
      <c r="BB1" s="49"/>
    </row>
    <row r="2" ht="15.75" customHeight="1">
      <c r="A2" s="33"/>
      <c r="B2" s="33"/>
      <c r="C2" s="50"/>
      <c r="D2" s="7"/>
      <c r="E2" s="7"/>
      <c r="F2" s="7"/>
      <c r="G2" s="51" t="s">
        <v>419</v>
      </c>
      <c r="H2" s="52" t="s">
        <v>420</v>
      </c>
      <c r="I2" s="53" t="s">
        <v>571</v>
      </c>
      <c r="J2" s="53" t="s">
        <v>422</v>
      </c>
      <c r="K2" s="54" t="s">
        <v>423</v>
      </c>
      <c r="L2" s="7" t="s">
        <v>424</v>
      </c>
      <c r="M2" s="55" t="s">
        <v>425</v>
      </c>
      <c r="N2" s="56" t="s">
        <v>426</v>
      </c>
      <c r="O2" s="57"/>
      <c r="P2" s="141" t="s">
        <v>427</v>
      </c>
      <c r="Q2" s="142" t="s">
        <v>428</v>
      </c>
      <c r="R2" s="142" t="s">
        <v>429</v>
      </c>
      <c r="S2" s="143" t="s">
        <v>430</v>
      </c>
      <c r="T2" s="74" t="s">
        <v>431</v>
      </c>
      <c r="U2" s="78" t="s">
        <v>432</v>
      </c>
      <c r="V2" s="61" t="s">
        <v>433</v>
      </c>
      <c r="W2" s="58" t="s">
        <v>434</v>
      </c>
      <c r="X2" s="62" t="s">
        <v>435</v>
      </c>
      <c r="Y2" s="55" t="s">
        <v>436</v>
      </c>
      <c r="Z2" s="59" t="s">
        <v>437</v>
      </c>
      <c r="AA2" s="54" t="s">
        <v>438</v>
      </c>
      <c r="AB2" s="54" t="s">
        <v>439</v>
      </c>
      <c r="AC2" s="63" t="s">
        <v>440</v>
      </c>
      <c r="AD2" s="58" t="s">
        <v>441</v>
      </c>
      <c r="AE2" s="62" t="s">
        <v>442</v>
      </c>
      <c r="AF2" s="64" t="s">
        <v>443</v>
      </c>
      <c r="AG2" s="65" t="s">
        <v>444</v>
      </c>
      <c r="AH2" s="13" t="s">
        <v>445</v>
      </c>
      <c r="AI2" s="13" t="s">
        <v>446</v>
      </c>
      <c r="AJ2" s="66" t="s">
        <v>447</v>
      </c>
      <c r="AK2" s="67" t="s">
        <v>448</v>
      </c>
      <c r="AL2" s="144" t="s">
        <v>572</v>
      </c>
      <c r="AM2" s="64" t="s">
        <v>450</v>
      </c>
      <c r="AN2" s="65" t="s">
        <v>451</v>
      </c>
      <c r="AO2" s="13" t="s">
        <v>452</v>
      </c>
      <c r="AP2" s="13" t="s">
        <v>453</v>
      </c>
      <c r="AQ2" s="66" t="s">
        <v>454</v>
      </c>
      <c r="AR2" s="67" t="s">
        <v>455</v>
      </c>
      <c r="AS2" s="64" t="s">
        <v>456</v>
      </c>
      <c r="AT2" s="66" t="s">
        <v>457</v>
      </c>
      <c r="AU2" s="67" t="s">
        <v>458</v>
      </c>
      <c r="AV2" s="64" t="s">
        <v>459</v>
      </c>
      <c r="AW2" s="66" t="s">
        <v>460</v>
      </c>
      <c r="AX2" s="68" t="s">
        <v>461</v>
      </c>
      <c r="AY2" s="68" t="s">
        <v>462</v>
      </c>
      <c r="AZ2" s="98"/>
      <c r="BA2" s="98"/>
    </row>
    <row r="3" ht="15.75" customHeight="1">
      <c r="A3" s="71" t="s">
        <v>13</v>
      </c>
      <c r="B3" s="72" t="s">
        <v>14</v>
      </c>
      <c r="C3" s="72" t="s">
        <v>91</v>
      </c>
      <c r="D3" s="74" t="s">
        <v>472</v>
      </c>
      <c r="E3" s="74" t="s">
        <v>473</v>
      </c>
      <c r="F3" s="74" t="s">
        <v>51</v>
      </c>
      <c r="G3" s="145" t="s">
        <v>573</v>
      </c>
      <c r="H3" s="76">
        <v>6.0</v>
      </c>
      <c r="I3" s="74"/>
      <c r="J3" s="74"/>
      <c r="K3" s="77"/>
      <c r="L3" s="74">
        <v>180.0</v>
      </c>
      <c r="M3" s="74">
        <v>1.0</v>
      </c>
      <c r="N3" s="74">
        <f t="shared" ref="N3:N60" si="1">(I3*M3)+(L3*M3*H3)+(J3*O3)</f>
        <v>1080</v>
      </c>
      <c r="O3" s="89">
        <v>15.0</v>
      </c>
      <c r="P3" s="127">
        <v>27.0</v>
      </c>
      <c r="Q3" s="76">
        <v>10.0</v>
      </c>
      <c r="R3" s="74">
        <v>500.0</v>
      </c>
      <c r="S3" s="74">
        <f t="shared" ref="S3:S60" si="2">Q3*R3*O3</f>
        <v>75000</v>
      </c>
      <c r="T3" s="74">
        <f t="shared" ref="T3:T60" si="3">Q3*(1+P3%)</f>
        <v>12.7</v>
      </c>
      <c r="U3" s="78">
        <f t="shared" ref="U3:U60" si="4">T3*R3</f>
        <v>6350</v>
      </c>
      <c r="V3" s="80">
        <f t="shared" ref="V3:V60" si="5">(U3*O3)-S3</f>
        <v>20250</v>
      </c>
      <c r="W3" s="122">
        <v>40.0</v>
      </c>
      <c r="X3" s="76">
        <v>500.0</v>
      </c>
      <c r="Y3" s="76">
        <v>1.2</v>
      </c>
      <c r="Z3" s="9">
        <f t="shared" ref="Z3:Z60" si="6">Y3*X3</f>
        <v>600</v>
      </c>
      <c r="AA3" s="9">
        <f t="shared" ref="AA3:AA60" si="7">X3*(1-W3%)</f>
        <v>300</v>
      </c>
      <c r="AB3" s="74">
        <f t="shared" ref="AB3:AB60" si="8"> Z3-(AA3*Y3)</f>
        <v>240</v>
      </c>
      <c r="AC3" s="81">
        <f t="shared" ref="AC3:AC60" si="9">AB3*O3</f>
        <v>3600</v>
      </c>
      <c r="AD3" s="84">
        <v>20.0</v>
      </c>
      <c r="AE3" s="76">
        <v>1000.0</v>
      </c>
      <c r="AF3" s="83">
        <v>0.5</v>
      </c>
      <c r="AG3" s="9">
        <f t="shared" ref="AG3:AG60" si="10">AF3*AE3</f>
        <v>500</v>
      </c>
      <c r="AH3" s="9">
        <f t="shared" ref="AH3:AH60" si="11">AE3*(1-AD3%)</f>
        <v>800</v>
      </c>
      <c r="AI3" s="9">
        <f t="shared" ref="AI3:AI60" si="12">AG3-(AH3*AF3)</f>
        <v>100</v>
      </c>
      <c r="AJ3" s="12">
        <f t="shared" ref="AJ3:AJ60" si="13">AI3*O3</f>
        <v>1500</v>
      </c>
      <c r="AK3" s="84">
        <v>36.0</v>
      </c>
      <c r="AL3" s="83">
        <v>3.0</v>
      </c>
      <c r="AM3" s="146">
        <v>20.0</v>
      </c>
      <c r="AN3" s="9">
        <f t="shared" ref="AN3:AN60" si="14">AM3*AL3</f>
        <v>60</v>
      </c>
      <c r="AO3" s="9">
        <f t="shared" ref="AO3:AO60" si="15">AL3*(1-AK3%)</f>
        <v>1.92</v>
      </c>
      <c r="AP3" s="9">
        <f t="shared" ref="AP3:AP60" si="16">AN3-(AO3*AM3)</f>
        <v>21.6</v>
      </c>
      <c r="AQ3" s="12">
        <f t="shared" ref="AQ3:AQ60" si="17">AP3*O3</f>
        <v>324</v>
      </c>
      <c r="AR3" s="85">
        <v>0.0</v>
      </c>
      <c r="AS3" s="83">
        <v>18000.0</v>
      </c>
      <c r="AT3" s="12">
        <f>AS3-(AS3*(1-AR3%))</f>
        <v>0</v>
      </c>
      <c r="AU3" s="123">
        <v>10.0</v>
      </c>
      <c r="AV3" s="83">
        <v>6000.0</v>
      </c>
      <c r="AW3" s="12">
        <f t="shared" ref="AW3:AW60" si="18">AV3-(AV3*(1-AU3%))</f>
        <v>600</v>
      </c>
      <c r="AX3" s="84">
        <f t="shared" ref="AX3:AX60" si="19">(AW3+AT3+AQ3+AJ3+AC3+V3)*H3</f>
        <v>157644</v>
      </c>
      <c r="AY3" s="99">
        <f t="shared" ref="AY3:AY50" si="20">(AW3+AT3+AQ3+AJ3+AC3+V3)/(N3)*100</f>
        <v>2432.777778</v>
      </c>
      <c r="AZ3" s="12">
        <f t="shared" ref="AZ3:AZ60" si="21">AX3-N3</f>
        <v>156564</v>
      </c>
      <c r="BA3" s="86"/>
    </row>
    <row r="4" ht="15.75" customHeight="1">
      <c r="A4" s="14"/>
      <c r="B4" s="33" t="s">
        <v>14</v>
      </c>
      <c r="C4" s="33" t="s">
        <v>91</v>
      </c>
      <c r="D4" s="7" t="s">
        <v>574</v>
      </c>
      <c r="E4" s="7" t="s">
        <v>473</v>
      </c>
      <c r="F4" s="7" t="s">
        <v>51</v>
      </c>
      <c r="G4" s="147" t="s">
        <v>575</v>
      </c>
      <c r="H4" s="88">
        <v>6.0</v>
      </c>
      <c r="I4" s="7"/>
      <c r="J4" s="7"/>
      <c r="L4" s="7">
        <v>340.0</v>
      </c>
      <c r="M4" s="7">
        <v>1.0</v>
      </c>
      <c r="N4" s="7">
        <f t="shared" si="1"/>
        <v>2040</v>
      </c>
      <c r="O4" s="89">
        <v>15.0</v>
      </c>
      <c r="P4" s="127">
        <v>27.0</v>
      </c>
      <c r="Q4" s="88">
        <v>10.0</v>
      </c>
      <c r="R4" s="88">
        <v>500.0</v>
      </c>
      <c r="S4" s="7">
        <f t="shared" si="2"/>
        <v>75000</v>
      </c>
      <c r="T4" s="7">
        <f t="shared" si="3"/>
        <v>12.7</v>
      </c>
      <c r="U4" s="60">
        <f t="shared" si="4"/>
        <v>6350</v>
      </c>
      <c r="V4" s="125">
        <f t="shared" si="5"/>
        <v>20250</v>
      </c>
      <c r="W4" s="101">
        <v>40.0</v>
      </c>
      <c r="X4" s="88">
        <v>500.0</v>
      </c>
      <c r="Y4" s="88">
        <v>1.2</v>
      </c>
      <c r="Z4" s="13">
        <f t="shared" si="6"/>
        <v>600</v>
      </c>
      <c r="AA4" s="13">
        <f t="shared" si="7"/>
        <v>300</v>
      </c>
      <c r="AB4" s="7">
        <f t="shared" si="8"/>
        <v>240</v>
      </c>
      <c r="AC4" s="93">
        <f t="shared" si="9"/>
        <v>3600</v>
      </c>
      <c r="AD4" s="96">
        <v>20.0</v>
      </c>
      <c r="AE4" s="88">
        <v>1000.0</v>
      </c>
      <c r="AF4" s="95">
        <v>0.5</v>
      </c>
      <c r="AG4" s="13">
        <f t="shared" si="10"/>
        <v>500</v>
      </c>
      <c r="AH4" s="13">
        <f t="shared" si="11"/>
        <v>800</v>
      </c>
      <c r="AI4" s="13">
        <f t="shared" si="12"/>
        <v>100</v>
      </c>
      <c r="AJ4" s="17">
        <f t="shared" si="13"/>
        <v>1500</v>
      </c>
      <c r="AK4" s="96">
        <v>36.0</v>
      </c>
      <c r="AL4" s="95">
        <v>3.0</v>
      </c>
      <c r="AM4" s="95">
        <v>20.0</v>
      </c>
      <c r="AN4" s="13">
        <f t="shared" si="14"/>
        <v>60</v>
      </c>
      <c r="AO4" s="13">
        <f t="shared" si="15"/>
        <v>1.92</v>
      </c>
      <c r="AP4" s="13">
        <f t="shared" si="16"/>
        <v>21.6</v>
      </c>
      <c r="AQ4" s="17">
        <f t="shared" si="17"/>
        <v>324</v>
      </c>
      <c r="AR4" s="97">
        <v>0.0</v>
      </c>
      <c r="AS4" s="95">
        <v>18000.0</v>
      </c>
      <c r="AT4" s="17"/>
      <c r="AU4" s="94">
        <v>10.0</v>
      </c>
      <c r="AV4" s="95">
        <v>6000.0</v>
      </c>
      <c r="AW4" s="17">
        <f t="shared" si="18"/>
        <v>600</v>
      </c>
      <c r="AX4" s="96">
        <f t="shared" si="19"/>
        <v>157644</v>
      </c>
      <c r="AY4" s="99">
        <f t="shared" si="20"/>
        <v>1287.941176</v>
      </c>
      <c r="AZ4" s="17">
        <f t="shared" si="21"/>
        <v>155604</v>
      </c>
      <c r="BA4" s="98"/>
    </row>
    <row r="5" ht="15.75" customHeight="1">
      <c r="A5" s="14"/>
      <c r="B5" s="33" t="s">
        <v>14</v>
      </c>
      <c r="C5" s="33" t="s">
        <v>91</v>
      </c>
      <c r="D5" s="7" t="s">
        <v>97</v>
      </c>
      <c r="E5" s="7" t="s">
        <v>478</v>
      </c>
      <c r="F5" s="7" t="s">
        <v>51</v>
      </c>
      <c r="G5" s="147" t="s">
        <v>101</v>
      </c>
      <c r="H5" s="88">
        <v>6.0</v>
      </c>
      <c r="I5" s="7"/>
      <c r="J5" s="7"/>
      <c r="K5" s="13">
        <v>20.0</v>
      </c>
      <c r="L5" s="7">
        <f>K5*12</f>
        <v>240</v>
      </c>
      <c r="M5" s="7">
        <v>1.0</v>
      </c>
      <c r="N5" s="7">
        <f t="shared" si="1"/>
        <v>1440</v>
      </c>
      <c r="O5" s="89">
        <v>15.0</v>
      </c>
      <c r="P5" s="127">
        <v>27.0</v>
      </c>
      <c r="Q5" s="88">
        <v>10.0</v>
      </c>
      <c r="R5" s="88">
        <v>500.0</v>
      </c>
      <c r="S5" s="7">
        <f t="shared" si="2"/>
        <v>75000</v>
      </c>
      <c r="T5" s="7">
        <f t="shared" si="3"/>
        <v>12.7</v>
      </c>
      <c r="U5" s="60">
        <f t="shared" si="4"/>
        <v>6350</v>
      </c>
      <c r="V5" s="125">
        <f t="shared" si="5"/>
        <v>20250</v>
      </c>
      <c r="W5" s="101">
        <v>40.0</v>
      </c>
      <c r="X5" s="88">
        <v>500.0</v>
      </c>
      <c r="Y5" s="88">
        <v>1.2</v>
      </c>
      <c r="Z5" s="13">
        <f t="shared" si="6"/>
        <v>600</v>
      </c>
      <c r="AA5" s="13">
        <f t="shared" si="7"/>
        <v>300</v>
      </c>
      <c r="AB5" s="7">
        <f t="shared" si="8"/>
        <v>240</v>
      </c>
      <c r="AC5" s="93">
        <f t="shared" si="9"/>
        <v>3600</v>
      </c>
      <c r="AD5" s="96">
        <v>20.0</v>
      </c>
      <c r="AE5" s="88">
        <v>1000.0</v>
      </c>
      <c r="AF5" s="95">
        <v>0.5</v>
      </c>
      <c r="AG5" s="13">
        <f t="shared" si="10"/>
        <v>500</v>
      </c>
      <c r="AH5" s="13">
        <f t="shared" si="11"/>
        <v>800</v>
      </c>
      <c r="AI5" s="13">
        <f t="shared" si="12"/>
        <v>100</v>
      </c>
      <c r="AJ5" s="17">
        <f t="shared" si="13"/>
        <v>1500</v>
      </c>
      <c r="AK5" s="96">
        <v>36.0</v>
      </c>
      <c r="AL5" s="95">
        <v>3.0</v>
      </c>
      <c r="AM5" s="95">
        <v>20.0</v>
      </c>
      <c r="AN5" s="13">
        <f t="shared" si="14"/>
        <v>60</v>
      </c>
      <c r="AO5" s="13">
        <f t="shared" si="15"/>
        <v>1.92</v>
      </c>
      <c r="AP5" s="13">
        <f t="shared" si="16"/>
        <v>21.6</v>
      </c>
      <c r="AQ5" s="17">
        <f t="shared" si="17"/>
        <v>324</v>
      </c>
      <c r="AR5" s="97">
        <v>0.0</v>
      </c>
      <c r="AS5" s="95">
        <v>18000.0</v>
      </c>
      <c r="AT5" s="17">
        <f t="shared" ref="AT5:AT60" si="22">AS5-(AS5*(1-AR5%))</f>
        <v>0</v>
      </c>
      <c r="AU5" s="94">
        <v>10.0</v>
      </c>
      <c r="AV5" s="95">
        <v>6000.0</v>
      </c>
      <c r="AW5" s="17">
        <f t="shared" si="18"/>
        <v>600</v>
      </c>
      <c r="AX5" s="96">
        <f t="shared" si="19"/>
        <v>157644</v>
      </c>
      <c r="AY5" s="99">
        <f t="shared" si="20"/>
        <v>1824.583333</v>
      </c>
      <c r="AZ5" s="17">
        <f t="shared" si="21"/>
        <v>156204</v>
      </c>
      <c r="BA5" s="98"/>
    </row>
    <row r="6" ht="15.75" customHeight="1">
      <c r="A6" s="14"/>
      <c r="B6" s="33" t="s">
        <v>14</v>
      </c>
      <c r="C6" s="33" t="s">
        <v>91</v>
      </c>
      <c r="D6" s="7" t="s">
        <v>108</v>
      </c>
      <c r="E6" s="7" t="s">
        <v>109</v>
      </c>
      <c r="F6" s="7" t="s">
        <v>51</v>
      </c>
      <c r="G6" s="147" t="s">
        <v>576</v>
      </c>
      <c r="H6" s="88">
        <v>6.0</v>
      </c>
      <c r="I6" s="7">
        <v>3300.0</v>
      </c>
      <c r="J6" s="7"/>
      <c r="K6" s="54"/>
      <c r="L6" s="7"/>
      <c r="M6" s="7">
        <v>1.0</v>
      </c>
      <c r="N6" s="7">
        <f t="shared" si="1"/>
        <v>3300</v>
      </c>
      <c r="O6" s="89">
        <v>15.0</v>
      </c>
      <c r="P6" s="127">
        <v>27.0</v>
      </c>
      <c r="Q6" s="88">
        <v>10.0</v>
      </c>
      <c r="R6" s="88">
        <v>500.0</v>
      </c>
      <c r="S6" s="7">
        <f t="shared" si="2"/>
        <v>75000</v>
      </c>
      <c r="T6" s="7">
        <f t="shared" si="3"/>
        <v>12.7</v>
      </c>
      <c r="U6" s="60">
        <f t="shared" si="4"/>
        <v>6350</v>
      </c>
      <c r="V6" s="125">
        <f t="shared" si="5"/>
        <v>20250</v>
      </c>
      <c r="W6" s="101">
        <v>40.0</v>
      </c>
      <c r="X6" s="88">
        <v>500.0</v>
      </c>
      <c r="Y6" s="88">
        <v>1.2</v>
      </c>
      <c r="Z6" s="13">
        <f t="shared" si="6"/>
        <v>600</v>
      </c>
      <c r="AA6" s="13">
        <f t="shared" si="7"/>
        <v>300</v>
      </c>
      <c r="AB6" s="7">
        <f t="shared" si="8"/>
        <v>240</v>
      </c>
      <c r="AC6" s="93">
        <f t="shared" si="9"/>
        <v>3600</v>
      </c>
      <c r="AD6" s="96">
        <v>20.0</v>
      </c>
      <c r="AE6" s="88">
        <v>1000.0</v>
      </c>
      <c r="AF6" s="95">
        <v>0.5</v>
      </c>
      <c r="AG6" s="13">
        <f t="shared" si="10"/>
        <v>500</v>
      </c>
      <c r="AH6" s="13">
        <f t="shared" si="11"/>
        <v>800</v>
      </c>
      <c r="AI6" s="13">
        <f t="shared" si="12"/>
        <v>100</v>
      </c>
      <c r="AJ6" s="17">
        <f t="shared" si="13"/>
        <v>1500</v>
      </c>
      <c r="AK6" s="96">
        <v>36.0</v>
      </c>
      <c r="AL6" s="95">
        <v>3.0</v>
      </c>
      <c r="AM6" s="95">
        <v>20.0</v>
      </c>
      <c r="AN6" s="13">
        <f t="shared" si="14"/>
        <v>60</v>
      </c>
      <c r="AO6" s="13">
        <f t="shared" si="15"/>
        <v>1.92</v>
      </c>
      <c r="AP6" s="13">
        <f t="shared" si="16"/>
        <v>21.6</v>
      </c>
      <c r="AQ6" s="17">
        <f t="shared" si="17"/>
        <v>324</v>
      </c>
      <c r="AR6" s="97">
        <v>0.0</v>
      </c>
      <c r="AS6" s="95">
        <v>18000.0</v>
      </c>
      <c r="AT6" s="17">
        <f t="shared" si="22"/>
        <v>0</v>
      </c>
      <c r="AU6" s="94">
        <v>10.0</v>
      </c>
      <c r="AV6" s="95">
        <v>6000.0</v>
      </c>
      <c r="AW6" s="17">
        <f t="shared" si="18"/>
        <v>600</v>
      </c>
      <c r="AX6" s="96">
        <f t="shared" si="19"/>
        <v>157644</v>
      </c>
      <c r="AY6" s="99">
        <f t="shared" si="20"/>
        <v>796.1818182</v>
      </c>
      <c r="AZ6" s="17">
        <f t="shared" si="21"/>
        <v>154344</v>
      </c>
      <c r="BA6" s="98"/>
    </row>
    <row r="7" ht="15.75" customHeight="1">
      <c r="A7" s="14"/>
      <c r="B7" s="33" t="s">
        <v>14</v>
      </c>
      <c r="C7" s="33" t="s">
        <v>91</v>
      </c>
      <c r="D7" s="7" t="s">
        <v>113</v>
      </c>
      <c r="E7" s="7" t="s">
        <v>109</v>
      </c>
      <c r="F7" s="7" t="s">
        <v>51</v>
      </c>
      <c r="G7" s="147" t="s">
        <v>495</v>
      </c>
      <c r="H7" s="88">
        <v>6.0</v>
      </c>
      <c r="I7" s="7">
        <v>6300.0</v>
      </c>
      <c r="J7" s="7"/>
      <c r="L7" s="7"/>
      <c r="M7" s="7">
        <v>1.0</v>
      </c>
      <c r="N7" s="7">
        <f t="shared" si="1"/>
        <v>6300</v>
      </c>
      <c r="O7" s="89">
        <v>15.0</v>
      </c>
      <c r="P7" s="127">
        <v>27.0</v>
      </c>
      <c r="Q7" s="88">
        <v>10.0</v>
      </c>
      <c r="R7" s="88">
        <v>500.0</v>
      </c>
      <c r="S7" s="7">
        <f t="shared" si="2"/>
        <v>75000</v>
      </c>
      <c r="T7" s="7">
        <f t="shared" si="3"/>
        <v>12.7</v>
      </c>
      <c r="U7" s="60">
        <f t="shared" si="4"/>
        <v>6350</v>
      </c>
      <c r="V7" s="125">
        <f t="shared" si="5"/>
        <v>20250</v>
      </c>
      <c r="W7" s="101">
        <v>40.0</v>
      </c>
      <c r="X7" s="88">
        <v>500.0</v>
      </c>
      <c r="Y7" s="88">
        <v>1.2</v>
      </c>
      <c r="Z7" s="13">
        <f t="shared" si="6"/>
        <v>600</v>
      </c>
      <c r="AA7" s="13">
        <f t="shared" si="7"/>
        <v>300</v>
      </c>
      <c r="AB7" s="7">
        <f t="shared" si="8"/>
        <v>240</v>
      </c>
      <c r="AC7" s="93">
        <f t="shared" si="9"/>
        <v>3600</v>
      </c>
      <c r="AD7" s="96">
        <v>20.0</v>
      </c>
      <c r="AE7" s="88">
        <v>1000.0</v>
      </c>
      <c r="AF7" s="95">
        <v>0.5</v>
      </c>
      <c r="AG7" s="13">
        <f t="shared" si="10"/>
        <v>500</v>
      </c>
      <c r="AH7" s="13">
        <f t="shared" si="11"/>
        <v>800</v>
      </c>
      <c r="AI7" s="13">
        <f t="shared" si="12"/>
        <v>100</v>
      </c>
      <c r="AJ7" s="17">
        <f t="shared" si="13"/>
        <v>1500</v>
      </c>
      <c r="AK7" s="96">
        <v>36.0</v>
      </c>
      <c r="AL7" s="95">
        <v>3.0</v>
      </c>
      <c r="AM7" s="95">
        <v>20.0</v>
      </c>
      <c r="AN7" s="13">
        <f t="shared" si="14"/>
        <v>60</v>
      </c>
      <c r="AO7" s="13">
        <f t="shared" si="15"/>
        <v>1.92</v>
      </c>
      <c r="AP7" s="13">
        <f t="shared" si="16"/>
        <v>21.6</v>
      </c>
      <c r="AQ7" s="17">
        <f t="shared" si="17"/>
        <v>324</v>
      </c>
      <c r="AR7" s="97">
        <v>0.0</v>
      </c>
      <c r="AS7" s="95">
        <v>18000.0</v>
      </c>
      <c r="AT7" s="17">
        <f t="shared" si="22"/>
        <v>0</v>
      </c>
      <c r="AU7" s="94">
        <v>10.0</v>
      </c>
      <c r="AV7" s="95">
        <v>6000.0</v>
      </c>
      <c r="AW7" s="17">
        <f t="shared" si="18"/>
        <v>600</v>
      </c>
      <c r="AX7" s="96">
        <f t="shared" si="19"/>
        <v>157644</v>
      </c>
      <c r="AY7" s="99">
        <f t="shared" si="20"/>
        <v>417.047619</v>
      </c>
      <c r="AZ7" s="17">
        <f t="shared" si="21"/>
        <v>151344</v>
      </c>
      <c r="BA7" s="98"/>
    </row>
    <row r="8" ht="15.75" customHeight="1">
      <c r="A8" s="14"/>
      <c r="B8" s="33" t="s">
        <v>14</v>
      </c>
      <c r="C8" s="33" t="s">
        <v>37</v>
      </c>
      <c r="D8" s="7" t="s">
        <v>130</v>
      </c>
      <c r="E8" s="7" t="s">
        <v>130</v>
      </c>
      <c r="F8" s="7" t="s">
        <v>51</v>
      </c>
      <c r="G8" s="147" t="s">
        <v>493</v>
      </c>
      <c r="H8" s="88">
        <v>6.0</v>
      </c>
      <c r="I8" s="7"/>
      <c r="J8" s="7"/>
      <c r="L8" s="7">
        <v>500.0</v>
      </c>
      <c r="M8" s="7">
        <v>1.0</v>
      </c>
      <c r="N8" s="7">
        <f t="shared" si="1"/>
        <v>3000</v>
      </c>
      <c r="O8" s="89">
        <v>15.0</v>
      </c>
      <c r="P8" s="127">
        <v>27.0</v>
      </c>
      <c r="Q8" s="88">
        <v>10.0</v>
      </c>
      <c r="R8" s="88">
        <v>500.0</v>
      </c>
      <c r="S8" s="7">
        <f t="shared" si="2"/>
        <v>75000</v>
      </c>
      <c r="T8" s="7">
        <f t="shared" si="3"/>
        <v>12.7</v>
      </c>
      <c r="U8" s="60">
        <f t="shared" si="4"/>
        <v>6350</v>
      </c>
      <c r="V8" s="125">
        <f t="shared" si="5"/>
        <v>20250</v>
      </c>
      <c r="W8" s="101">
        <v>40.0</v>
      </c>
      <c r="X8" s="88">
        <v>500.0</v>
      </c>
      <c r="Y8" s="88">
        <v>1.2</v>
      </c>
      <c r="Z8" s="13">
        <f t="shared" si="6"/>
        <v>600</v>
      </c>
      <c r="AA8" s="13">
        <f t="shared" si="7"/>
        <v>300</v>
      </c>
      <c r="AB8" s="7">
        <f t="shared" si="8"/>
        <v>240</v>
      </c>
      <c r="AC8" s="93">
        <f t="shared" si="9"/>
        <v>3600</v>
      </c>
      <c r="AD8" s="96">
        <v>20.0</v>
      </c>
      <c r="AE8" s="88">
        <v>1000.0</v>
      </c>
      <c r="AF8" s="95">
        <v>0.5</v>
      </c>
      <c r="AG8" s="13">
        <f t="shared" si="10"/>
        <v>500</v>
      </c>
      <c r="AH8" s="13">
        <f t="shared" si="11"/>
        <v>800</v>
      </c>
      <c r="AI8" s="13">
        <f t="shared" si="12"/>
        <v>100</v>
      </c>
      <c r="AJ8" s="17">
        <f t="shared" si="13"/>
        <v>1500</v>
      </c>
      <c r="AK8" s="96">
        <v>36.0</v>
      </c>
      <c r="AL8" s="95">
        <v>3.0</v>
      </c>
      <c r="AM8" s="95">
        <v>20.0</v>
      </c>
      <c r="AN8" s="13">
        <f t="shared" si="14"/>
        <v>60</v>
      </c>
      <c r="AO8" s="13">
        <f t="shared" si="15"/>
        <v>1.92</v>
      </c>
      <c r="AP8" s="13">
        <f t="shared" si="16"/>
        <v>21.6</v>
      </c>
      <c r="AQ8" s="17">
        <f t="shared" si="17"/>
        <v>324</v>
      </c>
      <c r="AR8" s="97">
        <v>0.0</v>
      </c>
      <c r="AS8" s="95">
        <v>18000.0</v>
      </c>
      <c r="AT8" s="17">
        <f t="shared" si="22"/>
        <v>0</v>
      </c>
      <c r="AU8" s="94">
        <v>10.0</v>
      </c>
      <c r="AV8" s="95">
        <v>6000.0</v>
      </c>
      <c r="AW8" s="17">
        <f t="shared" si="18"/>
        <v>600</v>
      </c>
      <c r="AX8" s="96">
        <f t="shared" si="19"/>
        <v>157644</v>
      </c>
      <c r="AY8" s="99">
        <f t="shared" si="20"/>
        <v>875.8</v>
      </c>
      <c r="AZ8" s="17">
        <f t="shared" si="21"/>
        <v>154644</v>
      </c>
      <c r="BA8" s="98"/>
    </row>
    <row r="9" ht="15.75" customHeight="1">
      <c r="A9" s="14"/>
      <c r="B9" s="33" t="s">
        <v>36</v>
      </c>
      <c r="C9" s="33" t="s">
        <v>91</v>
      </c>
      <c r="D9" s="7" t="s">
        <v>46</v>
      </c>
      <c r="E9" s="7" t="s">
        <v>47</v>
      </c>
      <c r="F9" s="7" t="s">
        <v>51</v>
      </c>
      <c r="G9" s="147" t="s">
        <v>52</v>
      </c>
      <c r="H9" s="88">
        <v>6.0</v>
      </c>
      <c r="I9" s="7">
        <v>4900.0</v>
      </c>
      <c r="J9" s="7"/>
      <c r="K9" s="13">
        <v>150.0</v>
      </c>
      <c r="L9" s="7">
        <f>K9*12</f>
        <v>1800</v>
      </c>
      <c r="M9" s="7">
        <v>1.0</v>
      </c>
      <c r="N9" s="7">
        <f t="shared" si="1"/>
        <v>15700</v>
      </c>
      <c r="O9" s="89">
        <v>15.0</v>
      </c>
      <c r="P9" s="127">
        <v>27.0</v>
      </c>
      <c r="Q9" s="88">
        <v>10.0</v>
      </c>
      <c r="R9" s="88">
        <v>500.0</v>
      </c>
      <c r="S9" s="7">
        <f t="shared" si="2"/>
        <v>75000</v>
      </c>
      <c r="T9" s="7">
        <f t="shared" si="3"/>
        <v>12.7</v>
      </c>
      <c r="U9" s="60">
        <f t="shared" si="4"/>
        <v>6350</v>
      </c>
      <c r="V9" s="125">
        <f t="shared" si="5"/>
        <v>20250</v>
      </c>
      <c r="W9" s="101">
        <v>40.0</v>
      </c>
      <c r="X9" s="88">
        <v>500.0</v>
      </c>
      <c r="Y9" s="88">
        <v>1.2</v>
      </c>
      <c r="Z9" s="13">
        <f t="shared" si="6"/>
        <v>600</v>
      </c>
      <c r="AA9" s="13">
        <f t="shared" si="7"/>
        <v>300</v>
      </c>
      <c r="AB9" s="7">
        <f t="shared" si="8"/>
        <v>240</v>
      </c>
      <c r="AC9" s="93">
        <f t="shared" si="9"/>
        <v>3600</v>
      </c>
      <c r="AD9" s="96">
        <v>20.0</v>
      </c>
      <c r="AE9" s="88">
        <v>1000.0</v>
      </c>
      <c r="AF9" s="95">
        <v>0.5</v>
      </c>
      <c r="AG9" s="13">
        <f t="shared" si="10"/>
        <v>500</v>
      </c>
      <c r="AH9" s="13">
        <f t="shared" si="11"/>
        <v>800</v>
      </c>
      <c r="AI9" s="13">
        <f t="shared" si="12"/>
        <v>100</v>
      </c>
      <c r="AJ9" s="17">
        <f t="shared" si="13"/>
        <v>1500</v>
      </c>
      <c r="AK9" s="96">
        <v>36.0</v>
      </c>
      <c r="AL9" s="95">
        <v>3.0</v>
      </c>
      <c r="AM9" s="95">
        <v>20.0</v>
      </c>
      <c r="AN9" s="13">
        <f t="shared" si="14"/>
        <v>60</v>
      </c>
      <c r="AO9" s="13">
        <f t="shared" si="15"/>
        <v>1.92</v>
      </c>
      <c r="AP9" s="13">
        <f t="shared" si="16"/>
        <v>21.6</v>
      </c>
      <c r="AQ9" s="17">
        <f t="shared" si="17"/>
        <v>324</v>
      </c>
      <c r="AR9" s="97">
        <v>0.0</v>
      </c>
      <c r="AS9" s="95">
        <v>18000.0</v>
      </c>
      <c r="AT9" s="17">
        <f t="shared" si="22"/>
        <v>0</v>
      </c>
      <c r="AU9" s="94">
        <v>10.0</v>
      </c>
      <c r="AV9" s="95">
        <v>6000.0</v>
      </c>
      <c r="AW9" s="17">
        <f t="shared" si="18"/>
        <v>600</v>
      </c>
      <c r="AX9" s="96">
        <f t="shared" si="19"/>
        <v>157644</v>
      </c>
      <c r="AY9" s="99">
        <f t="shared" si="20"/>
        <v>167.3503185</v>
      </c>
      <c r="AZ9" s="17">
        <f t="shared" si="21"/>
        <v>141944</v>
      </c>
      <c r="BA9" s="98"/>
    </row>
    <row r="10" ht="15.75" customHeight="1">
      <c r="A10" s="14"/>
      <c r="B10" s="33" t="s">
        <v>36</v>
      </c>
      <c r="C10" s="33" t="s">
        <v>91</v>
      </c>
      <c r="D10" s="7" t="s">
        <v>53</v>
      </c>
      <c r="E10" s="7" t="s">
        <v>54</v>
      </c>
      <c r="F10" s="7" t="s">
        <v>51</v>
      </c>
      <c r="G10" s="51" t="s">
        <v>484</v>
      </c>
      <c r="H10" s="88">
        <v>6.0</v>
      </c>
      <c r="I10" s="7"/>
      <c r="J10" s="7"/>
      <c r="K10" s="13">
        <v>30.0</v>
      </c>
      <c r="L10" s="7">
        <v>360.0</v>
      </c>
      <c r="M10" s="7">
        <v>1.0</v>
      </c>
      <c r="N10" s="7">
        <f t="shared" si="1"/>
        <v>2160</v>
      </c>
      <c r="O10" s="89">
        <v>15.0</v>
      </c>
      <c r="P10" s="127">
        <v>27.0</v>
      </c>
      <c r="Q10" s="88">
        <v>10.0</v>
      </c>
      <c r="R10" s="88">
        <v>500.0</v>
      </c>
      <c r="S10" s="7">
        <f t="shared" si="2"/>
        <v>75000</v>
      </c>
      <c r="T10" s="7">
        <f t="shared" si="3"/>
        <v>12.7</v>
      </c>
      <c r="U10" s="60">
        <f t="shared" si="4"/>
        <v>6350</v>
      </c>
      <c r="V10" s="125">
        <f t="shared" si="5"/>
        <v>20250</v>
      </c>
      <c r="W10" s="101">
        <v>40.0</v>
      </c>
      <c r="X10" s="88">
        <v>500.0</v>
      </c>
      <c r="Y10" s="88">
        <v>1.2</v>
      </c>
      <c r="Z10" s="13">
        <f t="shared" si="6"/>
        <v>600</v>
      </c>
      <c r="AA10" s="13">
        <f t="shared" si="7"/>
        <v>300</v>
      </c>
      <c r="AB10" s="7">
        <f t="shared" si="8"/>
        <v>240</v>
      </c>
      <c r="AC10" s="93">
        <f t="shared" si="9"/>
        <v>3600</v>
      </c>
      <c r="AD10" s="96">
        <v>20.0</v>
      </c>
      <c r="AE10" s="88">
        <v>1000.0</v>
      </c>
      <c r="AF10" s="95">
        <v>0.5</v>
      </c>
      <c r="AG10" s="13">
        <f t="shared" si="10"/>
        <v>500</v>
      </c>
      <c r="AH10" s="13">
        <f t="shared" si="11"/>
        <v>800</v>
      </c>
      <c r="AI10" s="13">
        <f t="shared" si="12"/>
        <v>100</v>
      </c>
      <c r="AJ10" s="17">
        <f t="shared" si="13"/>
        <v>1500</v>
      </c>
      <c r="AK10" s="96">
        <v>36.0</v>
      </c>
      <c r="AL10" s="95">
        <v>3.0</v>
      </c>
      <c r="AM10" s="95">
        <v>20.0</v>
      </c>
      <c r="AN10" s="13">
        <f t="shared" si="14"/>
        <v>60</v>
      </c>
      <c r="AO10" s="13">
        <f t="shared" si="15"/>
        <v>1.92</v>
      </c>
      <c r="AP10" s="13">
        <f t="shared" si="16"/>
        <v>21.6</v>
      </c>
      <c r="AQ10" s="17">
        <f t="shared" si="17"/>
        <v>324</v>
      </c>
      <c r="AR10" s="97">
        <v>0.0</v>
      </c>
      <c r="AS10" s="95">
        <v>18000.0</v>
      </c>
      <c r="AT10" s="17">
        <f t="shared" si="22"/>
        <v>0</v>
      </c>
      <c r="AU10" s="97">
        <v>0.0</v>
      </c>
      <c r="AV10" s="95">
        <v>6000.0</v>
      </c>
      <c r="AW10" s="17">
        <f t="shared" si="18"/>
        <v>0</v>
      </c>
      <c r="AX10" s="96">
        <f t="shared" si="19"/>
        <v>154044</v>
      </c>
      <c r="AY10" s="99">
        <f t="shared" si="20"/>
        <v>1188.611111</v>
      </c>
      <c r="AZ10" s="17">
        <f t="shared" si="21"/>
        <v>151884</v>
      </c>
      <c r="BA10" s="98"/>
    </row>
    <row r="11" ht="15.75" customHeight="1">
      <c r="A11" s="14"/>
      <c r="B11" s="33" t="s">
        <v>36</v>
      </c>
      <c r="C11" s="33" t="s">
        <v>91</v>
      </c>
      <c r="D11" s="7" t="s">
        <v>485</v>
      </c>
      <c r="E11" s="7" t="s">
        <v>60</v>
      </c>
      <c r="F11" s="7" t="s">
        <v>51</v>
      </c>
      <c r="G11" s="147" t="s">
        <v>486</v>
      </c>
      <c r="H11" s="88">
        <v>6.0</v>
      </c>
      <c r="I11" s="7"/>
      <c r="J11" s="7"/>
      <c r="L11" s="7">
        <v>250.0</v>
      </c>
      <c r="M11" s="7">
        <v>1.0</v>
      </c>
      <c r="N11" s="7">
        <f t="shared" si="1"/>
        <v>1500</v>
      </c>
      <c r="O11" s="89">
        <v>15.0</v>
      </c>
      <c r="P11" s="127">
        <v>27.0</v>
      </c>
      <c r="Q11" s="88">
        <v>10.0</v>
      </c>
      <c r="R11" s="88">
        <v>500.0</v>
      </c>
      <c r="S11" s="7">
        <f t="shared" si="2"/>
        <v>75000</v>
      </c>
      <c r="T11" s="7">
        <f t="shared" si="3"/>
        <v>12.7</v>
      </c>
      <c r="U11" s="60">
        <f t="shared" si="4"/>
        <v>6350</v>
      </c>
      <c r="V11" s="125">
        <f t="shared" si="5"/>
        <v>20250</v>
      </c>
      <c r="W11" s="101">
        <v>40.0</v>
      </c>
      <c r="X11" s="88">
        <v>500.0</v>
      </c>
      <c r="Y11" s="88">
        <v>1.2</v>
      </c>
      <c r="Z11" s="13">
        <f t="shared" si="6"/>
        <v>600</v>
      </c>
      <c r="AA11" s="13">
        <f t="shared" si="7"/>
        <v>300</v>
      </c>
      <c r="AB11" s="7">
        <f t="shared" si="8"/>
        <v>240</v>
      </c>
      <c r="AC11" s="93">
        <f t="shared" si="9"/>
        <v>3600</v>
      </c>
      <c r="AD11" s="96">
        <v>20.0</v>
      </c>
      <c r="AE11" s="88">
        <v>1000.0</v>
      </c>
      <c r="AF11" s="95">
        <v>0.5</v>
      </c>
      <c r="AG11" s="13">
        <f t="shared" si="10"/>
        <v>500</v>
      </c>
      <c r="AH11" s="13">
        <f t="shared" si="11"/>
        <v>800</v>
      </c>
      <c r="AI11" s="13">
        <f t="shared" si="12"/>
        <v>100</v>
      </c>
      <c r="AJ11" s="17">
        <f t="shared" si="13"/>
        <v>1500</v>
      </c>
      <c r="AK11" s="96">
        <v>36.0</v>
      </c>
      <c r="AL11" s="95">
        <v>3.0</v>
      </c>
      <c r="AM11" s="95">
        <v>20.0</v>
      </c>
      <c r="AN11" s="13">
        <f t="shared" si="14"/>
        <v>60</v>
      </c>
      <c r="AO11" s="13">
        <f t="shared" si="15"/>
        <v>1.92</v>
      </c>
      <c r="AP11" s="13">
        <f t="shared" si="16"/>
        <v>21.6</v>
      </c>
      <c r="AQ11" s="17">
        <f t="shared" si="17"/>
        <v>324</v>
      </c>
      <c r="AR11" s="97">
        <v>0.0</v>
      </c>
      <c r="AS11" s="95">
        <v>18000.0</v>
      </c>
      <c r="AT11" s="17">
        <f t="shared" si="22"/>
        <v>0</v>
      </c>
      <c r="AU11" s="97">
        <v>0.0</v>
      </c>
      <c r="AV11" s="95">
        <v>6000.0</v>
      </c>
      <c r="AW11" s="17">
        <f t="shared" si="18"/>
        <v>0</v>
      </c>
      <c r="AX11" s="96">
        <f t="shared" si="19"/>
        <v>154044</v>
      </c>
      <c r="AY11" s="99">
        <f t="shared" si="20"/>
        <v>1711.6</v>
      </c>
      <c r="AZ11" s="17">
        <f t="shared" si="21"/>
        <v>152544</v>
      </c>
      <c r="BA11" s="98"/>
    </row>
    <row r="12" ht="15.75" customHeight="1">
      <c r="A12" s="14"/>
      <c r="B12" s="33" t="s">
        <v>36</v>
      </c>
      <c r="C12" s="33" t="s">
        <v>91</v>
      </c>
      <c r="D12" s="7" t="s">
        <v>487</v>
      </c>
      <c r="E12" s="7"/>
      <c r="F12" s="7" t="s">
        <v>488</v>
      </c>
      <c r="G12" s="147" t="s">
        <v>489</v>
      </c>
      <c r="H12" s="88">
        <v>6.0</v>
      </c>
      <c r="I12" s="7"/>
      <c r="J12" s="7"/>
      <c r="L12" s="7">
        <v>950.0</v>
      </c>
      <c r="M12" s="7">
        <v>1.0</v>
      </c>
      <c r="N12" s="7">
        <f t="shared" si="1"/>
        <v>5700</v>
      </c>
      <c r="O12" s="89">
        <v>15.0</v>
      </c>
      <c r="P12" s="127">
        <v>27.0</v>
      </c>
      <c r="Q12" s="88">
        <v>10.0</v>
      </c>
      <c r="R12" s="88">
        <v>500.0</v>
      </c>
      <c r="S12" s="7">
        <f t="shared" si="2"/>
        <v>75000</v>
      </c>
      <c r="T12" s="7">
        <f t="shared" si="3"/>
        <v>12.7</v>
      </c>
      <c r="U12" s="60">
        <f t="shared" si="4"/>
        <v>6350</v>
      </c>
      <c r="V12" s="125">
        <f t="shared" si="5"/>
        <v>20250</v>
      </c>
      <c r="W12" s="101">
        <v>40.0</v>
      </c>
      <c r="X12" s="88">
        <v>500.0</v>
      </c>
      <c r="Y12" s="88">
        <v>1.2</v>
      </c>
      <c r="Z12" s="13">
        <f t="shared" si="6"/>
        <v>600</v>
      </c>
      <c r="AA12" s="13">
        <f t="shared" si="7"/>
        <v>300</v>
      </c>
      <c r="AB12" s="7">
        <f t="shared" si="8"/>
        <v>240</v>
      </c>
      <c r="AC12" s="93">
        <f t="shared" si="9"/>
        <v>3600</v>
      </c>
      <c r="AD12" s="96">
        <v>20.0</v>
      </c>
      <c r="AE12" s="88">
        <v>1000.0</v>
      </c>
      <c r="AF12" s="95">
        <v>0.5</v>
      </c>
      <c r="AG12" s="13">
        <f t="shared" si="10"/>
        <v>500</v>
      </c>
      <c r="AH12" s="13">
        <f t="shared" si="11"/>
        <v>800</v>
      </c>
      <c r="AI12" s="13">
        <f t="shared" si="12"/>
        <v>100</v>
      </c>
      <c r="AJ12" s="17">
        <f t="shared" si="13"/>
        <v>1500</v>
      </c>
      <c r="AK12" s="96">
        <v>36.0</v>
      </c>
      <c r="AL12" s="95">
        <v>3.0</v>
      </c>
      <c r="AM12" s="95">
        <v>20.0</v>
      </c>
      <c r="AN12" s="13">
        <f t="shared" si="14"/>
        <v>60</v>
      </c>
      <c r="AO12" s="13">
        <f t="shared" si="15"/>
        <v>1.92</v>
      </c>
      <c r="AP12" s="13">
        <f t="shared" si="16"/>
        <v>21.6</v>
      </c>
      <c r="AQ12" s="17">
        <f t="shared" si="17"/>
        <v>324</v>
      </c>
      <c r="AR12" s="97">
        <v>0.0</v>
      </c>
      <c r="AS12" s="95">
        <v>18000.0</v>
      </c>
      <c r="AT12" s="17">
        <f t="shared" si="22"/>
        <v>0</v>
      </c>
      <c r="AU12" s="94">
        <v>10.0</v>
      </c>
      <c r="AV12" s="95">
        <v>6000.0</v>
      </c>
      <c r="AW12" s="17">
        <f t="shared" si="18"/>
        <v>600</v>
      </c>
      <c r="AX12" s="96">
        <f t="shared" si="19"/>
        <v>157644</v>
      </c>
      <c r="AY12" s="99">
        <f t="shared" si="20"/>
        <v>460.9473684</v>
      </c>
      <c r="AZ12" s="17">
        <f t="shared" si="21"/>
        <v>151944</v>
      </c>
      <c r="BA12" s="98"/>
    </row>
    <row r="13" ht="15.75" customHeight="1">
      <c r="A13" s="14"/>
      <c r="B13" s="33" t="s">
        <v>36</v>
      </c>
      <c r="C13" s="33" t="s">
        <v>91</v>
      </c>
      <c r="D13" s="7" t="s">
        <v>490</v>
      </c>
      <c r="E13" s="7" t="s">
        <v>72</v>
      </c>
      <c r="F13" s="7" t="s">
        <v>51</v>
      </c>
      <c r="G13" s="147" t="s">
        <v>491</v>
      </c>
      <c r="H13" s="88">
        <v>6.0</v>
      </c>
      <c r="I13" s="7"/>
      <c r="J13" s="7"/>
      <c r="L13" s="7">
        <v>60.0</v>
      </c>
      <c r="M13" s="7">
        <v>1.0</v>
      </c>
      <c r="N13" s="7">
        <f t="shared" si="1"/>
        <v>360</v>
      </c>
      <c r="O13" s="89">
        <v>15.0</v>
      </c>
      <c r="P13" s="127">
        <v>27.0</v>
      </c>
      <c r="Q13" s="88">
        <v>10.0</v>
      </c>
      <c r="R13" s="88">
        <v>500.0</v>
      </c>
      <c r="S13" s="7">
        <f t="shared" si="2"/>
        <v>75000</v>
      </c>
      <c r="T13" s="7">
        <f t="shared" si="3"/>
        <v>12.7</v>
      </c>
      <c r="U13" s="60">
        <f t="shared" si="4"/>
        <v>6350</v>
      </c>
      <c r="V13" s="125">
        <f t="shared" si="5"/>
        <v>20250</v>
      </c>
      <c r="W13" s="92">
        <v>0.0</v>
      </c>
      <c r="X13" s="88">
        <v>500.0</v>
      </c>
      <c r="Y13" s="88">
        <v>1.2</v>
      </c>
      <c r="Z13" s="13">
        <f t="shared" si="6"/>
        <v>600</v>
      </c>
      <c r="AA13" s="13">
        <f t="shared" si="7"/>
        <v>500</v>
      </c>
      <c r="AB13" s="7">
        <f t="shared" si="8"/>
        <v>0</v>
      </c>
      <c r="AC13" s="93">
        <f t="shared" si="9"/>
        <v>0</v>
      </c>
      <c r="AD13" s="102">
        <v>25.0</v>
      </c>
      <c r="AE13" s="88">
        <v>1000.0</v>
      </c>
      <c r="AF13" s="95">
        <v>0.5</v>
      </c>
      <c r="AG13" s="13">
        <f t="shared" si="10"/>
        <v>500</v>
      </c>
      <c r="AH13" s="13">
        <f t="shared" si="11"/>
        <v>750</v>
      </c>
      <c r="AI13" s="13">
        <f t="shared" si="12"/>
        <v>125</v>
      </c>
      <c r="AJ13" s="17">
        <f t="shared" si="13"/>
        <v>1875</v>
      </c>
      <c r="AK13" s="94">
        <v>0.0</v>
      </c>
      <c r="AL13" s="88">
        <v>3.0</v>
      </c>
      <c r="AM13" s="95">
        <v>20.0</v>
      </c>
      <c r="AN13" s="13">
        <f t="shared" si="14"/>
        <v>60</v>
      </c>
      <c r="AO13" s="13">
        <f t="shared" si="15"/>
        <v>3</v>
      </c>
      <c r="AP13" s="13">
        <f t="shared" si="16"/>
        <v>0</v>
      </c>
      <c r="AQ13" s="17">
        <f t="shared" si="17"/>
        <v>0</v>
      </c>
      <c r="AR13" s="97">
        <v>0.0</v>
      </c>
      <c r="AS13" s="95">
        <v>18000.0</v>
      </c>
      <c r="AT13" s="17">
        <f t="shared" si="22"/>
        <v>0</v>
      </c>
      <c r="AU13" s="97">
        <v>0.0</v>
      </c>
      <c r="AV13" s="95">
        <v>6000.0</v>
      </c>
      <c r="AW13" s="17">
        <f t="shared" si="18"/>
        <v>0</v>
      </c>
      <c r="AX13" s="96">
        <f t="shared" si="19"/>
        <v>132750</v>
      </c>
      <c r="AY13" s="99">
        <f t="shared" si="20"/>
        <v>6145.833333</v>
      </c>
      <c r="AZ13" s="17">
        <f t="shared" si="21"/>
        <v>132390</v>
      </c>
      <c r="BA13" s="98"/>
    </row>
    <row r="14" ht="15.75" customHeight="1">
      <c r="A14" s="14"/>
      <c r="B14" s="33" t="s">
        <v>502</v>
      </c>
      <c r="C14" s="33" t="s">
        <v>91</v>
      </c>
      <c r="D14" s="7" t="s">
        <v>79</v>
      </c>
      <c r="E14" s="7" t="s">
        <v>80</v>
      </c>
      <c r="F14" s="7" t="s">
        <v>51</v>
      </c>
      <c r="G14" s="147" t="s">
        <v>492</v>
      </c>
      <c r="H14" s="88">
        <v>6.0</v>
      </c>
      <c r="I14" s="7"/>
      <c r="J14" s="7">
        <v>6.0</v>
      </c>
      <c r="L14" s="7"/>
      <c r="M14" s="7">
        <v>1.0</v>
      </c>
      <c r="N14" s="7">
        <f t="shared" si="1"/>
        <v>90</v>
      </c>
      <c r="O14" s="89">
        <v>15.0</v>
      </c>
      <c r="P14" s="127">
        <v>27.0</v>
      </c>
      <c r="Q14" s="88">
        <v>10.0</v>
      </c>
      <c r="R14" s="88">
        <v>500.0</v>
      </c>
      <c r="S14" s="7">
        <f t="shared" si="2"/>
        <v>75000</v>
      </c>
      <c r="T14" s="7">
        <f t="shared" si="3"/>
        <v>12.7</v>
      </c>
      <c r="U14" s="60">
        <f t="shared" si="4"/>
        <v>6350</v>
      </c>
      <c r="V14" s="125">
        <f t="shared" si="5"/>
        <v>20250</v>
      </c>
      <c r="W14" s="101">
        <v>40.0</v>
      </c>
      <c r="X14" s="88">
        <v>500.0</v>
      </c>
      <c r="Y14" s="88">
        <v>1.2</v>
      </c>
      <c r="Z14" s="13">
        <f t="shared" si="6"/>
        <v>600</v>
      </c>
      <c r="AA14" s="13">
        <f t="shared" si="7"/>
        <v>300</v>
      </c>
      <c r="AB14" s="7">
        <f t="shared" si="8"/>
        <v>240</v>
      </c>
      <c r="AC14" s="93">
        <f t="shared" si="9"/>
        <v>3600</v>
      </c>
      <c r="AD14" s="96">
        <v>20.0</v>
      </c>
      <c r="AE14" s="88">
        <v>1000.0</v>
      </c>
      <c r="AF14" s="95">
        <v>0.5</v>
      </c>
      <c r="AG14" s="13">
        <f t="shared" si="10"/>
        <v>500</v>
      </c>
      <c r="AH14" s="13">
        <f t="shared" si="11"/>
        <v>800</v>
      </c>
      <c r="AI14" s="13">
        <f t="shared" si="12"/>
        <v>100</v>
      </c>
      <c r="AJ14" s="17">
        <f t="shared" si="13"/>
        <v>1500</v>
      </c>
      <c r="AK14" s="96">
        <v>36.0</v>
      </c>
      <c r="AL14" s="88">
        <v>3.0</v>
      </c>
      <c r="AM14" s="95">
        <v>20.0</v>
      </c>
      <c r="AN14" s="13">
        <f t="shared" si="14"/>
        <v>60</v>
      </c>
      <c r="AO14" s="13">
        <f t="shared" si="15"/>
        <v>1.92</v>
      </c>
      <c r="AP14" s="13">
        <f t="shared" si="16"/>
        <v>21.6</v>
      </c>
      <c r="AQ14" s="17">
        <f t="shared" si="17"/>
        <v>324</v>
      </c>
      <c r="AR14" s="97">
        <v>0.0</v>
      </c>
      <c r="AS14" s="95">
        <v>18000.0</v>
      </c>
      <c r="AT14" s="17">
        <f t="shared" si="22"/>
        <v>0</v>
      </c>
      <c r="AU14" s="94">
        <v>10.0</v>
      </c>
      <c r="AV14" s="95">
        <v>6000.0</v>
      </c>
      <c r="AW14" s="17">
        <f t="shared" si="18"/>
        <v>600</v>
      </c>
      <c r="AX14" s="96">
        <f t="shared" si="19"/>
        <v>157644</v>
      </c>
      <c r="AY14" s="99">
        <f t="shared" si="20"/>
        <v>29193.33333</v>
      </c>
      <c r="AZ14" s="17">
        <f t="shared" si="21"/>
        <v>157554</v>
      </c>
      <c r="BA14" s="98"/>
    </row>
    <row r="15" ht="15.75" customHeight="1">
      <c r="A15" s="14"/>
      <c r="B15" s="33" t="s">
        <v>14</v>
      </c>
      <c r="C15" s="33" t="s">
        <v>37</v>
      </c>
      <c r="D15" s="7" t="s">
        <v>135</v>
      </c>
      <c r="E15" s="7" t="s">
        <v>136</v>
      </c>
      <c r="F15" s="7" t="s">
        <v>51</v>
      </c>
      <c r="G15" s="147" t="s">
        <v>577</v>
      </c>
      <c r="H15" s="88">
        <v>6.0</v>
      </c>
      <c r="I15" s="7"/>
      <c r="J15" s="7"/>
      <c r="L15" s="7">
        <v>1000.0</v>
      </c>
      <c r="M15" s="7">
        <v>1.0</v>
      </c>
      <c r="N15" s="7">
        <f t="shared" si="1"/>
        <v>6000</v>
      </c>
      <c r="O15" s="89">
        <v>15.0</v>
      </c>
      <c r="P15" s="127">
        <v>27.0</v>
      </c>
      <c r="Q15" s="88">
        <v>10.0</v>
      </c>
      <c r="R15" s="88">
        <v>500.0</v>
      </c>
      <c r="S15" s="7">
        <f t="shared" si="2"/>
        <v>75000</v>
      </c>
      <c r="T15" s="7">
        <f t="shared" si="3"/>
        <v>12.7</v>
      </c>
      <c r="U15" s="60">
        <f t="shared" si="4"/>
        <v>6350</v>
      </c>
      <c r="V15" s="125">
        <f t="shared" si="5"/>
        <v>20250</v>
      </c>
      <c r="W15" s="101">
        <v>40.0</v>
      </c>
      <c r="X15" s="88">
        <v>500.0</v>
      </c>
      <c r="Y15" s="88">
        <v>1.2</v>
      </c>
      <c r="Z15" s="13">
        <f t="shared" si="6"/>
        <v>600</v>
      </c>
      <c r="AA15" s="13">
        <f t="shared" si="7"/>
        <v>300</v>
      </c>
      <c r="AB15" s="7">
        <f t="shared" si="8"/>
        <v>240</v>
      </c>
      <c r="AC15" s="93">
        <f t="shared" si="9"/>
        <v>3600</v>
      </c>
      <c r="AD15" s="96">
        <v>20.0</v>
      </c>
      <c r="AE15" s="88">
        <v>1000.0</v>
      </c>
      <c r="AF15" s="95">
        <v>0.5</v>
      </c>
      <c r="AG15" s="13">
        <f t="shared" si="10"/>
        <v>500</v>
      </c>
      <c r="AH15" s="13">
        <f t="shared" si="11"/>
        <v>800</v>
      </c>
      <c r="AI15" s="13">
        <f t="shared" si="12"/>
        <v>100</v>
      </c>
      <c r="AJ15" s="17">
        <f t="shared" si="13"/>
        <v>1500</v>
      </c>
      <c r="AK15" s="96">
        <v>36.0</v>
      </c>
      <c r="AL15" s="88">
        <v>3.0</v>
      </c>
      <c r="AM15" s="95">
        <v>20.0</v>
      </c>
      <c r="AN15" s="13">
        <f t="shared" si="14"/>
        <v>60</v>
      </c>
      <c r="AO15" s="13">
        <f t="shared" si="15"/>
        <v>1.92</v>
      </c>
      <c r="AP15" s="13">
        <f t="shared" si="16"/>
        <v>21.6</v>
      </c>
      <c r="AQ15" s="17">
        <f t="shared" si="17"/>
        <v>324</v>
      </c>
      <c r="AR15" s="97">
        <v>0.0</v>
      </c>
      <c r="AS15" s="95">
        <v>18000.0</v>
      </c>
      <c r="AT15" s="17">
        <f t="shared" si="22"/>
        <v>0</v>
      </c>
      <c r="AU15" s="94">
        <v>10.0</v>
      </c>
      <c r="AV15" s="95">
        <v>6000.0</v>
      </c>
      <c r="AW15" s="17">
        <f t="shared" si="18"/>
        <v>600</v>
      </c>
      <c r="AX15" s="96">
        <f t="shared" si="19"/>
        <v>157644</v>
      </c>
      <c r="AY15" s="99">
        <f t="shared" si="20"/>
        <v>437.9</v>
      </c>
      <c r="AZ15" s="17">
        <f t="shared" si="21"/>
        <v>151644</v>
      </c>
      <c r="BA15" s="98"/>
    </row>
    <row r="16" ht="15.75" customHeight="1">
      <c r="A16" s="14"/>
      <c r="B16" s="33" t="s">
        <v>14</v>
      </c>
      <c r="C16" s="33" t="s">
        <v>15</v>
      </c>
      <c r="D16" s="7" t="s">
        <v>124</v>
      </c>
      <c r="E16" s="7" t="s">
        <v>125</v>
      </c>
      <c r="F16" s="7" t="s">
        <v>51</v>
      </c>
      <c r="G16" s="147" t="s">
        <v>128</v>
      </c>
      <c r="H16" s="88">
        <v>6.0</v>
      </c>
      <c r="I16" s="7"/>
      <c r="J16" s="7"/>
      <c r="L16" s="7">
        <v>400.0</v>
      </c>
      <c r="M16" s="7">
        <v>1.0</v>
      </c>
      <c r="N16" s="7">
        <f t="shared" si="1"/>
        <v>2400</v>
      </c>
      <c r="O16" s="89">
        <v>15.0</v>
      </c>
      <c r="P16" s="127">
        <v>27.0</v>
      </c>
      <c r="Q16" s="88">
        <v>10.0</v>
      </c>
      <c r="R16" s="88">
        <v>500.0</v>
      </c>
      <c r="S16" s="7">
        <f t="shared" si="2"/>
        <v>75000</v>
      </c>
      <c r="T16" s="7">
        <f t="shared" si="3"/>
        <v>12.7</v>
      </c>
      <c r="U16" s="60">
        <f t="shared" si="4"/>
        <v>6350</v>
      </c>
      <c r="V16" s="125">
        <f t="shared" si="5"/>
        <v>20250</v>
      </c>
      <c r="W16" s="92">
        <v>0.0</v>
      </c>
      <c r="X16" s="88">
        <v>500.0</v>
      </c>
      <c r="Y16" s="88">
        <v>1.2</v>
      </c>
      <c r="Z16" s="13">
        <f t="shared" si="6"/>
        <v>600</v>
      </c>
      <c r="AA16" s="13">
        <f t="shared" si="7"/>
        <v>500</v>
      </c>
      <c r="AB16" s="7">
        <f t="shared" si="8"/>
        <v>0</v>
      </c>
      <c r="AC16" s="93">
        <f t="shared" si="9"/>
        <v>0</v>
      </c>
      <c r="AD16" s="51">
        <v>25.0</v>
      </c>
      <c r="AE16" s="88">
        <v>1000.0</v>
      </c>
      <c r="AF16" s="95">
        <v>0.5</v>
      </c>
      <c r="AG16" s="13">
        <f t="shared" si="10"/>
        <v>500</v>
      </c>
      <c r="AH16" s="13">
        <f t="shared" si="11"/>
        <v>750</v>
      </c>
      <c r="AI16" s="13">
        <f t="shared" si="12"/>
        <v>125</v>
      </c>
      <c r="AJ16" s="17">
        <f t="shared" si="13"/>
        <v>1875</v>
      </c>
      <c r="AK16" s="92">
        <v>0.0</v>
      </c>
      <c r="AL16" s="88">
        <v>3.0</v>
      </c>
      <c r="AM16" s="95">
        <v>20.0</v>
      </c>
      <c r="AN16" s="13">
        <f t="shared" si="14"/>
        <v>60</v>
      </c>
      <c r="AO16" s="13">
        <f t="shared" si="15"/>
        <v>3</v>
      </c>
      <c r="AP16" s="13">
        <f t="shared" si="16"/>
        <v>0</v>
      </c>
      <c r="AQ16" s="17">
        <f t="shared" si="17"/>
        <v>0</v>
      </c>
      <c r="AR16" s="97">
        <v>0.0</v>
      </c>
      <c r="AS16" s="95">
        <v>18000.0</v>
      </c>
      <c r="AT16" s="17">
        <f t="shared" si="22"/>
        <v>0</v>
      </c>
      <c r="AU16" s="97">
        <v>0.0</v>
      </c>
      <c r="AV16" s="95">
        <v>6000.0</v>
      </c>
      <c r="AW16" s="17">
        <f t="shared" si="18"/>
        <v>0</v>
      </c>
      <c r="AX16" s="96">
        <f t="shared" si="19"/>
        <v>132750</v>
      </c>
      <c r="AY16" s="99">
        <f t="shared" si="20"/>
        <v>921.875</v>
      </c>
      <c r="AZ16" s="17">
        <f t="shared" si="21"/>
        <v>130350</v>
      </c>
      <c r="BA16" s="98"/>
    </row>
    <row r="17" ht="15.75" customHeight="1">
      <c r="A17" s="14"/>
      <c r="B17" s="33" t="s">
        <v>14</v>
      </c>
      <c r="C17" s="33" t="s">
        <v>15</v>
      </c>
      <c r="D17" s="7" t="s">
        <v>85</v>
      </c>
      <c r="E17" s="7" t="s">
        <v>86</v>
      </c>
      <c r="F17" s="7" t="s">
        <v>89</v>
      </c>
      <c r="G17" s="147" t="s">
        <v>471</v>
      </c>
      <c r="H17" s="88">
        <v>6.0</v>
      </c>
      <c r="I17" s="7">
        <v>200.0</v>
      </c>
      <c r="J17" s="7"/>
      <c r="L17" s="7"/>
      <c r="M17" s="7">
        <v>1.0</v>
      </c>
      <c r="N17" s="7">
        <f t="shared" si="1"/>
        <v>200</v>
      </c>
      <c r="O17" s="89">
        <v>15.0</v>
      </c>
      <c r="P17" s="127">
        <v>27.0</v>
      </c>
      <c r="Q17" s="88">
        <v>10.0</v>
      </c>
      <c r="R17" s="88">
        <v>500.0</v>
      </c>
      <c r="S17" s="7">
        <f t="shared" si="2"/>
        <v>75000</v>
      </c>
      <c r="T17" s="7">
        <f t="shared" si="3"/>
        <v>12.7</v>
      </c>
      <c r="U17" s="60">
        <f t="shared" si="4"/>
        <v>6350</v>
      </c>
      <c r="V17" s="125">
        <f t="shared" si="5"/>
        <v>20250</v>
      </c>
      <c r="W17" s="92">
        <v>0.0</v>
      </c>
      <c r="X17" s="88">
        <v>500.0</v>
      </c>
      <c r="Y17" s="88">
        <v>1.2</v>
      </c>
      <c r="Z17" s="13">
        <f t="shared" si="6"/>
        <v>600</v>
      </c>
      <c r="AA17" s="13">
        <f t="shared" si="7"/>
        <v>500</v>
      </c>
      <c r="AB17" s="7">
        <f t="shared" si="8"/>
        <v>0</v>
      </c>
      <c r="AC17" s="93">
        <f t="shared" si="9"/>
        <v>0</v>
      </c>
      <c r="AD17" s="51">
        <v>25.0</v>
      </c>
      <c r="AE17" s="88">
        <v>1000.0</v>
      </c>
      <c r="AF17" s="95">
        <v>0.5</v>
      </c>
      <c r="AG17" s="13">
        <f t="shared" si="10"/>
        <v>500</v>
      </c>
      <c r="AH17" s="13">
        <f t="shared" si="11"/>
        <v>750</v>
      </c>
      <c r="AI17" s="13">
        <f t="shared" si="12"/>
        <v>125</v>
      </c>
      <c r="AJ17" s="17">
        <f t="shared" si="13"/>
        <v>1875</v>
      </c>
      <c r="AK17" s="92">
        <v>0.0</v>
      </c>
      <c r="AL17" s="88">
        <v>3.0</v>
      </c>
      <c r="AM17" s="95">
        <v>20.0</v>
      </c>
      <c r="AN17" s="13">
        <f t="shared" si="14"/>
        <v>60</v>
      </c>
      <c r="AO17" s="13">
        <f t="shared" si="15"/>
        <v>3</v>
      </c>
      <c r="AP17" s="13">
        <f t="shared" si="16"/>
        <v>0</v>
      </c>
      <c r="AQ17" s="17">
        <f t="shared" si="17"/>
        <v>0</v>
      </c>
      <c r="AR17" s="97">
        <v>0.0</v>
      </c>
      <c r="AS17" s="95">
        <v>18000.0</v>
      </c>
      <c r="AT17" s="17">
        <f t="shared" si="22"/>
        <v>0</v>
      </c>
      <c r="AU17" s="97">
        <v>0.0</v>
      </c>
      <c r="AV17" s="95">
        <v>6000.0</v>
      </c>
      <c r="AW17" s="17">
        <f t="shared" si="18"/>
        <v>0</v>
      </c>
      <c r="AX17" s="96">
        <f t="shared" si="19"/>
        <v>132750</v>
      </c>
      <c r="AY17" s="99">
        <f t="shared" si="20"/>
        <v>11062.5</v>
      </c>
      <c r="AZ17" s="17">
        <f t="shared" si="21"/>
        <v>132550</v>
      </c>
      <c r="BA17" s="98"/>
    </row>
    <row r="18" ht="15.75" customHeight="1">
      <c r="A18" s="14"/>
      <c r="B18" s="33" t="s">
        <v>14</v>
      </c>
      <c r="C18" s="33" t="s">
        <v>15</v>
      </c>
      <c r="D18" s="7" t="s">
        <v>29</v>
      </c>
      <c r="E18" s="7" t="s">
        <v>23</v>
      </c>
      <c r="F18" s="7" t="s">
        <v>26</v>
      </c>
      <c r="G18" s="147" t="s">
        <v>27</v>
      </c>
      <c r="H18" s="88">
        <v>6.0</v>
      </c>
      <c r="I18" s="7"/>
      <c r="J18" s="7"/>
      <c r="L18" s="7">
        <v>25.0</v>
      </c>
      <c r="M18" s="7">
        <v>1.0</v>
      </c>
      <c r="N18" s="7">
        <f t="shared" si="1"/>
        <v>150</v>
      </c>
      <c r="O18" s="89">
        <v>15.0</v>
      </c>
      <c r="P18" s="127">
        <v>27.0</v>
      </c>
      <c r="Q18" s="88">
        <v>10.0</v>
      </c>
      <c r="R18" s="88">
        <v>500.0</v>
      </c>
      <c r="S18" s="7">
        <f t="shared" si="2"/>
        <v>75000</v>
      </c>
      <c r="T18" s="7">
        <f t="shared" si="3"/>
        <v>12.7</v>
      </c>
      <c r="U18" s="60">
        <f t="shared" si="4"/>
        <v>6350</v>
      </c>
      <c r="V18" s="125">
        <f t="shared" si="5"/>
        <v>20250</v>
      </c>
      <c r="W18" s="92">
        <v>0.0</v>
      </c>
      <c r="X18" s="88">
        <v>500.0</v>
      </c>
      <c r="Y18" s="88">
        <v>1.2</v>
      </c>
      <c r="Z18" s="13">
        <f t="shared" si="6"/>
        <v>600</v>
      </c>
      <c r="AA18" s="13">
        <f t="shared" si="7"/>
        <v>500</v>
      </c>
      <c r="AB18" s="7">
        <f t="shared" si="8"/>
        <v>0</v>
      </c>
      <c r="AC18" s="93">
        <f t="shared" si="9"/>
        <v>0</v>
      </c>
      <c r="AD18" s="51">
        <v>25.0</v>
      </c>
      <c r="AE18" s="88">
        <v>1000.0</v>
      </c>
      <c r="AF18" s="95">
        <v>0.5</v>
      </c>
      <c r="AG18" s="13">
        <f t="shared" si="10"/>
        <v>500</v>
      </c>
      <c r="AH18" s="13">
        <f t="shared" si="11"/>
        <v>750</v>
      </c>
      <c r="AI18" s="13">
        <f t="shared" si="12"/>
        <v>125</v>
      </c>
      <c r="AJ18" s="17">
        <f t="shared" si="13"/>
        <v>1875</v>
      </c>
      <c r="AK18" s="92">
        <v>0.0</v>
      </c>
      <c r="AL18" s="88">
        <v>3.0</v>
      </c>
      <c r="AM18" s="95">
        <v>20.0</v>
      </c>
      <c r="AN18" s="13">
        <f t="shared" si="14"/>
        <v>60</v>
      </c>
      <c r="AO18" s="13">
        <f t="shared" si="15"/>
        <v>3</v>
      </c>
      <c r="AP18" s="13">
        <f t="shared" si="16"/>
        <v>0</v>
      </c>
      <c r="AQ18" s="17">
        <f t="shared" si="17"/>
        <v>0</v>
      </c>
      <c r="AR18" s="97">
        <v>0.0</v>
      </c>
      <c r="AS18" s="95">
        <v>18000.0</v>
      </c>
      <c r="AT18" s="17">
        <f t="shared" si="22"/>
        <v>0</v>
      </c>
      <c r="AU18" s="97">
        <v>0.0</v>
      </c>
      <c r="AV18" s="95">
        <v>6000.0</v>
      </c>
      <c r="AW18" s="17">
        <f t="shared" si="18"/>
        <v>0</v>
      </c>
      <c r="AX18" s="96">
        <f t="shared" si="19"/>
        <v>132750</v>
      </c>
      <c r="AY18" s="99">
        <f t="shared" si="20"/>
        <v>14750</v>
      </c>
      <c r="AZ18" s="17">
        <f t="shared" si="21"/>
        <v>132600</v>
      </c>
      <c r="BA18" s="98"/>
    </row>
    <row r="19" ht="15.75" customHeight="1">
      <c r="A19" s="21"/>
      <c r="B19" s="104" t="s">
        <v>14</v>
      </c>
      <c r="C19" s="104" t="s">
        <v>15</v>
      </c>
      <c r="D19" s="106" t="s">
        <v>22</v>
      </c>
      <c r="E19" s="106" t="s">
        <v>23</v>
      </c>
      <c r="F19" s="106" t="s">
        <v>26</v>
      </c>
      <c r="G19" s="148" t="s">
        <v>27</v>
      </c>
      <c r="H19" s="108">
        <v>6.0</v>
      </c>
      <c r="I19" s="106"/>
      <c r="J19" s="106"/>
      <c r="K19" s="109"/>
      <c r="L19" s="106">
        <v>25.0</v>
      </c>
      <c r="M19" s="106">
        <v>1.0</v>
      </c>
      <c r="N19" s="106">
        <f t="shared" si="1"/>
        <v>150</v>
      </c>
      <c r="O19" s="111">
        <v>15.0</v>
      </c>
      <c r="P19" s="149">
        <v>27.0</v>
      </c>
      <c r="Q19" s="108">
        <v>10.0</v>
      </c>
      <c r="R19" s="88">
        <v>500.0</v>
      </c>
      <c r="S19" s="106">
        <f t="shared" si="2"/>
        <v>75000</v>
      </c>
      <c r="T19" s="106">
        <f t="shared" si="3"/>
        <v>12.7</v>
      </c>
      <c r="U19" s="110">
        <f t="shared" si="4"/>
        <v>6350</v>
      </c>
      <c r="V19" s="113">
        <f t="shared" si="5"/>
        <v>20250</v>
      </c>
      <c r="W19" s="150">
        <v>0.0</v>
      </c>
      <c r="X19" s="88">
        <v>500.0</v>
      </c>
      <c r="Y19" s="108">
        <v>1.2</v>
      </c>
      <c r="Z19" s="22">
        <f t="shared" si="6"/>
        <v>600</v>
      </c>
      <c r="AA19" s="22">
        <f t="shared" si="7"/>
        <v>500</v>
      </c>
      <c r="AB19" s="106">
        <f t="shared" si="8"/>
        <v>0</v>
      </c>
      <c r="AC19" s="115">
        <f t="shared" si="9"/>
        <v>0</v>
      </c>
      <c r="AD19" s="112">
        <v>25.0</v>
      </c>
      <c r="AE19" s="108">
        <v>1000.0</v>
      </c>
      <c r="AF19" s="117">
        <v>0.5</v>
      </c>
      <c r="AG19" s="22">
        <f t="shared" si="10"/>
        <v>500</v>
      </c>
      <c r="AH19" s="22">
        <f t="shared" si="11"/>
        <v>750</v>
      </c>
      <c r="AI19" s="22">
        <f t="shared" si="12"/>
        <v>125</v>
      </c>
      <c r="AJ19" s="25">
        <f t="shared" si="13"/>
        <v>1875</v>
      </c>
      <c r="AK19" s="150">
        <v>0.0</v>
      </c>
      <c r="AL19" s="108">
        <v>3.0</v>
      </c>
      <c r="AM19" s="117">
        <v>20.0</v>
      </c>
      <c r="AN19" s="22">
        <f t="shared" si="14"/>
        <v>60</v>
      </c>
      <c r="AO19" s="22">
        <f t="shared" si="15"/>
        <v>3</v>
      </c>
      <c r="AP19" s="22">
        <f t="shared" si="16"/>
        <v>0</v>
      </c>
      <c r="AQ19" s="25">
        <f t="shared" si="17"/>
        <v>0</v>
      </c>
      <c r="AR19" s="116">
        <v>0.0</v>
      </c>
      <c r="AS19" s="117">
        <v>18000.0</v>
      </c>
      <c r="AT19" s="25">
        <f t="shared" si="22"/>
        <v>0</v>
      </c>
      <c r="AU19" s="116">
        <v>0.0</v>
      </c>
      <c r="AV19" s="108">
        <v>6000.0</v>
      </c>
      <c r="AW19" s="25">
        <f t="shared" si="18"/>
        <v>0</v>
      </c>
      <c r="AX19" s="118">
        <f t="shared" si="19"/>
        <v>132750</v>
      </c>
      <c r="AY19" s="99">
        <f t="shared" si="20"/>
        <v>14750</v>
      </c>
      <c r="AZ19" s="25">
        <f t="shared" si="21"/>
        <v>132600</v>
      </c>
      <c r="BA19" s="119"/>
    </row>
    <row r="20" ht="15.75" customHeight="1">
      <c r="A20" s="71" t="s">
        <v>140</v>
      </c>
      <c r="B20" s="72" t="s">
        <v>14</v>
      </c>
      <c r="C20" s="72" t="s">
        <v>141</v>
      </c>
      <c r="D20" s="74" t="s">
        <v>142</v>
      </c>
      <c r="E20" s="74" t="s">
        <v>143</v>
      </c>
      <c r="F20" s="74" t="s">
        <v>51</v>
      </c>
      <c r="G20" s="145" t="s">
        <v>497</v>
      </c>
      <c r="H20" s="76">
        <v>6.0</v>
      </c>
      <c r="I20" s="74">
        <v>6290.0</v>
      </c>
      <c r="J20" s="74"/>
      <c r="K20" s="77"/>
      <c r="L20" s="74"/>
      <c r="M20" s="74">
        <v>1.0</v>
      </c>
      <c r="N20" s="74">
        <f t="shared" si="1"/>
        <v>6290</v>
      </c>
      <c r="O20" s="89">
        <v>15.0</v>
      </c>
      <c r="P20" s="74">
        <v>13.0</v>
      </c>
      <c r="Q20" s="76">
        <v>10.0</v>
      </c>
      <c r="R20" s="76">
        <v>500.0</v>
      </c>
      <c r="S20" s="74">
        <f t="shared" si="2"/>
        <v>75000</v>
      </c>
      <c r="T20" s="74">
        <f t="shared" si="3"/>
        <v>11.3</v>
      </c>
      <c r="U20" s="78">
        <f t="shared" si="4"/>
        <v>5650</v>
      </c>
      <c r="V20" s="80">
        <f t="shared" si="5"/>
        <v>9750</v>
      </c>
      <c r="W20" s="151">
        <v>13.0</v>
      </c>
      <c r="X20" s="76">
        <v>500.0</v>
      </c>
      <c r="Y20" s="88">
        <v>1.2</v>
      </c>
      <c r="Z20" s="9">
        <f t="shared" si="6"/>
        <v>600</v>
      </c>
      <c r="AA20" s="9">
        <f t="shared" si="7"/>
        <v>435</v>
      </c>
      <c r="AB20" s="74">
        <f t="shared" si="8"/>
        <v>78</v>
      </c>
      <c r="AC20" s="81">
        <f t="shared" si="9"/>
        <v>1170</v>
      </c>
      <c r="AD20" s="123">
        <v>34.5</v>
      </c>
      <c r="AE20" s="88">
        <v>1000.0</v>
      </c>
      <c r="AF20" s="95">
        <v>0.5</v>
      </c>
      <c r="AG20" s="9">
        <f t="shared" si="10"/>
        <v>500</v>
      </c>
      <c r="AH20" s="9">
        <f t="shared" si="11"/>
        <v>655</v>
      </c>
      <c r="AI20" s="9">
        <f t="shared" si="12"/>
        <v>172.5</v>
      </c>
      <c r="AJ20" s="12">
        <f t="shared" si="13"/>
        <v>2587.5</v>
      </c>
      <c r="AK20" s="152">
        <v>4.0</v>
      </c>
      <c r="AL20" s="83">
        <v>3.0</v>
      </c>
      <c r="AM20" s="95">
        <v>20.0</v>
      </c>
      <c r="AN20" s="9">
        <f t="shared" si="14"/>
        <v>60</v>
      </c>
      <c r="AO20" s="9">
        <f t="shared" si="15"/>
        <v>2.88</v>
      </c>
      <c r="AP20" s="9">
        <f t="shared" si="16"/>
        <v>2.4</v>
      </c>
      <c r="AQ20" s="12">
        <f t="shared" si="17"/>
        <v>36</v>
      </c>
      <c r="AR20" s="123">
        <v>6.5</v>
      </c>
      <c r="AS20" s="95">
        <v>18000.0</v>
      </c>
      <c r="AT20" s="12">
        <f t="shared" si="22"/>
        <v>1170</v>
      </c>
      <c r="AU20" s="153">
        <v>25.0</v>
      </c>
      <c r="AV20" s="83">
        <v>6000.0</v>
      </c>
      <c r="AW20" s="12">
        <f t="shared" si="18"/>
        <v>1500</v>
      </c>
      <c r="AX20" s="84">
        <f t="shared" si="19"/>
        <v>97281</v>
      </c>
      <c r="AY20" s="87">
        <f t="shared" si="20"/>
        <v>257.7662957</v>
      </c>
      <c r="AZ20" s="12">
        <f t="shared" si="21"/>
        <v>90991</v>
      </c>
      <c r="BA20" s="86"/>
    </row>
    <row r="21" ht="15.75" customHeight="1">
      <c r="A21" s="14"/>
      <c r="B21" s="33" t="s">
        <v>14</v>
      </c>
      <c r="C21" s="33" t="s">
        <v>141</v>
      </c>
      <c r="D21" s="7" t="s">
        <v>147</v>
      </c>
      <c r="E21" s="7" t="s">
        <v>148</v>
      </c>
      <c r="F21" s="7" t="s">
        <v>51</v>
      </c>
      <c r="G21" s="147" t="s">
        <v>498</v>
      </c>
      <c r="H21" s="88">
        <v>6.0</v>
      </c>
      <c r="I21" s="7">
        <v>5100.0</v>
      </c>
      <c r="J21" s="7"/>
      <c r="L21" s="7"/>
      <c r="M21" s="7">
        <v>1.0</v>
      </c>
      <c r="N21" s="7">
        <f t="shared" si="1"/>
        <v>5100</v>
      </c>
      <c r="O21" s="89">
        <v>15.0</v>
      </c>
      <c r="P21" s="7">
        <v>13.0</v>
      </c>
      <c r="Q21" s="88">
        <v>10.0</v>
      </c>
      <c r="R21" s="88">
        <v>500.0</v>
      </c>
      <c r="S21" s="7">
        <f t="shared" si="2"/>
        <v>75000</v>
      </c>
      <c r="T21" s="7">
        <f t="shared" si="3"/>
        <v>11.3</v>
      </c>
      <c r="U21" s="60">
        <f t="shared" si="4"/>
        <v>5650</v>
      </c>
      <c r="V21" s="125">
        <f t="shared" si="5"/>
        <v>9750</v>
      </c>
      <c r="W21" s="51">
        <v>13.0</v>
      </c>
      <c r="X21" s="88">
        <v>500.0</v>
      </c>
      <c r="Y21" s="88">
        <v>1.2</v>
      </c>
      <c r="Z21" s="13">
        <f t="shared" si="6"/>
        <v>600</v>
      </c>
      <c r="AA21" s="13">
        <f t="shared" si="7"/>
        <v>435</v>
      </c>
      <c r="AB21" s="7">
        <f t="shared" si="8"/>
        <v>78</v>
      </c>
      <c r="AC21" s="93">
        <f t="shared" si="9"/>
        <v>1170</v>
      </c>
      <c r="AD21" s="94">
        <v>34.5</v>
      </c>
      <c r="AE21" s="88">
        <v>1000.0</v>
      </c>
      <c r="AF21" s="95">
        <v>0.5</v>
      </c>
      <c r="AG21" s="13">
        <f t="shared" si="10"/>
        <v>500</v>
      </c>
      <c r="AH21" s="13">
        <f t="shared" si="11"/>
        <v>655</v>
      </c>
      <c r="AI21" s="13">
        <f t="shared" si="12"/>
        <v>172.5</v>
      </c>
      <c r="AJ21" s="17">
        <f t="shared" si="13"/>
        <v>2587.5</v>
      </c>
      <c r="AK21" s="154">
        <v>4.0</v>
      </c>
      <c r="AL21" s="95">
        <v>3.0</v>
      </c>
      <c r="AM21" s="95">
        <v>20.0</v>
      </c>
      <c r="AN21" s="13">
        <f t="shared" si="14"/>
        <v>60</v>
      </c>
      <c r="AO21" s="13">
        <f t="shared" si="15"/>
        <v>2.88</v>
      </c>
      <c r="AP21" s="13">
        <f t="shared" si="16"/>
        <v>2.4</v>
      </c>
      <c r="AQ21" s="17">
        <f t="shared" si="17"/>
        <v>36</v>
      </c>
      <c r="AR21" s="94">
        <v>6.5</v>
      </c>
      <c r="AS21" s="95">
        <v>18000.0</v>
      </c>
      <c r="AT21" s="17">
        <f t="shared" si="22"/>
        <v>1170</v>
      </c>
      <c r="AU21" s="91">
        <v>25.0</v>
      </c>
      <c r="AV21" s="95">
        <v>6000.0</v>
      </c>
      <c r="AW21" s="17">
        <f t="shared" si="18"/>
        <v>1500</v>
      </c>
      <c r="AX21" s="96">
        <f t="shared" si="19"/>
        <v>97281</v>
      </c>
      <c r="AY21" s="99">
        <f t="shared" si="20"/>
        <v>317.9117647</v>
      </c>
      <c r="AZ21" s="17">
        <f t="shared" si="21"/>
        <v>92181</v>
      </c>
      <c r="BA21" s="98"/>
    </row>
    <row r="22" ht="15.75" customHeight="1">
      <c r="A22" s="14"/>
      <c r="B22" s="33" t="s">
        <v>14</v>
      </c>
      <c r="C22" s="33" t="s">
        <v>500</v>
      </c>
      <c r="D22" s="7" t="s">
        <v>160</v>
      </c>
      <c r="E22" s="7" t="s">
        <v>161</v>
      </c>
      <c r="F22" s="7" t="s">
        <v>51</v>
      </c>
      <c r="G22" s="147" t="s">
        <v>501</v>
      </c>
      <c r="H22" s="88">
        <v>6.0</v>
      </c>
      <c r="I22" s="7">
        <v>1500.0</v>
      </c>
      <c r="J22" s="7"/>
      <c r="L22" s="7"/>
      <c r="M22" s="7">
        <v>1.0</v>
      </c>
      <c r="N22" s="7">
        <f t="shared" si="1"/>
        <v>1500</v>
      </c>
      <c r="O22" s="89">
        <v>15.0</v>
      </c>
      <c r="P22" s="7">
        <v>13.0</v>
      </c>
      <c r="Q22" s="88">
        <v>10.0</v>
      </c>
      <c r="R22" s="88">
        <v>500.0</v>
      </c>
      <c r="S22" s="7">
        <f t="shared" si="2"/>
        <v>75000</v>
      </c>
      <c r="T22" s="7">
        <f t="shared" si="3"/>
        <v>11.3</v>
      </c>
      <c r="U22" s="60">
        <f t="shared" si="4"/>
        <v>5650</v>
      </c>
      <c r="V22" s="125">
        <f t="shared" si="5"/>
        <v>9750</v>
      </c>
      <c r="W22" s="51">
        <v>13.0</v>
      </c>
      <c r="X22" s="88">
        <v>500.0</v>
      </c>
      <c r="Y22" s="88">
        <v>1.2</v>
      </c>
      <c r="Z22" s="13">
        <f t="shared" si="6"/>
        <v>600</v>
      </c>
      <c r="AA22" s="13">
        <f t="shared" si="7"/>
        <v>435</v>
      </c>
      <c r="AB22" s="7">
        <f t="shared" si="8"/>
        <v>78</v>
      </c>
      <c r="AC22" s="93">
        <f t="shared" si="9"/>
        <v>1170</v>
      </c>
      <c r="AD22" s="94">
        <v>34.5</v>
      </c>
      <c r="AE22" s="88">
        <v>1000.0</v>
      </c>
      <c r="AF22" s="95">
        <v>0.5</v>
      </c>
      <c r="AG22" s="13">
        <f t="shared" si="10"/>
        <v>500</v>
      </c>
      <c r="AH22" s="13">
        <f t="shared" si="11"/>
        <v>655</v>
      </c>
      <c r="AI22" s="13">
        <f t="shared" si="12"/>
        <v>172.5</v>
      </c>
      <c r="AJ22" s="17">
        <f t="shared" si="13"/>
        <v>2587.5</v>
      </c>
      <c r="AK22" s="154">
        <v>4.0</v>
      </c>
      <c r="AL22" s="95">
        <v>3.0</v>
      </c>
      <c r="AM22" s="95">
        <v>20.0</v>
      </c>
      <c r="AN22" s="13">
        <f t="shared" si="14"/>
        <v>60</v>
      </c>
      <c r="AO22" s="13">
        <f t="shared" si="15"/>
        <v>2.88</v>
      </c>
      <c r="AP22" s="13">
        <f t="shared" si="16"/>
        <v>2.4</v>
      </c>
      <c r="AQ22" s="17">
        <f t="shared" si="17"/>
        <v>36</v>
      </c>
      <c r="AR22" s="94">
        <v>6.5</v>
      </c>
      <c r="AS22" s="95">
        <v>18000.0</v>
      </c>
      <c r="AT22" s="17">
        <f t="shared" si="22"/>
        <v>1170</v>
      </c>
      <c r="AU22" s="91">
        <v>25.0</v>
      </c>
      <c r="AV22" s="95">
        <v>6000.0</v>
      </c>
      <c r="AW22" s="17">
        <f t="shared" si="18"/>
        <v>1500</v>
      </c>
      <c r="AX22" s="96">
        <f t="shared" si="19"/>
        <v>97281</v>
      </c>
      <c r="AY22" s="99">
        <f t="shared" si="20"/>
        <v>1080.9</v>
      </c>
      <c r="AZ22" s="17">
        <f t="shared" si="21"/>
        <v>95781</v>
      </c>
      <c r="BA22" s="98"/>
    </row>
    <row r="23" ht="15.75" customHeight="1">
      <c r="A23" s="14"/>
      <c r="B23" s="33" t="s">
        <v>502</v>
      </c>
      <c r="C23" s="33" t="s">
        <v>500</v>
      </c>
      <c r="D23" s="7" t="s">
        <v>171</v>
      </c>
      <c r="E23" s="7" t="s">
        <v>172</v>
      </c>
      <c r="F23" s="7" t="s">
        <v>51</v>
      </c>
      <c r="G23" s="147" t="s">
        <v>176</v>
      </c>
      <c r="H23" s="88">
        <v>6.0</v>
      </c>
      <c r="I23" s="7">
        <v>12500.0</v>
      </c>
      <c r="J23" s="7"/>
      <c r="L23" s="7"/>
      <c r="M23" s="7">
        <v>1.0</v>
      </c>
      <c r="N23" s="7">
        <f t="shared" si="1"/>
        <v>12500</v>
      </c>
      <c r="O23" s="89">
        <v>15.0</v>
      </c>
      <c r="P23" s="7">
        <v>13.0</v>
      </c>
      <c r="Q23" s="88">
        <v>10.0</v>
      </c>
      <c r="R23" s="88">
        <v>500.0</v>
      </c>
      <c r="S23" s="7">
        <f t="shared" si="2"/>
        <v>75000</v>
      </c>
      <c r="T23" s="7">
        <f t="shared" si="3"/>
        <v>11.3</v>
      </c>
      <c r="U23" s="60">
        <f t="shared" si="4"/>
        <v>5650</v>
      </c>
      <c r="V23" s="125">
        <f t="shared" si="5"/>
        <v>9750</v>
      </c>
      <c r="W23" s="51">
        <v>13.0</v>
      </c>
      <c r="X23" s="88">
        <v>500.0</v>
      </c>
      <c r="Y23" s="88">
        <v>1.2</v>
      </c>
      <c r="Z23" s="13">
        <f t="shared" si="6"/>
        <v>600</v>
      </c>
      <c r="AA23" s="13">
        <f t="shared" si="7"/>
        <v>435</v>
      </c>
      <c r="AB23" s="7">
        <f t="shared" si="8"/>
        <v>78</v>
      </c>
      <c r="AC23" s="93">
        <f t="shared" si="9"/>
        <v>1170</v>
      </c>
      <c r="AD23" s="94">
        <v>34.5</v>
      </c>
      <c r="AE23" s="88">
        <v>1000.0</v>
      </c>
      <c r="AF23" s="95">
        <v>0.5</v>
      </c>
      <c r="AG23" s="13">
        <f t="shared" si="10"/>
        <v>500</v>
      </c>
      <c r="AH23" s="13">
        <f t="shared" si="11"/>
        <v>655</v>
      </c>
      <c r="AI23" s="13">
        <f t="shared" si="12"/>
        <v>172.5</v>
      </c>
      <c r="AJ23" s="17">
        <f t="shared" si="13"/>
        <v>2587.5</v>
      </c>
      <c r="AK23" s="154">
        <v>4.0</v>
      </c>
      <c r="AL23" s="95">
        <v>3.0</v>
      </c>
      <c r="AM23" s="95">
        <v>20.0</v>
      </c>
      <c r="AN23" s="13">
        <f t="shared" si="14"/>
        <v>60</v>
      </c>
      <c r="AO23" s="13">
        <f t="shared" si="15"/>
        <v>2.88</v>
      </c>
      <c r="AP23" s="13">
        <f t="shared" si="16"/>
        <v>2.4</v>
      </c>
      <c r="AQ23" s="17">
        <f t="shared" si="17"/>
        <v>36</v>
      </c>
      <c r="AR23" s="94">
        <v>6.5</v>
      </c>
      <c r="AS23" s="95">
        <v>18000.0</v>
      </c>
      <c r="AT23" s="17">
        <f t="shared" si="22"/>
        <v>1170</v>
      </c>
      <c r="AU23" s="91">
        <v>25.0</v>
      </c>
      <c r="AV23" s="95">
        <v>6000.0</v>
      </c>
      <c r="AW23" s="17">
        <f t="shared" si="18"/>
        <v>1500</v>
      </c>
      <c r="AX23" s="96">
        <f t="shared" si="19"/>
        <v>97281</v>
      </c>
      <c r="AY23" s="99">
        <f t="shared" si="20"/>
        <v>129.708</v>
      </c>
      <c r="AZ23" s="17">
        <f t="shared" si="21"/>
        <v>84781</v>
      </c>
      <c r="BA23" s="98"/>
    </row>
    <row r="24" ht="15.75" customHeight="1">
      <c r="A24" s="14"/>
      <c r="B24" s="33" t="s">
        <v>502</v>
      </c>
      <c r="C24" s="33" t="s">
        <v>177</v>
      </c>
      <c r="D24" s="7" t="s">
        <v>504</v>
      </c>
      <c r="E24" s="7" t="s">
        <v>172</v>
      </c>
      <c r="F24" s="7" t="s">
        <v>51</v>
      </c>
      <c r="G24" s="147" t="s">
        <v>503</v>
      </c>
      <c r="H24" s="88">
        <v>6.0</v>
      </c>
      <c r="I24" s="7">
        <v>17500.0</v>
      </c>
      <c r="J24" s="7"/>
      <c r="L24" s="7"/>
      <c r="M24" s="7">
        <v>1.0</v>
      </c>
      <c r="N24" s="7">
        <f t="shared" si="1"/>
        <v>17500</v>
      </c>
      <c r="O24" s="89">
        <v>15.0</v>
      </c>
      <c r="P24" s="7">
        <v>13.0</v>
      </c>
      <c r="Q24" s="88">
        <v>10.0</v>
      </c>
      <c r="R24" s="88">
        <v>500.0</v>
      </c>
      <c r="S24" s="7">
        <f t="shared" si="2"/>
        <v>75000</v>
      </c>
      <c r="T24" s="7">
        <f t="shared" si="3"/>
        <v>11.3</v>
      </c>
      <c r="U24" s="60">
        <f t="shared" si="4"/>
        <v>5650</v>
      </c>
      <c r="V24" s="125">
        <f t="shared" si="5"/>
        <v>9750</v>
      </c>
      <c r="W24" s="51">
        <v>13.0</v>
      </c>
      <c r="X24" s="88">
        <v>500.0</v>
      </c>
      <c r="Y24" s="88">
        <v>1.2</v>
      </c>
      <c r="Z24" s="13">
        <f t="shared" si="6"/>
        <v>600</v>
      </c>
      <c r="AA24" s="13">
        <f t="shared" si="7"/>
        <v>435</v>
      </c>
      <c r="AB24" s="7">
        <f t="shared" si="8"/>
        <v>78</v>
      </c>
      <c r="AC24" s="93">
        <f t="shared" si="9"/>
        <v>1170</v>
      </c>
      <c r="AD24" s="94">
        <v>34.5</v>
      </c>
      <c r="AE24" s="88">
        <v>1000.0</v>
      </c>
      <c r="AF24" s="95">
        <v>0.5</v>
      </c>
      <c r="AG24" s="13">
        <f t="shared" si="10"/>
        <v>500</v>
      </c>
      <c r="AH24" s="13">
        <f t="shared" si="11"/>
        <v>655</v>
      </c>
      <c r="AI24" s="13">
        <f t="shared" si="12"/>
        <v>172.5</v>
      </c>
      <c r="AJ24" s="17">
        <f t="shared" si="13"/>
        <v>2587.5</v>
      </c>
      <c r="AK24" s="154">
        <v>4.0</v>
      </c>
      <c r="AL24" s="95">
        <v>3.0</v>
      </c>
      <c r="AM24" s="95">
        <v>20.0</v>
      </c>
      <c r="AN24" s="13">
        <f t="shared" si="14"/>
        <v>60</v>
      </c>
      <c r="AO24" s="13">
        <f t="shared" si="15"/>
        <v>2.88</v>
      </c>
      <c r="AP24" s="13">
        <f t="shared" si="16"/>
        <v>2.4</v>
      </c>
      <c r="AQ24" s="17">
        <f t="shared" si="17"/>
        <v>36</v>
      </c>
      <c r="AR24" s="94">
        <v>6.5</v>
      </c>
      <c r="AS24" s="95">
        <v>18000.0</v>
      </c>
      <c r="AT24" s="17">
        <f t="shared" si="22"/>
        <v>1170</v>
      </c>
      <c r="AU24" s="91">
        <v>25.0</v>
      </c>
      <c r="AV24" s="95">
        <v>6000.0</v>
      </c>
      <c r="AW24" s="17">
        <f t="shared" si="18"/>
        <v>1500</v>
      </c>
      <c r="AX24" s="96">
        <f t="shared" si="19"/>
        <v>97281</v>
      </c>
      <c r="AY24" s="99">
        <f t="shared" si="20"/>
        <v>92.64857143</v>
      </c>
      <c r="AZ24" s="17">
        <f t="shared" si="21"/>
        <v>79781</v>
      </c>
      <c r="BA24" s="98"/>
    </row>
    <row r="25" ht="15.75" customHeight="1">
      <c r="A25" s="14"/>
      <c r="B25" s="33" t="s">
        <v>14</v>
      </c>
      <c r="C25" s="33" t="s">
        <v>578</v>
      </c>
      <c r="D25" s="7" t="s">
        <v>212</v>
      </c>
      <c r="E25" s="7" t="s">
        <v>136</v>
      </c>
      <c r="F25" s="7" t="s">
        <v>51</v>
      </c>
      <c r="G25" s="147" t="s">
        <v>503</v>
      </c>
      <c r="H25" s="88">
        <v>6.0</v>
      </c>
      <c r="I25" s="7">
        <v>17500.0</v>
      </c>
      <c r="J25" s="7"/>
      <c r="L25" s="7"/>
      <c r="M25" s="7">
        <v>1.0</v>
      </c>
      <c r="N25" s="7">
        <f t="shared" si="1"/>
        <v>17500</v>
      </c>
      <c r="O25" s="89">
        <v>15.0</v>
      </c>
      <c r="P25" s="7">
        <v>13.0</v>
      </c>
      <c r="Q25" s="88">
        <v>10.0</v>
      </c>
      <c r="R25" s="88">
        <v>500.0</v>
      </c>
      <c r="S25" s="7">
        <f t="shared" si="2"/>
        <v>75000</v>
      </c>
      <c r="T25" s="7">
        <f t="shared" si="3"/>
        <v>11.3</v>
      </c>
      <c r="U25" s="60">
        <f t="shared" si="4"/>
        <v>5650</v>
      </c>
      <c r="V25" s="125">
        <f t="shared" si="5"/>
        <v>9750</v>
      </c>
      <c r="W25" s="51">
        <v>13.0</v>
      </c>
      <c r="X25" s="88">
        <v>500.0</v>
      </c>
      <c r="Y25" s="88">
        <v>1.2</v>
      </c>
      <c r="Z25" s="13">
        <f t="shared" si="6"/>
        <v>600</v>
      </c>
      <c r="AA25" s="13">
        <f t="shared" si="7"/>
        <v>435</v>
      </c>
      <c r="AB25" s="7">
        <f t="shared" si="8"/>
        <v>78</v>
      </c>
      <c r="AC25" s="93">
        <f t="shared" si="9"/>
        <v>1170</v>
      </c>
      <c r="AD25" s="94">
        <v>34.5</v>
      </c>
      <c r="AE25" s="88">
        <v>1000.0</v>
      </c>
      <c r="AF25" s="95">
        <v>0.5</v>
      </c>
      <c r="AG25" s="13">
        <f t="shared" si="10"/>
        <v>500</v>
      </c>
      <c r="AH25" s="13">
        <f t="shared" si="11"/>
        <v>655</v>
      </c>
      <c r="AI25" s="13">
        <f t="shared" si="12"/>
        <v>172.5</v>
      </c>
      <c r="AJ25" s="17">
        <f t="shared" si="13"/>
        <v>2587.5</v>
      </c>
      <c r="AK25" s="154">
        <v>4.0</v>
      </c>
      <c r="AL25" s="95">
        <v>3.0</v>
      </c>
      <c r="AM25" s="95">
        <v>20.0</v>
      </c>
      <c r="AN25" s="13">
        <f t="shared" si="14"/>
        <v>60</v>
      </c>
      <c r="AO25" s="13">
        <f t="shared" si="15"/>
        <v>2.88</v>
      </c>
      <c r="AP25" s="13">
        <f t="shared" si="16"/>
        <v>2.4</v>
      </c>
      <c r="AQ25" s="17">
        <f t="shared" si="17"/>
        <v>36</v>
      </c>
      <c r="AR25" s="94">
        <v>6.5</v>
      </c>
      <c r="AS25" s="95">
        <v>18000.0</v>
      </c>
      <c r="AT25" s="17">
        <f t="shared" si="22"/>
        <v>1170</v>
      </c>
      <c r="AU25" s="91">
        <v>25.0</v>
      </c>
      <c r="AV25" s="95">
        <v>6000.0</v>
      </c>
      <c r="AW25" s="17">
        <f t="shared" si="18"/>
        <v>1500</v>
      </c>
      <c r="AX25" s="96">
        <f t="shared" si="19"/>
        <v>97281</v>
      </c>
      <c r="AY25" s="99">
        <f t="shared" si="20"/>
        <v>92.64857143</v>
      </c>
      <c r="AZ25" s="17">
        <f t="shared" si="21"/>
        <v>79781</v>
      </c>
      <c r="BA25" s="98"/>
    </row>
    <row r="26" ht="15.75" customHeight="1">
      <c r="A26" s="14"/>
      <c r="B26" s="33" t="s">
        <v>14</v>
      </c>
      <c r="C26" s="33" t="s">
        <v>508</v>
      </c>
      <c r="D26" s="7" t="s">
        <v>216</v>
      </c>
      <c r="E26" s="7" t="s">
        <v>172</v>
      </c>
      <c r="F26" s="7" t="s">
        <v>51</v>
      </c>
      <c r="G26" s="147" t="s">
        <v>181</v>
      </c>
      <c r="H26" s="88">
        <v>6.0</v>
      </c>
      <c r="I26" s="7">
        <v>17500.0</v>
      </c>
      <c r="J26" s="7"/>
      <c r="L26" s="7"/>
      <c r="M26" s="7">
        <v>1.0</v>
      </c>
      <c r="N26" s="7">
        <f t="shared" si="1"/>
        <v>17500</v>
      </c>
      <c r="O26" s="89">
        <v>15.0</v>
      </c>
      <c r="P26" s="7">
        <v>13.0</v>
      </c>
      <c r="Q26" s="88">
        <v>10.0</v>
      </c>
      <c r="R26" s="88">
        <v>500.0</v>
      </c>
      <c r="S26" s="7">
        <f t="shared" si="2"/>
        <v>75000</v>
      </c>
      <c r="T26" s="7">
        <f t="shared" si="3"/>
        <v>11.3</v>
      </c>
      <c r="U26" s="60">
        <f t="shared" si="4"/>
        <v>5650</v>
      </c>
      <c r="V26" s="125">
        <f t="shared" si="5"/>
        <v>9750</v>
      </c>
      <c r="W26" s="51">
        <v>13.0</v>
      </c>
      <c r="X26" s="88">
        <v>500.0</v>
      </c>
      <c r="Y26" s="88">
        <v>1.2</v>
      </c>
      <c r="Z26" s="13">
        <f t="shared" si="6"/>
        <v>600</v>
      </c>
      <c r="AA26" s="13">
        <f t="shared" si="7"/>
        <v>435</v>
      </c>
      <c r="AB26" s="7">
        <f t="shared" si="8"/>
        <v>78</v>
      </c>
      <c r="AC26" s="93">
        <f t="shared" si="9"/>
        <v>1170</v>
      </c>
      <c r="AD26" s="94">
        <v>34.5</v>
      </c>
      <c r="AE26" s="88">
        <v>1000.0</v>
      </c>
      <c r="AF26" s="95">
        <v>0.5</v>
      </c>
      <c r="AG26" s="13">
        <f t="shared" si="10"/>
        <v>500</v>
      </c>
      <c r="AH26" s="13">
        <f t="shared" si="11"/>
        <v>655</v>
      </c>
      <c r="AI26" s="13">
        <f t="shared" si="12"/>
        <v>172.5</v>
      </c>
      <c r="AJ26" s="17">
        <f t="shared" si="13"/>
        <v>2587.5</v>
      </c>
      <c r="AK26" s="154">
        <v>4.0</v>
      </c>
      <c r="AL26" s="88">
        <v>3.0</v>
      </c>
      <c r="AM26" s="95">
        <v>20.0</v>
      </c>
      <c r="AN26" s="13">
        <f t="shared" si="14"/>
        <v>60</v>
      </c>
      <c r="AO26" s="13">
        <f t="shared" si="15"/>
        <v>2.88</v>
      </c>
      <c r="AP26" s="13">
        <f t="shared" si="16"/>
        <v>2.4</v>
      </c>
      <c r="AQ26" s="17">
        <f t="shared" si="17"/>
        <v>36</v>
      </c>
      <c r="AR26" s="94">
        <v>6.5</v>
      </c>
      <c r="AS26" s="95">
        <v>18000.0</v>
      </c>
      <c r="AT26" s="17">
        <f t="shared" si="22"/>
        <v>1170</v>
      </c>
      <c r="AU26" s="91">
        <v>25.0</v>
      </c>
      <c r="AV26" s="95">
        <v>6000.0</v>
      </c>
      <c r="AW26" s="17">
        <f t="shared" si="18"/>
        <v>1500</v>
      </c>
      <c r="AX26" s="96">
        <f t="shared" si="19"/>
        <v>97281</v>
      </c>
      <c r="AY26" s="99">
        <f t="shared" si="20"/>
        <v>92.64857143</v>
      </c>
      <c r="AZ26" s="17">
        <f t="shared" si="21"/>
        <v>79781</v>
      </c>
      <c r="BA26" s="98"/>
    </row>
    <row r="27" ht="15.75" customHeight="1">
      <c r="A27" s="14"/>
      <c r="B27" s="33" t="s">
        <v>14</v>
      </c>
      <c r="C27" s="33" t="s">
        <v>141</v>
      </c>
      <c r="D27" s="7" t="s">
        <v>198</v>
      </c>
      <c r="E27" s="7" t="s">
        <v>579</v>
      </c>
      <c r="F27" s="7" t="s">
        <v>51</v>
      </c>
      <c r="G27" s="147" t="s">
        <v>516</v>
      </c>
      <c r="H27" s="88">
        <v>6.0</v>
      </c>
      <c r="I27" s="7">
        <v>7000.0</v>
      </c>
      <c r="J27" s="7"/>
      <c r="L27" s="7"/>
      <c r="M27" s="7">
        <v>1.0</v>
      </c>
      <c r="N27" s="7">
        <f t="shared" si="1"/>
        <v>7000</v>
      </c>
      <c r="O27" s="89">
        <v>15.0</v>
      </c>
      <c r="P27" s="7">
        <v>13.0</v>
      </c>
      <c r="Q27" s="88">
        <v>10.0</v>
      </c>
      <c r="R27" s="88">
        <v>500.0</v>
      </c>
      <c r="S27" s="7">
        <f t="shared" si="2"/>
        <v>75000</v>
      </c>
      <c r="T27" s="7">
        <f t="shared" si="3"/>
        <v>11.3</v>
      </c>
      <c r="U27" s="60">
        <f t="shared" si="4"/>
        <v>5650</v>
      </c>
      <c r="V27" s="125">
        <f t="shared" si="5"/>
        <v>9750</v>
      </c>
      <c r="W27" s="51">
        <v>13.0</v>
      </c>
      <c r="X27" s="88">
        <v>500.0</v>
      </c>
      <c r="Y27" s="88">
        <v>1.2</v>
      </c>
      <c r="Z27" s="13">
        <f t="shared" si="6"/>
        <v>600</v>
      </c>
      <c r="AA27" s="13">
        <f t="shared" si="7"/>
        <v>435</v>
      </c>
      <c r="AB27" s="7">
        <f t="shared" si="8"/>
        <v>78</v>
      </c>
      <c r="AC27" s="93">
        <f t="shared" si="9"/>
        <v>1170</v>
      </c>
      <c r="AD27" s="94">
        <v>34.5</v>
      </c>
      <c r="AE27" s="88">
        <v>1000.0</v>
      </c>
      <c r="AF27" s="95">
        <v>0.5</v>
      </c>
      <c r="AG27" s="13">
        <f t="shared" si="10"/>
        <v>500</v>
      </c>
      <c r="AH27" s="13">
        <f t="shared" si="11"/>
        <v>655</v>
      </c>
      <c r="AI27" s="13">
        <f t="shared" si="12"/>
        <v>172.5</v>
      </c>
      <c r="AJ27" s="17">
        <f t="shared" si="13"/>
        <v>2587.5</v>
      </c>
      <c r="AK27" s="154">
        <v>4.0</v>
      </c>
      <c r="AL27" s="88">
        <v>3.0</v>
      </c>
      <c r="AM27" s="95">
        <v>20.0</v>
      </c>
      <c r="AN27" s="13">
        <f t="shared" si="14"/>
        <v>60</v>
      </c>
      <c r="AO27" s="13">
        <f t="shared" si="15"/>
        <v>2.88</v>
      </c>
      <c r="AP27" s="13">
        <f t="shared" si="16"/>
        <v>2.4</v>
      </c>
      <c r="AQ27" s="17">
        <f t="shared" si="17"/>
        <v>36</v>
      </c>
      <c r="AR27" s="94">
        <v>6.5</v>
      </c>
      <c r="AS27" s="95">
        <v>18000.0</v>
      </c>
      <c r="AT27" s="17">
        <f t="shared" si="22"/>
        <v>1170</v>
      </c>
      <c r="AU27" s="91">
        <v>25.0</v>
      </c>
      <c r="AV27" s="95">
        <v>6000.0</v>
      </c>
      <c r="AW27" s="17">
        <f t="shared" si="18"/>
        <v>1500</v>
      </c>
      <c r="AX27" s="96">
        <f t="shared" si="19"/>
        <v>97281</v>
      </c>
      <c r="AY27" s="99">
        <f t="shared" si="20"/>
        <v>231.6214286</v>
      </c>
      <c r="AZ27" s="17">
        <f t="shared" si="21"/>
        <v>90281</v>
      </c>
      <c r="BA27" s="98"/>
    </row>
    <row r="28" ht="15.75" customHeight="1">
      <c r="A28" s="14"/>
      <c r="B28" s="33" t="s">
        <v>14</v>
      </c>
      <c r="C28" s="33" t="s">
        <v>141</v>
      </c>
      <c r="D28" s="7" t="s">
        <v>201</v>
      </c>
      <c r="E28" s="7" t="s">
        <v>202</v>
      </c>
      <c r="F28" s="7" t="s">
        <v>51</v>
      </c>
      <c r="G28" s="147" t="s">
        <v>580</v>
      </c>
      <c r="H28" s="88">
        <v>6.0</v>
      </c>
      <c r="I28" s="7">
        <v>10000.0</v>
      </c>
      <c r="J28" s="7"/>
      <c r="L28" s="7"/>
      <c r="M28" s="7">
        <v>1.0</v>
      </c>
      <c r="N28" s="7">
        <f t="shared" si="1"/>
        <v>10000</v>
      </c>
      <c r="O28" s="89">
        <v>15.0</v>
      </c>
      <c r="P28" s="7">
        <v>13.0</v>
      </c>
      <c r="Q28" s="88">
        <v>10.0</v>
      </c>
      <c r="R28" s="88">
        <v>500.0</v>
      </c>
      <c r="S28" s="7">
        <f t="shared" si="2"/>
        <v>75000</v>
      </c>
      <c r="T28" s="7">
        <f t="shared" si="3"/>
        <v>11.3</v>
      </c>
      <c r="U28" s="60">
        <f t="shared" si="4"/>
        <v>5650</v>
      </c>
      <c r="V28" s="125">
        <f t="shared" si="5"/>
        <v>9750</v>
      </c>
      <c r="W28" s="51">
        <v>13.0</v>
      </c>
      <c r="X28" s="88">
        <v>500.0</v>
      </c>
      <c r="Y28" s="88">
        <v>1.2</v>
      </c>
      <c r="Z28" s="13">
        <f t="shared" si="6"/>
        <v>600</v>
      </c>
      <c r="AA28" s="13">
        <f t="shared" si="7"/>
        <v>435</v>
      </c>
      <c r="AB28" s="7">
        <f t="shared" si="8"/>
        <v>78</v>
      </c>
      <c r="AC28" s="93">
        <f t="shared" si="9"/>
        <v>1170</v>
      </c>
      <c r="AD28" s="94">
        <v>34.5</v>
      </c>
      <c r="AE28" s="88">
        <v>1000.0</v>
      </c>
      <c r="AF28" s="95">
        <v>0.5</v>
      </c>
      <c r="AG28" s="13">
        <f t="shared" si="10"/>
        <v>500</v>
      </c>
      <c r="AH28" s="13">
        <f t="shared" si="11"/>
        <v>655</v>
      </c>
      <c r="AI28" s="13">
        <f t="shared" si="12"/>
        <v>172.5</v>
      </c>
      <c r="AJ28" s="17">
        <f t="shared" si="13"/>
        <v>2587.5</v>
      </c>
      <c r="AK28" s="154">
        <v>4.0</v>
      </c>
      <c r="AL28" s="88">
        <v>3.0</v>
      </c>
      <c r="AM28" s="95">
        <v>20.0</v>
      </c>
      <c r="AN28" s="13">
        <f t="shared" si="14"/>
        <v>60</v>
      </c>
      <c r="AO28" s="13">
        <f t="shared" si="15"/>
        <v>2.88</v>
      </c>
      <c r="AP28" s="13">
        <f t="shared" si="16"/>
        <v>2.4</v>
      </c>
      <c r="AQ28" s="17">
        <f t="shared" si="17"/>
        <v>36</v>
      </c>
      <c r="AR28" s="94">
        <v>6.5</v>
      </c>
      <c r="AS28" s="95">
        <v>18000.0</v>
      </c>
      <c r="AT28" s="17">
        <f t="shared" si="22"/>
        <v>1170</v>
      </c>
      <c r="AU28" s="91">
        <v>25.0</v>
      </c>
      <c r="AV28" s="95">
        <v>6000.0</v>
      </c>
      <c r="AW28" s="17">
        <f t="shared" si="18"/>
        <v>1500</v>
      </c>
      <c r="AX28" s="96">
        <f t="shared" si="19"/>
        <v>97281</v>
      </c>
      <c r="AY28" s="99">
        <f t="shared" si="20"/>
        <v>162.135</v>
      </c>
      <c r="AZ28" s="17">
        <f t="shared" si="21"/>
        <v>87281</v>
      </c>
      <c r="BA28" s="98"/>
    </row>
    <row r="29" ht="15.75" customHeight="1">
      <c r="A29" s="14"/>
      <c r="B29" s="33" t="s">
        <v>14</v>
      </c>
      <c r="C29" s="33" t="s">
        <v>505</v>
      </c>
      <c r="D29" s="7" t="s">
        <v>166</v>
      </c>
      <c r="E29" s="7" t="s">
        <v>167</v>
      </c>
      <c r="F29" s="7" t="s">
        <v>51</v>
      </c>
      <c r="G29" s="147" t="s">
        <v>507</v>
      </c>
      <c r="H29" s="88">
        <v>6.0</v>
      </c>
      <c r="I29" s="7">
        <v>1100.0</v>
      </c>
      <c r="J29" s="7"/>
      <c r="L29" s="7"/>
      <c r="M29" s="7">
        <v>1.0</v>
      </c>
      <c r="N29" s="7">
        <f t="shared" si="1"/>
        <v>1100</v>
      </c>
      <c r="O29" s="89">
        <v>15.0</v>
      </c>
      <c r="P29" s="7">
        <v>13.0</v>
      </c>
      <c r="Q29" s="88">
        <v>10.0</v>
      </c>
      <c r="R29" s="88">
        <v>500.0</v>
      </c>
      <c r="S29" s="7">
        <f t="shared" si="2"/>
        <v>75000</v>
      </c>
      <c r="T29" s="7">
        <f t="shared" si="3"/>
        <v>11.3</v>
      </c>
      <c r="U29" s="60">
        <f t="shared" si="4"/>
        <v>5650</v>
      </c>
      <c r="V29" s="125">
        <f t="shared" si="5"/>
        <v>9750</v>
      </c>
      <c r="W29" s="51">
        <v>13.0</v>
      </c>
      <c r="X29" s="88">
        <v>500.0</v>
      </c>
      <c r="Y29" s="88">
        <v>1.2</v>
      </c>
      <c r="Z29" s="13">
        <f t="shared" si="6"/>
        <v>600</v>
      </c>
      <c r="AA29" s="13">
        <f t="shared" si="7"/>
        <v>435</v>
      </c>
      <c r="AB29" s="7">
        <f t="shared" si="8"/>
        <v>78</v>
      </c>
      <c r="AC29" s="93">
        <f t="shared" si="9"/>
        <v>1170</v>
      </c>
      <c r="AD29" s="94">
        <v>34.5</v>
      </c>
      <c r="AE29" s="88">
        <v>1000.0</v>
      </c>
      <c r="AF29" s="95">
        <v>0.5</v>
      </c>
      <c r="AG29" s="13">
        <f t="shared" si="10"/>
        <v>500</v>
      </c>
      <c r="AH29" s="13">
        <f t="shared" si="11"/>
        <v>655</v>
      </c>
      <c r="AI29" s="13">
        <f t="shared" si="12"/>
        <v>172.5</v>
      </c>
      <c r="AJ29" s="17">
        <f t="shared" si="13"/>
        <v>2587.5</v>
      </c>
      <c r="AK29" s="154">
        <v>4.0</v>
      </c>
      <c r="AL29" s="88">
        <v>3.0</v>
      </c>
      <c r="AM29" s="95">
        <v>20.0</v>
      </c>
      <c r="AN29" s="13">
        <f t="shared" si="14"/>
        <v>60</v>
      </c>
      <c r="AO29" s="13">
        <f t="shared" si="15"/>
        <v>2.88</v>
      </c>
      <c r="AP29" s="13">
        <f t="shared" si="16"/>
        <v>2.4</v>
      </c>
      <c r="AQ29" s="17">
        <f t="shared" si="17"/>
        <v>36</v>
      </c>
      <c r="AR29" s="94">
        <v>6.5</v>
      </c>
      <c r="AS29" s="95">
        <v>18000.0</v>
      </c>
      <c r="AT29" s="17">
        <f t="shared" si="22"/>
        <v>1170</v>
      </c>
      <c r="AU29" s="91">
        <v>25.0</v>
      </c>
      <c r="AV29" s="95">
        <v>6000.0</v>
      </c>
      <c r="AW29" s="17">
        <f t="shared" si="18"/>
        <v>1500</v>
      </c>
      <c r="AX29" s="96">
        <f t="shared" si="19"/>
        <v>97281</v>
      </c>
      <c r="AY29" s="99">
        <f t="shared" si="20"/>
        <v>1473.954545</v>
      </c>
      <c r="AZ29" s="17">
        <f t="shared" si="21"/>
        <v>96181</v>
      </c>
      <c r="BA29" s="98"/>
    </row>
    <row r="30" ht="15.75" customHeight="1">
      <c r="A30" s="14"/>
      <c r="B30" s="33" t="s">
        <v>14</v>
      </c>
      <c r="C30" s="33" t="s">
        <v>508</v>
      </c>
      <c r="D30" s="7" t="s">
        <v>182</v>
      </c>
      <c r="E30" s="7" t="s">
        <v>581</v>
      </c>
      <c r="F30" s="7" t="s">
        <v>51</v>
      </c>
      <c r="G30" s="147" t="s">
        <v>509</v>
      </c>
      <c r="H30" s="88">
        <v>6.0</v>
      </c>
      <c r="I30" s="7">
        <v>4320.0</v>
      </c>
      <c r="J30" s="7"/>
      <c r="L30" s="7"/>
      <c r="M30" s="7">
        <v>1.0</v>
      </c>
      <c r="N30" s="7">
        <f t="shared" si="1"/>
        <v>4320</v>
      </c>
      <c r="O30" s="89">
        <v>15.0</v>
      </c>
      <c r="P30" s="7">
        <v>13.0</v>
      </c>
      <c r="Q30" s="88">
        <v>10.0</v>
      </c>
      <c r="R30" s="88">
        <v>500.0</v>
      </c>
      <c r="S30" s="7">
        <f t="shared" si="2"/>
        <v>75000</v>
      </c>
      <c r="T30" s="7">
        <f t="shared" si="3"/>
        <v>11.3</v>
      </c>
      <c r="U30" s="60">
        <f t="shared" si="4"/>
        <v>5650</v>
      </c>
      <c r="V30" s="125">
        <f t="shared" si="5"/>
        <v>9750</v>
      </c>
      <c r="W30" s="51">
        <v>13.0</v>
      </c>
      <c r="X30" s="88">
        <v>500.0</v>
      </c>
      <c r="Y30" s="88">
        <v>1.2</v>
      </c>
      <c r="Z30" s="13">
        <f t="shared" si="6"/>
        <v>600</v>
      </c>
      <c r="AA30" s="13">
        <f t="shared" si="7"/>
        <v>435</v>
      </c>
      <c r="AB30" s="7">
        <f t="shared" si="8"/>
        <v>78</v>
      </c>
      <c r="AC30" s="93">
        <f t="shared" si="9"/>
        <v>1170</v>
      </c>
      <c r="AD30" s="94">
        <v>34.5</v>
      </c>
      <c r="AE30" s="88">
        <v>1000.0</v>
      </c>
      <c r="AF30" s="95">
        <v>0.5</v>
      </c>
      <c r="AG30" s="13">
        <f t="shared" si="10"/>
        <v>500</v>
      </c>
      <c r="AH30" s="13">
        <f t="shared" si="11"/>
        <v>655</v>
      </c>
      <c r="AI30" s="13">
        <f t="shared" si="12"/>
        <v>172.5</v>
      </c>
      <c r="AJ30" s="17">
        <f t="shared" si="13"/>
        <v>2587.5</v>
      </c>
      <c r="AK30" s="154">
        <v>4.0</v>
      </c>
      <c r="AL30" s="124">
        <v>3.0</v>
      </c>
      <c r="AM30" s="95">
        <v>20.0</v>
      </c>
      <c r="AN30" s="13">
        <f t="shared" si="14"/>
        <v>60</v>
      </c>
      <c r="AO30" s="13">
        <f t="shared" si="15"/>
        <v>2.88</v>
      </c>
      <c r="AP30" s="13">
        <f t="shared" si="16"/>
        <v>2.4</v>
      </c>
      <c r="AQ30" s="17">
        <f t="shared" si="17"/>
        <v>36</v>
      </c>
      <c r="AR30" s="94">
        <v>6.5</v>
      </c>
      <c r="AS30" s="95">
        <v>18000.0</v>
      </c>
      <c r="AT30" s="17">
        <f t="shared" si="22"/>
        <v>1170</v>
      </c>
      <c r="AU30" s="91">
        <v>25.0</v>
      </c>
      <c r="AV30" s="95">
        <v>6000.0</v>
      </c>
      <c r="AW30" s="17">
        <f t="shared" si="18"/>
        <v>1500</v>
      </c>
      <c r="AX30" s="96">
        <f t="shared" si="19"/>
        <v>97281</v>
      </c>
      <c r="AY30" s="99">
        <f t="shared" si="20"/>
        <v>375.3125</v>
      </c>
      <c r="AZ30" s="17">
        <f t="shared" si="21"/>
        <v>92961</v>
      </c>
      <c r="BA30" s="98"/>
    </row>
    <row r="31" ht="15.75" customHeight="1">
      <c r="A31" s="14"/>
      <c r="B31" s="33" t="s">
        <v>14</v>
      </c>
      <c r="C31" s="33" t="s">
        <v>582</v>
      </c>
      <c r="D31" s="7" t="s">
        <v>583</v>
      </c>
      <c r="E31" s="7" t="s">
        <v>208</v>
      </c>
      <c r="F31" s="7" t="s">
        <v>51</v>
      </c>
      <c r="G31" s="147" t="s">
        <v>513</v>
      </c>
      <c r="H31" s="88">
        <v>6.0</v>
      </c>
      <c r="I31" s="7">
        <v>20000.0</v>
      </c>
      <c r="J31" s="7"/>
      <c r="L31" s="7"/>
      <c r="M31" s="7">
        <v>1.0</v>
      </c>
      <c r="N31" s="7">
        <f t="shared" si="1"/>
        <v>20000</v>
      </c>
      <c r="O31" s="89">
        <v>15.0</v>
      </c>
      <c r="P31" s="7">
        <v>13.0</v>
      </c>
      <c r="Q31" s="88">
        <v>10.0</v>
      </c>
      <c r="R31" s="88">
        <v>500.0</v>
      </c>
      <c r="S31" s="7">
        <f t="shared" si="2"/>
        <v>75000</v>
      </c>
      <c r="T31" s="7">
        <f t="shared" si="3"/>
        <v>11.3</v>
      </c>
      <c r="U31" s="60">
        <f t="shared" si="4"/>
        <v>5650</v>
      </c>
      <c r="V31" s="125">
        <f t="shared" si="5"/>
        <v>9750</v>
      </c>
      <c r="W31" s="51">
        <v>13.0</v>
      </c>
      <c r="X31" s="88">
        <v>500.0</v>
      </c>
      <c r="Y31" s="88">
        <v>1.2</v>
      </c>
      <c r="Z31" s="13">
        <f t="shared" si="6"/>
        <v>600</v>
      </c>
      <c r="AA31" s="13">
        <f t="shared" si="7"/>
        <v>435</v>
      </c>
      <c r="AB31" s="7">
        <f t="shared" si="8"/>
        <v>78</v>
      </c>
      <c r="AC31" s="93">
        <f t="shared" si="9"/>
        <v>1170</v>
      </c>
      <c r="AD31" s="94">
        <v>34.5</v>
      </c>
      <c r="AE31" s="88">
        <v>1000.0</v>
      </c>
      <c r="AF31" s="95">
        <v>0.5</v>
      </c>
      <c r="AG31" s="13">
        <f t="shared" si="10"/>
        <v>500</v>
      </c>
      <c r="AH31" s="13">
        <f t="shared" si="11"/>
        <v>655</v>
      </c>
      <c r="AI31" s="13">
        <f t="shared" si="12"/>
        <v>172.5</v>
      </c>
      <c r="AJ31" s="17">
        <f t="shared" si="13"/>
        <v>2587.5</v>
      </c>
      <c r="AK31" s="154">
        <v>4.0</v>
      </c>
      <c r="AL31" s="124">
        <v>3.0</v>
      </c>
      <c r="AM31" s="95">
        <v>20.0</v>
      </c>
      <c r="AN31" s="13">
        <f t="shared" si="14"/>
        <v>60</v>
      </c>
      <c r="AO31" s="13">
        <f t="shared" si="15"/>
        <v>2.88</v>
      </c>
      <c r="AP31" s="13">
        <f t="shared" si="16"/>
        <v>2.4</v>
      </c>
      <c r="AQ31" s="17">
        <f t="shared" si="17"/>
        <v>36</v>
      </c>
      <c r="AR31" s="94">
        <v>6.5</v>
      </c>
      <c r="AS31" s="95">
        <v>18000.0</v>
      </c>
      <c r="AT31" s="17">
        <f t="shared" si="22"/>
        <v>1170</v>
      </c>
      <c r="AU31" s="91">
        <v>25.0</v>
      </c>
      <c r="AV31" s="95">
        <v>6000.0</v>
      </c>
      <c r="AW31" s="17">
        <f t="shared" si="18"/>
        <v>1500</v>
      </c>
      <c r="AX31" s="96">
        <f t="shared" si="19"/>
        <v>97281</v>
      </c>
      <c r="AY31" s="99">
        <f t="shared" si="20"/>
        <v>81.0675</v>
      </c>
      <c r="AZ31" s="17">
        <f t="shared" si="21"/>
        <v>77281</v>
      </c>
      <c r="BA31" s="98"/>
    </row>
    <row r="32" ht="15.75" customHeight="1">
      <c r="A32" s="14"/>
      <c r="B32" s="33" t="s">
        <v>14</v>
      </c>
      <c r="C32" s="33" t="s">
        <v>177</v>
      </c>
      <c r="D32" s="7" t="s">
        <v>186</v>
      </c>
      <c r="E32" s="7" t="s">
        <v>187</v>
      </c>
      <c r="F32" s="7" t="s">
        <v>51</v>
      </c>
      <c r="G32" s="147" t="s">
        <v>510</v>
      </c>
      <c r="H32" s="88">
        <v>6.0</v>
      </c>
      <c r="I32" s="7">
        <v>4100.0</v>
      </c>
      <c r="J32" s="7"/>
      <c r="L32" s="7"/>
      <c r="M32" s="7">
        <v>1.0</v>
      </c>
      <c r="N32" s="7">
        <f t="shared" si="1"/>
        <v>4100</v>
      </c>
      <c r="O32" s="89">
        <v>15.0</v>
      </c>
      <c r="P32" s="7">
        <v>13.0</v>
      </c>
      <c r="Q32" s="88">
        <v>10.0</v>
      </c>
      <c r="R32" s="88">
        <v>500.0</v>
      </c>
      <c r="S32" s="7">
        <f t="shared" si="2"/>
        <v>75000</v>
      </c>
      <c r="T32" s="7">
        <f t="shared" si="3"/>
        <v>11.3</v>
      </c>
      <c r="U32" s="60">
        <f t="shared" si="4"/>
        <v>5650</v>
      </c>
      <c r="V32" s="125">
        <f t="shared" si="5"/>
        <v>9750</v>
      </c>
      <c r="W32" s="51">
        <v>13.0</v>
      </c>
      <c r="X32" s="88">
        <v>500.0</v>
      </c>
      <c r="Y32" s="88">
        <v>1.2</v>
      </c>
      <c r="Z32" s="13">
        <f t="shared" si="6"/>
        <v>600</v>
      </c>
      <c r="AA32" s="13">
        <f t="shared" si="7"/>
        <v>435</v>
      </c>
      <c r="AB32" s="7">
        <f t="shared" si="8"/>
        <v>78</v>
      </c>
      <c r="AC32" s="93">
        <f t="shared" si="9"/>
        <v>1170</v>
      </c>
      <c r="AD32" s="94">
        <v>34.5</v>
      </c>
      <c r="AE32" s="88">
        <v>1000.0</v>
      </c>
      <c r="AF32" s="95">
        <v>0.5</v>
      </c>
      <c r="AG32" s="13">
        <f t="shared" si="10"/>
        <v>500</v>
      </c>
      <c r="AH32" s="13">
        <f t="shared" si="11"/>
        <v>655</v>
      </c>
      <c r="AI32" s="13">
        <f t="shared" si="12"/>
        <v>172.5</v>
      </c>
      <c r="AJ32" s="17">
        <f t="shared" si="13"/>
        <v>2587.5</v>
      </c>
      <c r="AK32" s="154">
        <v>4.0</v>
      </c>
      <c r="AL32" s="124">
        <v>3.0</v>
      </c>
      <c r="AM32" s="95">
        <v>20.0</v>
      </c>
      <c r="AN32" s="13">
        <f t="shared" si="14"/>
        <v>60</v>
      </c>
      <c r="AO32" s="13">
        <f t="shared" si="15"/>
        <v>2.88</v>
      </c>
      <c r="AP32" s="13">
        <f t="shared" si="16"/>
        <v>2.4</v>
      </c>
      <c r="AQ32" s="17">
        <f t="shared" si="17"/>
        <v>36</v>
      </c>
      <c r="AR32" s="94">
        <v>6.5</v>
      </c>
      <c r="AS32" s="95">
        <v>18000.0</v>
      </c>
      <c r="AT32" s="17">
        <f t="shared" si="22"/>
        <v>1170</v>
      </c>
      <c r="AU32" s="91">
        <v>25.0</v>
      </c>
      <c r="AV32" s="95">
        <v>6000.0</v>
      </c>
      <c r="AW32" s="17">
        <f t="shared" si="18"/>
        <v>1500</v>
      </c>
      <c r="AX32" s="96">
        <f t="shared" si="19"/>
        <v>97281</v>
      </c>
      <c r="AY32" s="99">
        <f t="shared" si="20"/>
        <v>395.4512195</v>
      </c>
      <c r="AZ32" s="17">
        <f t="shared" si="21"/>
        <v>93181</v>
      </c>
      <c r="BA32" s="98"/>
    </row>
    <row r="33" ht="15.75" customHeight="1">
      <c r="A33" s="14"/>
      <c r="B33" s="33" t="s">
        <v>14</v>
      </c>
      <c r="C33" s="33" t="s">
        <v>141</v>
      </c>
      <c r="D33" s="7" t="s">
        <v>191</v>
      </c>
      <c r="E33" s="7" t="s">
        <v>187</v>
      </c>
      <c r="F33" s="7" t="s">
        <v>51</v>
      </c>
      <c r="G33" s="147" t="s">
        <v>514</v>
      </c>
      <c r="H33" s="88">
        <v>6.0</v>
      </c>
      <c r="I33" s="7">
        <v>15000.0</v>
      </c>
      <c r="J33" s="7"/>
      <c r="L33" s="7"/>
      <c r="M33" s="7">
        <v>1.0</v>
      </c>
      <c r="N33" s="7">
        <f t="shared" si="1"/>
        <v>15000</v>
      </c>
      <c r="O33" s="89">
        <v>15.0</v>
      </c>
      <c r="P33" s="7">
        <v>13.0</v>
      </c>
      <c r="Q33" s="88">
        <v>10.0</v>
      </c>
      <c r="R33" s="88">
        <v>500.0</v>
      </c>
      <c r="S33" s="7">
        <f t="shared" si="2"/>
        <v>75000</v>
      </c>
      <c r="T33" s="7">
        <f t="shared" si="3"/>
        <v>11.3</v>
      </c>
      <c r="U33" s="60">
        <f t="shared" si="4"/>
        <v>5650</v>
      </c>
      <c r="V33" s="125">
        <f t="shared" si="5"/>
        <v>9750</v>
      </c>
      <c r="W33" s="51">
        <v>13.0</v>
      </c>
      <c r="X33" s="88">
        <v>500.0</v>
      </c>
      <c r="Y33" s="88">
        <v>1.2</v>
      </c>
      <c r="Z33" s="13">
        <f t="shared" si="6"/>
        <v>600</v>
      </c>
      <c r="AA33" s="13">
        <f t="shared" si="7"/>
        <v>435</v>
      </c>
      <c r="AB33" s="7">
        <f t="shared" si="8"/>
        <v>78</v>
      </c>
      <c r="AC33" s="93">
        <f t="shared" si="9"/>
        <v>1170</v>
      </c>
      <c r="AD33" s="94">
        <v>34.5</v>
      </c>
      <c r="AE33" s="88">
        <v>1000.0</v>
      </c>
      <c r="AF33" s="95">
        <v>0.5</v>
      </c>
      <c r="AG33" s="13">
        <f t="shared" si="10"/>
        <v>500</v>
      </c>
      <c r="AH33" s="13">
        <f t="shared" si="11"/>
        <v>655</v>
      </c>
      <c r="AI33" s="13">
        <f t="shared" si="12"/>
        <v>172.5</v>
      </c>
      <c r="AJ33" s="17">
        <f t="shared" si="13"/>
        <v>2587.5</v>
      </c>
      <c r="AK33" s="154">
        <v>4.0</v>
      </c>
      <c r="AL33" s="124">
        <v>3.0</v>
      </c>
      <c r="AM33" s="95">
        <v>20.0</v>
      </c>
      <c r="AN33" s="13">
        <f t="shared" si="14"/>
        <v>60</v>
      </c>
      <c r="AO33" s="13">
        <f t="shared" si="15"/>
        <v>2.88</v>
      </c>
      <c r="AP33" s="13">
        <f t="shared" si="16"/>
        <v>2.4</v>
      </c>
      <c r="AQ33" s="17">
        <f t="shared" si="17"/>
        <v>36</v>
      </c>
      <c r="AR33" s="94">
        <v>6.5</v>
      </c>
      <c r="AS33" s="95">
        <v>18000.0</v>
      </c>
      <c r="AT33" s="17">
        <f t="shared" si="22"/>
        <v>1170</v>
      </c>
      <c r="AU33" s="91">
        <v>25.0</v>
      </c>
      <c r="AV33" s="95">
        <v>6000.0</v>
      </c>
      <c r="AW33" s="17">
        <f t="shared" si="18"/>
        <v>1500</v>
      </c>
      <c r="AX33" s="96">
        <f t="shared" si="19"/>
        <v>97281</v>
      </c>
      <c r="AY33" s="99">
        <f t="shared" si="20"/>
        <v>108.09</v>
      </c>
      <c r="AZ33" s="17">
        <f t="shared" si="21"/>
        <v>82281</v>
      </c>
      <c r="BA33" s="98"/>
    </row>
    <row r="34" ht="15.75" customHeight="1">
      <c r="A34" s="21"/>
      <c r="B34" s="104" t="s">
        <v>14</v>
      </c>
      <c r="C34" s="104" t="s">
        <v>141</v>
      </c>
      <c r="D34" s="106" t="s">
        <v>194</v>
      </c>
      <c r="E34" s="106" t="s">
        <v>579</v>
      </c>
      <c r="F34" s="106" t="s">
        <v>51</v>
      </c>
      <c r="G34" s="148" t="s">
        <v>517</v>
      </c>
      <c r="H34" s="108">
        <v>6.0</v>
      </c>
      <c r="I34" s="106">
        <v>6000.0</v>
      </c>
      <c r="J34" s="106"/>
      <c r="K34" s="109"/>
      <c r="L34" s="106"/>
      <c r="M34" s="106">
        <v>1.0</v>
      </c>
      <c r="N34" s="106">
        <f t="shared" si="1"/>
        <v>6000</v>
      </c>
      <c r="O34" s="89">
        <v>15.0</v>
      </c>
      <c r="P34" s="106">
        <v>13.0</v>
      </c>
      <c r="Q34" s="88">
        <v>10.0</v>
      </c>
      <c r="R34" s="88">
        <v>500.0</v>
      </c>
      <c r="S34" s="106">
        <f t="shared" si="2"/>
        <v>75000</v>
      </c>
      <c r="T34" s="106">
        <f t="shared" si="3"/>
        <v>11.3</v>
      </c>
      <c r="U34" s="110">
        <f t="shared" si="4"/>
        <v>5650</v>
      </c>
      <c r="V34" s="113">
        <f t="shared" si="5"/>
        <v>9750</v>
      </c>
      <c r="W34" s="112">
        <v>13.0</v>
      </c>
      <c r="X34" s="88">
        <v>500.0</v>
      </c>
      <c r="Y34" s="88">
        <v>1.2</v>
      </c>
      <c r="Z34" s="22">
        <f t="shared" si="6"/>
        <v>600</v>
      </c>
      <c r="AA34" s="22">
        <f t="shared" si="7"/>
        <v>435</v>
      </c>
      <c r="AB34" s="106">
        <f t="shared" si="8"/>
        <v>78</v>
      </c>
      <c r="AC34" s="115">
        <f t="shared" si="9"/>
        <v>1170</v>
      </c>
      <c r="AD34" s="130">
        <v>34.5</v>
      </c>
      <c r="AE34" s="88">
        <v>1000.0</v>
      </c>
      <c r="AF34" s="95">
        <v>0.5</v>
      </c>
      <c r="AG34" s="22">
        <f t="shared" si="10"/>
        <v>500</v>
      </c>
      <c r="AH34" s="22">
        <f t="shared" si="11"/>
        <v>655</v>
      </c>
      <c r="AI34" s="22">
        <f t="shared" si="12"/>
        <v>172.5</v>
      </c>
      <c r="AJ34" s="25">
        <f t="shared" si="13"/>
        <v>2587.5</v>
      </c>
      <c r="AK34" s="155">
        <v>4.0</v>
      </c>
      <c r="AL34" s="129">
        <v>3.0</v>
      </c>
      <c r="AM34" s="95">
        <v>20.0</v>
      </c>
      <c r="AN34" s="22">
        <f t="shared" si="14"/>
        <v>60</v>
      </c>
      <c r="AO34" s="22">
        <f t="shared" si="15"/>
        <v>2.88</v>
      </c>
      <c r="AP34" s="22">
        <f t="shared" si="16"/>
        <v>2.4</v>
      </c>
      <c r="AQ34" s="25">
        <f t="shared" si="17"/>
        <v>36</v>
      </c>
      <c r="AR34" s="94">
        <v>6.5</v>
      </c>
      <c r="AS34" s="95">
        <v>18000.0</v>
      </c>
      <c r="AT34" s="25">
        <f t="shared" si="22"/>
        <v>1170</v>
      </c>
      <c r="AU34" s="156">
        <v>25.0</v>
      </c>
      <c r="AV34" s="129">
        <v>6000.0</v>
      </c>
      <c r="AW34" s="25">
        <f t="shared" si="18"/>
        <v>1500</v>
      </c>
      <c r="AX34" s="118">
        <f t="shared" si="19"/>
        <v>97281</v>
      </c>
      <c r="AY34" s="120">
        <f t="shared" si="20"/>
        <v>270.225</v>
      </c>
      <c r="AZ34" s="25">
        <f t="shared" si="21"/>
        <v>91281</v>
      </c>
      <c r="BA34" s="119"/>
    </row>
    <row r="35" ht="15.75" customHeight="1">
      <c r="A35" s="71" t="s">
        <v>219</v>
      </c>
      <c r="B35" s="72" t="s">
        <v>14</v>
      </c>
      <c r="C35" s="72" t="s">
        <v>518</v>
      </c>
      <c r="D35" s="74" t="s">
        <v>220</v>
      </c>
      <c r="E35" s="74" t="s">
        <v>221</v>
      </c>
      <c r="F35" s="74" t="s">
        <v>51</v>
      </c>
      <c r="G35" s="145" t="s">
        <v>519</v>
      </c>
      <c r="H35" s="76">
        <v>6.0</v>
      </c>
      <c r="I35" s="74"/>
      <c r="J35" s="74"/>
      <c r="K35" s="77"/>
      <c r="L35" s="74">
        <v>260.0</v>
      </c>
      <c r="M35" s="74">
        <v>1.0</v>
      </c>
      <c r="N35" s="74">
        <f t="shared" si="1"/>
        <v>1560</v>
      </c>
      <c r="O35" s="121">
        <v>15.0</v>
      </c>
      <c r="P35" s="74">
        <v>13.0</v>
      </c>
      <c r="Q35" s="76">
        <v>10.0</v>
      </c>
      <c r="R35" s="131">
        <v>500.0</v>
      </c>
      <c r="S35" s="74">
        <f t="shared" si="2"/>
        <v>75000</v>
      </c>
      <c r="T35" s="74">
        <f t="shared" si="3"/>
        <v>11.3</v>
      </c>
      <c r="U35" s="78">
        <f t="shared" si="4"/>
        <v>5650</v>
      </c>
      <c r="V35" s="80">
        <f t="shared" si="5"/>
        <v>9750</v>
      </c>
      <c r="W35" s="84">
        <v>40.0</v>
      </c>
      <c r="X35" s="76">
        <v>500.0</v>
      </c>
      <c r="Y35" s="76">
        <v>1.2</v>
      </c>
      <c r="Z35" s="9">
        <f t="shared" si="6"/>
        <v>600</v>
      </c>
      <c r="AA35" s="9">
        <f t="shared" si="7"/>
        <v>300</v>
      </c>
      <c r="AB35" s="74">
        <f t="shared" si="8"/>
        <v>240</v>
      </c>
      <c r="AC35" s="81">
        <f t="shared" si="9"/>
        <v>3600</v>
      </c>
      <c r="AD35" s="85">
        <v>0.0</v>
      </c>
      <c r="AE35" s="76">
        <v>1000.0</v>
      </c>
      <c r="AF35" s="83">
        <v>0.5</v>
      </c>
      <c r="AG35" s="9">
        <f t="shared" si="10"/>
        <v>500</v>
      </c>
      <c r="AH35" s="9">
        <f t="shared" si="11"/>
        <v>1000</v>
      </c>
      <c r="AI35" s="9">
        <f t="shared" si="12"/>
        <v>0</v>
      </c>
      <c r="AJ35" s="12">
        <f t="shared" si="13"/>
        <v>0</v>
      </c>
      <c r="AK35" s="84">
        <v>51.0</v>
      </c>
      <c r="AL35" s="131">
        <v>3.0</v>
      </c>
      <c r="AM35" s="83">
        <v>20.0</v>
      </c>
      <c r="AN35" s="9">
        <f t="shared" si="14"/>
        <v>60</v>
      </c>
      <c r="AO35" s="9">
        <f t="shared" si="15"/>
        <v>1.47</v>
      </c>
      <c r="AP35" s="9">
        <f t="shared" si="16"/>
        <v>30.6</v>
      </c>
      <c r="AQ35" s="12">
        <f t="shared" si="17"/>
        <v>459</v>
      </c>
      <c r="AR35" s="123">
        <v>2.8</v>
      </c>
      <c r="AS35" s="83">
        <v>18000.0</v>
      </c>
      <c r="AT35" s="12">
        <f t="shared" si="22"/>
        <v>504</v>
      </c>
      <c r="AU35" s="123">
        <v>2.8</v>
      </c>
      <c r="AV35" s="131">
        <v>6000.0</v>
      </c>
      <c r="AW35" s="12">
        <f t="shared" si="18"/>
        <v>168</v>
      </c>
      <c r="AX35" s="84">
        <f t="shared" si="19"/>
        <v>86886</v>
      </c>
      <c r="AY35" s="99">
        <f t="shared" si="20"/>
        <v>928.2692308</v>
      </c>
      <c r="AZ35" s="12">
        <f t="shared" si="21"/>
        <v>85326</v>
      </c>
      <c r="BA35" s="86"/>
    </row>
    <row r="36" ht="15.75" customHeight="1">
      <c r="A36" s="14"/>
      <c r="B36" s="33" t="s">
        <v>14</v>
      </c>
      <c r="C36" s="33" t="s">
        <v>225</v>
      </c>
      <c r="D36" s="7" t="s">
        <v>226</v>
      </c>
      <c r="E36" s="7" t="s">
        <v>584</v>
      </c>
      <c r="F36" s="7" t="s">
        <v>51</v>
      </c>
      <c r="G36" s="147" t="s">
        <v>520</v>
      </c>
      <c r="H36" s="88">
        <v>6.0</v>
      </c>
      <c r="I36" s="7">
        <v>22300.0</v>
      </c>
      <c r="J36" s="7"/>
      <c r="L36" s="7"/>
      <c r="M36" s="7">
        <v>1.0</v>
      </c>
      <c r="N36" s="7">
        <f t="shared" si="1"/>
        <v>22300</v>
      </c>
      <c r="O36" s="89">
        <v>15.0</v>
      </c>
      <c r="P36" s="7">
        <v>13.0</v>
      </c>
      <c r="Q36" s="88">
        <v>10.0</v>
      </c>
      <c r="R36" s="124">
        <v>500.0</v>
      </c>
      <c r="S36" s="7">
        <f t="shared" si="2"/>
        <v>75000</v>
      </c>
      <c r="T36" s="7">
        <f t="shared" si="3"/>
        <v>11.3</v>
      </c>
      <c r="U36" s="60">
        <f t="shared" si="4"/>
        <v>5650</v>
      </c>
      <c r="V36" s="125">
        <f t="shared" si="5"/>
        <v>9750</v>
      </c>
      <c r="W36" s="96">
        <v>40.0</v>
      </c>
      <c r="X36" s="88">
        <v>500.0</v>
      </c>
      <c r="Y36" s="88">
        <v>1.2</v>
      </c>
      <c r="Z36" s="13">
        <f t="shared" si="6"/>
        <v>600</v>
      </c>
      <c r="AA36" s="13">
        <f t="shared" si="7"/>
        <v>300</v>
      </c>
      <c r="AB36" s="7">
        <f t="shared" si="8"/>
        <v>240</v>
      </c>
      <c r="AC36" s="93">
        <f t="shared" si="9"/>
        <v>3600</v>
      </c>
      <c r="AD36" s="97">
        <v>0.0</v>
      </c>
      <c r="AE36" s="88">
        <v>1000.0</v>
      </c>
      <c r="AF36" s="95">
        <v>0.5</v>
      </c>
      <c r="AG36" s="13">
        <f t="shared" si="10"/>
        <v>500</v>
      </c>
      <c r="AH36" s="13">
        <f t="shared" si="11"/>
        <v>1000</v>
      </c>
      <c r="AI36" s="13">
        <f t="shared" si="12"/>
        <v>0</v>
      </c>
      <c r="AJ36" s="17">
        <f t="shared" si="13"/>
        <v>0</v>
      </c>
      <c r="AK36" s="97">
        <v>0.0</v>
      </c>
      <c r="AL36" s="124">
        <v>3.0</v>
      </c>
      <c r="AM36" s="95">
        <v>20.0</v>
      </c>
      <c r="AN36" s="13">
        <f t="shared" si="14"/>
        <v>60</v>
      </c>
      <c r="AO36" s="13">
        <f t="shared" si="15"/>
        <v>3</v>
      </c>
      <c r="AP36" s="13">
        <f t="shared" si="16"/>
        <v>0</v>
      </c>
      <c r="AQ36" s="17">
        <f t="shared" si="17"/>
        <v>0</v>
      </c>
      <c r="AR36" s="94">
        <v>2.8</v>
      </c>
      <c r="AS36" s="95">
        <v>18000.0</v>
      </c>
      <c r="AT36" s="17">
        <f t="shared" si="22"/>
        <v>504</v>
      </c>
      <c r="AU36" s="94">
        <v>2.8</v>
      </c>
      <c r="AV36" s="124">
        <v>6000.0</v>
      </c>
      <c r="AW36" s="17">
        <f t="shared" si="18"/>
        <v>168</v>
      </c>
      <c r="AX36" s="96">
        <f t="shared" si="19"/>
        <v>84132</v>
      </c>
      <c r="AY36" s="99">
        <f t="shared" si="20"/>
        <v>62.87892377</v>
      </c>
      <c r="AZ36" s="17">
        <f t="shared" si="21"/>
        <v>61832</v>
      </c>
      <c r="BA36" s="98"/>
    </row>
    <row r="37" ht="15.75" customHeight="1">
      <c r="A37" s="14"/>
      <c r="B37" s="33" t="s">
        <v>14</v>
      </c>
      <c r="C37" s="33" t="s">
        <v>238</v>
      </c>
      <c r="D37" s="7" t="s">
        <v>239</v>
      </c>
      <c r="E37" s="7" t="s">
        <v>187</v>
      </c>
      <c r="F37" s="7" t="s">
        <v>51</v>
      </c>
      <c r="G37" s="147" t="s">
        <v>522</v>
      </c>
      <c r="H37" s="88">
        <v>6.0</v>
      </c>
      <c r="I37" s="7">
        <v>300.0</v>
      </c>
      <c r="J37" s="7"/>
      <c r="L37" s="7"/>
      <c r="M37" s="7">
        <v>1.0</v>
      </c>
      <c r="N37" s="7">
        <f t="shared" si="1"/>
        <v>300</v>
      </c>
      <c r="O37" s="89">
        <v>15.0</v>
      </c>
      <c r="P37" s="7">
        <v>13.0</v>
      </c>
      <c r="Q37" s="88">
        <v>10.0</v>
      </c>
      <c r="R37" s="124">
        <v>500.0</v>
      </c>
      <c r="S37" s="7">
        <f t="shared" si="2"/>
        <v>75000</v>
      </c>
      <c r="T37" s="7">
        <f t="shared" si="3"/>
        <v>11.3</v>
      </c>
      <c r="U37" s="60">
        <f t="shared" si="4"/>
        <v>5650</v>
      </c>
      <c r="V37" s="125">
        <f t="shared" si="5"/>
        <v>9750</v>
      </c>
      <c r="W37" s="97">
        <v>0.0</v>
      </c>
      <c r="X37" s="88">
        <v>500.0</v>
      </c>
      <c r="Y37" s="88">
        <v>1.2</v>
      </c>
      <c r="Z37" s="13">
        <f t="shared" si="6"/>
        <v>600</v>
      </c>
      <c r="AA37" s="13">
        <f t="shared" si="7"/>
        <v>500</v>
      </c>
      <c r="AB37" s="7">
        <f t="shared" si="8"/>
        <v>0</v>
      </c>
      <c r="AC37" s="93">
        <f t="shared" si="9"/>
        <v>0</v>
      </c>
      <c r="AD37" s="97">
        <v>0.0</v>
      </c>
      <c r="AE37" s="88">
        <v>1000.0</v>
      </c>
      <c r="AF37" s="95">
        <v>0.5</v>
      </c>
      <c r="AG37" s="13">
        <f t="shared" si="10"/>
        <v>500</v>
      </c>
      <c r="AH37" s="13">
        <f t="shared" si="11"/>
        <v>1000</v>
      </c>
      <c r="AI37" s="13">
        <f t="shared" si="12"/>
        <v>0</v>
      </c>
      <c r="AJ37" s="17">
        <f t="shared" si="13"/>
        <v>0</v>
      </c>
      <c r="AK37" s="96">
        <v>51.0</v>
      </c>
      <c r="AL37" s="124">
        <v>3.0</v>
      </c>
      <c r="AM37" s="95">
        <v>20.0</v>
      </c>
      <c r="AN37" s="13">
        <f t="shared" si="14"/>
        <v>60</v>
      </c>
      <c r="AO37" s="13">
        <f t="shared" si="15"/>
        <v>1.47</v>
      </c>
      <c r="AP37" s="13">
        <f t="shared" si="16"/>
        <v>30.6</v>
      </c>
      <c r="AQ37" s="17">
        <f t="shared" si="17"/>
        <v>459</v>
      </c>
      <c r="AR37" s="94">
        <v>2.8</v>
      </c>
      <c r="AS37" s="95">
        <v>18000.0</v>
      </c>
      <c r="AT37" s="17">
        <f t="shared" si="22"/>
        <v>504</v>
      </c>
      <c r="AU37" s="94">
        <v>2.8</v>
      </c>
      <c r="AV37" s="124">
        <v>6000.0</v>
      </c>
      <c r="AW37" s="17">
        <f t="shared" si="18"/>
        <v>168</v>
      </c>
      <c r="AX37" s="96">
        <f t="shared" si="19"/>
        <v>65286</v>
      </c>
      <c r="AY37" s="99">
        <f t="shared" si="20"/>
        <v>3627</v>
      </c>
      <c r="AZ37" s="17">
        <f t="shared" si="21"/>
        <v>64986</v>
      </c>
      <c r="BA37" s="98"/>
    </row>
    <row r="38" ht="15.75" customHeight="1">
      <c r="A38" s="14"/>
      <c r="B38" s="33" t="s">
        <v>14</v>
      </c>
      <c r="C38" s="33" t="s">
        <v>238</v>
      </c>
      <c r="D38" s="7" t="s">
        <v>243</v>
      </c>
      <c r="E38" s="7" t="s">
        <v>244</v>
      </c>
      <c r="F38" s="7" t="s">
        <v>51</v>
      </c>
      <c r="G38" s="147" t="s">
        <v>523</v>
      </c>
      <c r="H38" s="88">
        <v>6.0</v>
      </c>
      <c r="I38" s="13">
        <v>2500.0</v>
      </c>
      <c r="J38" s="13"/>
      <c r="K38" s="13"/>
      <c r="L38" s="13"/>
      <c r="M38" s="7">
        <v>1.0</v>
      </c>
      <c r="N38" s="7">
        <f t="shared" si="1"/>
        <v>2500</v>
      </c>
      <c r="O38" s="89">
        <v>15.0</v>
      </c>
      <c r="P38" s="7">
        <v>13.0</v>
      </c>
      <c r="Q38" s="88">
        <v>10.0</v>
      </c>
      <c r="R38" s="124">
        <v>500.0</v>
      </c>
      <c r="S38" s="7">
        <f t="shared" si="2"/>
        <v>75000</v>
      </c>
      <c r="T38" s="7">
        <f t="shared" si="3"/>
        <v>11.3</v>
      </c>
      <c r="U38" s="60">
        <f t="shared" si="4"/>
        <v>5650</v>
      </c>
      <c r="V38" s="125">
        <f t="shared" si="5"/>
        <v>9750</v>
      </c>
      <c r="W38" s="97">
        <v>0.0</v>
      </c>
      <c r="X38" s="88">
        <v>500.0</v>
      </c>
      <c r="Y38" s="88">
        <v>1.2</v>
      </c>
      <c r="Z38" s="13">
        <f t="shared" si="6"/>
        <v>600</v>
      </c>
      <c r="AA38" s="13">
        <f t="shared" si="7"/>
        <v>500</v>
      </c>
      <c r="AB38" s="7">
        <f t="shared" si="8"/>
        <v>0</v>
      </c>
      <c r="AC38" s="93">
        <f t="shared" si="9"/>
        <v>0</v>
      </c>
      <c r="AD38" s="97">
        <v>0.0</v>
      </c>
      <c r="AE38" s="88">
        <v>1000.0</v>
      </c>
      <c r="AF38" s="95">
        <v>0.5</v>
      </c>
      <c r="AG38" s="13">
        <f t="shared" si="10"/>
        <v>500</v>
      </c>
      <c r="AH38" s="13">
        <f t="shared" si="11"/>
        <v>1000</v>
      </c>
      <c r="AI38" s="13">
        <f t="shared" si="12"/>
        <v>0</v>
      </c>
      <c r="AJ38" s="17">
        <f t="shared" si="13"/>
        <v>0</v>
      </c>
      <c r="AK38" s="96">
        <v>51.0</v>
      </c>
      <c r="AL38" s="124">
        <v>3.0</v>
      </c>
      <c r="AM38" s="95">
        <v>20.0</v>
      </c>
      <c r="AN38" s="13">
        <f t="shared" si="14"/>
        <v>60</v>
      </c>
      <c r="AO38" s="13">
        <f t="shared" si="15"/>
        <v>1.47</v>
      </c>
      <c r="AP38" s="13">
        <f t="shared" si="16"/>
        <v>30.6</v>
      </c>
      <c r="AQ38" s="17">
        <f t="shared" si="17"/>
        <v>459</v>
      </c>
      <c r="AR38" s="94">
        <v>2.8</v>
      </c>
      <c r="AS38" s="95">
        <v>18000.0</v>
      </c>
      <c r="AT38" s="17">
        <f t="shared" si="22"/>
        <v>504</v>
      </c>
      <c r="AU38" s="94">
        <v>2.8</v>
      </c>
      <c r="AV38" s="124">
        <v>6000.0</v>
      </c>
      <c r="AW38" s="17">
        <f t="shared" si="18"/>
        <v>168</v>
      </c>
      <c r="AX38" s="96">
        <f t="shared" si="19"/>
        <v>65286</v>
      </c>
      <c r="AY38" s="99">
        <f t="shared" si="20"/>
        <v>435.24</v>
      </c>
      <c r="AZ38" s="17">
        <f t="shared" si="21"/>
        <v>62786</v>
      </c>
      <c r="BA38" s="98"/>
    </row>
    <row r="39" ht="15.75" customHeight="1">
      <c r="A39" s="14"/>
      <c r="B39" s="33" t="s">
        <v>14</v>
      </c>
      <c r="C39" s="33" t="s">
        <v>585</v>
      </c>
      <c r="D39" s="7" t="s">
        <v>262</v>
      </c>
      <c r="E39" s="7" t="s">
        <v>172</v>
      </c>
      <c r="F39" s="7" t="s">
        <v>51</v>
      </c>
      <c r="G39" s="147" t="s">
        <v>586</v>
      </c>
      <c r="H39" s="88">
        <v>6.0</v>
      </c>
      <c r="I39" s="13">
        <v>9500.0</v>
      </c>
      <c r="M39" s="7">
        <v>1.0</v>
      </c>
      <c r="N39" s="7">
        <f t="shared" si="1"/>
        <v>9500</v>
      </c>
      <c r="O39" s="89">
        <v>15.0</v>
      </c>
      <c r="P39" s="7">
        <v>13.0</v>
      </c>
      <c r="Q39" s="88">
        <v>10.0</v>
      </c>
      <c r="R39" s="124">
        <v>500.0</v>
      </c>
      <c r="S39" s="7">
        <f t="shared" si="2"/>
        <v>75000</v>
      </c>
      <c r="T39" s="7">
        <f t="shared" si="3"/>
        <v>11.3</v>
      </c>
      <c r="U39" s="60">
        <f t="shared" si="4"/>
        <v>5650</v>
      </c>
      <c r="V39" s="125">
        <f t="shared" si="5"/>
        <v>9750</v>
      </c>
      <c r="W39" s="96">
        <v>40.0</v>
      </c>
      <c r="X39" s="88">
        <v>500.0</v>
      </c>
      <c r="Y39" s="88">
        <v>1.2</v>
      </c>
      <c r="Z39" s="13">
        <f t="shared" si="6"/>
        <v>600</v>
      </c>
      <c r="AA39" s="13">
        <f t="shared" si="7"/>
        <v>300</v>
      </c>
      <c r="AB39" s="7">
        <f t="shared" si="8"/>
        <v>240</v>
      </c>
      <c r="AC39" s="93">
        <f t="shared" si="9"/>
        <v>3600</v>
      </c>
      <c r="AD39" s="97">
        <v>0.0</v>
      </c>
      <c r="AE39" s="88">
        <v>1000.0</v>
      </c>
      <c r="AF39" s="95">
        <v>0.5</v>
      </c>
      <c r="AG39" s="13">
        <f t="shared" si="10"/>
        <v>500</v>
      </c>
      <c r="AH39" s="13">
        <f t="shared" si="11"/>
        <v>1000</v>
      </c>
      <c r="AI39" s="13">
        <f t="shared" si="12"/>
        <v>0</v>
      </c>
      <c r="AJ39" s="17">
        <f t="shared" si="13"/>
        <v>0</v>
      </c>
      <c r="AK39" s="96">
        <v>51.0</v>
      </c>
      <c r="AL39" s="124">
        <v>3.0</v>
      </c>
      <c r="AM39" s="95">
        <v>20.0</v>
      </c>
      <c r="AN39" s="13">
        <f t="shared" si="14"/>
        <v>60</v>
      </c>
      <c r="AO39" s="13">
        <f t="shared" si="15"/>
        <v>1.47</v>
      </c>
      <c r="AP39" s="13">
        <f t="shared" si="16"/>
        <v>30.6</v>
      </c>
      <c r="AQ39" s="17">
        <f t="shared" si="17"/>
        <v>459</v>
      </c>
      <c r="AR39" s="94">
        <v>2.8</v>
      </c>
      <c r="AS39" s="95">
        <v>18000.0</v>
      </c>
      <c r="AT39" s="17">
        <f t="shared" si="22"/>
        <v>504</v>
      </c>
      <c r="AU39" s="94">
        <v>2.8</v>
      </c>
      <c r="AV39" s="124">
        <v>6000.0</v>
      </c>
      <c r="AW39" s="17">
        <f t="shared" si="18"/>
        <v>168</v>
      </c>
      <c r="AX39" s="96">
        <f t="shared" si="19"/>
        <v>86886</v>
      </c>
      <c r="AY39" s="99">
        <f t="shared" si="20"/>
        <v>152.4315789</v>
      </c>
      <c r="AZ39" s="17">
        <f t="shared" si="21"/>
        <v>77386</v>
      </c>
      <c r="BA39" s="98"/>
    </row>
    <row r="40" ht="15.75" customHeight="1">
      <c r="A40" s="14"/>
      <c r="B40" s="33" t="s">
        <v>14</v>
      </c>
      <c r="C40" s="33" t="s">
        <v>533</v>
      </c>
      <c r="D40" s="132" t="s">
        <v>587</v>
      </c>
      <c r="E40" s="7" t="s">
        <v>512</v>
      </c>
      <c r="F40" s="7" t="s">
        <v>51</v>
      </c>
      <c r="G40" s="147" t="s">
        <v>535</v>
      </c>
      <c r="H40" s="88">
        <v>6.0</v>
      </c>
      <c r="I40" s="13">
        <v>7500.0</v>
      </c>
      <c r="M40" s="7">
        <v>1.0</v>
      </c>
      <c r="N40" s="7">
        <f t="shared" si="1"/>
        <v>7500</v>
      </c>
      <c r="O40" s="89">
        <v>15.0</v>
      </c>
      <c r="P40" s="7">
        <v>13.0</v>
      </c>
      <c r="Q40" s="88">
        <v>10.0</v>
      </c>
      <c r="R40" s="124">
        <v>500.0</v>
      </c>
      <c r="S40" s="7">
        <f t="shared" si="2"/>
        <v>75000</v>
      </c>
      <c r="T40" s="7">
        <f t="shared" si="3"/>
        <v>11.3</v>
      </c>
      <c r="U40" s="60">
        <f t="shared" si="4"/>
        <v>5650</v>
      </c>
      <c r="V40" s="125">
        <f t="shared" si="5"/>
        <v>9750</v>
      </c>
      <c r="W40" s="96">
        <v>40.0</v>
      </c>
      <c r="X40" s="88">
        <v>500.0</v>
      </c>
      <c r="Y40" s="88">
        <v>1.2</v>
      </c>
      <c r="Z40" s="13">
        <f t="shared" si="6"/>
        <v>600</v>
      </c>
      <c r="AA40" s="13">
        <f t="shared" si="7"/>
        <v>300</v>
      </c>
      <c r="AB40" s="7">
        <f t="shared" si="8"/>
        <v>240</v>
      </c>
      <c r="AC40" s="93">
        <f t="shared" si="9"/>
        <v>3600</v>
      </c>
      <c r="AD40" s="97">
        <v>0.0</v>
      </c>
      <c r="AE40" s="88">
        <v>1000.0</v>
      </c>
      <c r="AF40" s="95">
        <v>0.5</v>
      </c>
      <c r="AG40" s="13">
        <f t="shared" si="10"/>
        <v>500</v>
      </c>
      <c r="AH40" s="13">
        <f t="shared" si="11"/>
        <v>1000</v>
      </c>
      <c r="AI40" s="13">
        <f t="shared" si="12"/>
        <v>0</v>
      </c>
      <c r="AJ40" s="17">
        <f t="shared" si="13"/>
        <v>0</v>
      </c>
      <c r="AK40" s="97">
        <v>0.0</v>
      </c>
      <c r="AL40" s="124">
        <v>3.0</v>
      </c>
      <c r="AM40" s="95">
        <v>20.0</v>
      </c>
      <c r="AN40" s="13">
        <f t="shared" si="14"/>
        <v>60</v>
      </c>
      <c r="AO40" s="13">
        <f t="shared" si="15"/>
        <v>3</v>
      </c>
      <c r="AP40" s="13">
        <f t="shared" si="16"/>
        <v>0</v>
      </c>
      <c r="AQ40" s="17">
        <f t="shared" si="17"/>
        <v>0</v>
      </c>
      <c r="AR40" s="94">
        <v>2.8</v>
      </c>
      <c r="AS40" s="95">
        <v>18000.0</v>
      </c>
      <c r="AT40" s="17">
        <f t="shared" si="22"/>
        <v>504</v>
      </c>
      <c r="AU40" s="94">
        <v>2.8</v>
      </c>
      <c r="AV40" s="124">
        <v>6000.0</v>
      </c>
      <c r="AW40" s="17">
        <f t="shared" si="18"/>
        <v>168</v>
      </c>
      <c r="AX40" s="96">
        <f t="shared" si="19"/>
        <v>84132</v>
      </c>
      <c r="AY40" s="99">
        <f t="shared" si="20"/>
        <v>186.96</v>
      </c>
      <c r="AZ40" s="17">
        <f t="shared" si="21"/>
        <v>76632</v>
      </c>
      <c r="BA40" s="98"/>
    </row>
    <row r="41" ht="15.75" customHeight="1">
      <c r="A41" s="21"/>
      <c r="B41" s="104" t="s">
        <v>502</v>
      </c>
      <c r="C41" s="104" t="s">
        <v>231</v>
      </c>
      <c r="D41" s="106" t="s">
        <v>537</v>
      </c>
      <c r="E41" s="106" t="s">
        <v>233</v>
      </c>
      <c r="F41" s="106" t="s">
        <v>51</v>
      </c>
      <c r="G41" s="157" t="s">
        <v>237</v>
      </c>
      <c r="H41" s="108">
        <v>6.0</v>
      </c>
      <c r="I41" s="22">
        <v>750.0</v>
      </c>
      <c r="J41" s="109"/>
      <c r="K41" s="109"/>
      <c r="L41" s="109"/>
      <c r="M41" s="106">
        <v>1.0</v>
      </c>
      <c r="N41" s="106">
        <f t="shared" si="1"/>
        <v>750</v>
      </c>
      <c r="O41" s="111">
        <v>15.0</v>
      </c>
      <c r="P41" s="106">
        <v>13.0</v>
      </c>
      <c r="Q41" s="88">
        <v>10.0</v>
      </c>
      <c r="R41" s="124">
        <v>500.0</v>
      </c>
      <c r="S41" s="106">
        <f t="shared" si="2"/>
        <v>75000</v>
      </c>
      <c r="T41" s="106">
        <f t="shared" si="3"/>
        <v>11.3</v>
      </c>
      <c r="U41" s="110">
        <f t="shared" si="4"/>
        <v>5650</v>
      </c>
      <c r="V41" s="113">
        <f t="shared" si="5"/>
        <v>9750</v>
      </c>
      <c r="W41" s="116">
        <v>0.0</v>
      </c>
      <c r="X41" s="108">
        <v>500.0</v>
      </c>
      <c r="Y41" s="108">
        <v>1.2</v>
      </c>
      <c r="Z41" s="22">
        <f t="shared" si="6"/>
        <v>600</v>
      </c>
      <c r="AA41" s="22">
        <f t="shared" si="7"/>
        <v>500</v>
      </c>
      <c r="AB41" s="106">
        <f t="shared" si="8"/>
        <v>0</v>
      </c>
      <c r="AC41" s="115">
        <f t="shared" si="9"/>
        <v>0</v>
      </c>
      <c r="AD41" s="130">
        <v>26.0</v>
      </c>
      <c r="AE41" s="108">
        <v>1000.0</v>
      </c>
      <c r="AF41" s="117">
        <v>0.5</v>
      </c>
      <c r="AG41" s="22">
        <f t="shared" si="10"/>
        <v>500</v>
      </c>
      <c r="AH41" s="22">
        <f t="shared" si="11"/>
        <v>740</v>
      </c>
      <c r="AI41" s="22">
        <f t="shared" si="12"/>
        <v>130</v>
      </c>
      <c r="AJ41" s="25">
        <f t="shared" si="13"/>
        <v>1950</v>
      </c>
      <c r="AK41" s="116">
        <v>0.0</v>
      </c>
      <c r="AL41" s="129">
        <v>3.0</v>
      </c>
      <c r="AM41" s="117">
        <v>20.0</v>
      </c>
      <c r="AN41" s="22">
        <f t="shared" si="14"/>
        <v>60</v>
      </c>
      <c r="AO41" s="22">
        <f t="shared" si="15"/>
        <v>3</v>
      </c>
      <c r="AP41" s="22">
        <f t="shared" si="16"/>
        <v>0</v>
      </c>
      <c r="AQ41" s="25">
        <f t="shared" si="17"/>
        <v>0</v>
      </c>
      <c r="AR41" s="130">
        <v>2.8</v>
      </c>
      <c r="AS41" s="117">
        <v>18000.0</v>
      </c>
      <c r="AT41" s="25">
        <f t="shared" si="22"/>
        <v>504</v>
      </c>
      <c r="AU41" s="130">
        <v>2.8</v>
      </c>
      <c r="AV41" s="129">
        <v>6000.0</v>
      </c>
      <c r="AW41" s="25">
        <f t="shared" si="18"/>
        <v>168</v>
      </c>
      <c r="AX41" s="118">
        <f t="shared" si="19"/>
        <v>74232</v>
      </c>
      <c r="AY41" s="99">
        <f t="shared" si="20"/>
        <v>1649.6</v>
      </c>
      <c r="AZ41" s="25">
        <f t="shared" si="21"/>
        <v>73482</v>
      </c>
      <c r="BA41" s="119"/>
    </row>
    <row r="42" ht="15.75" customHeight="1">
      <c r="A42" s="71" t="s">
        <v>270</v>
      </c>
      <c r="B42" s="72" t="s">
        <v>14</v>
      </c>
      <c r="C42" s="74" t="s">
        <v>271</v>
      </c>
      <c r="D42" s="74" t="s">
        <v>588</v>
      </c>
      <c r="E42" s="74" t="s">
        <v>538</v>
      </c>
      <c r="F42" s="74" t="s">
        <v>51</v>
      </c>
      <c r="G42" s="145" t="s">
        <v>539</v>
      </c>
      <c r="H42" s="76">
        <v>6.0</v>
      </c>
      <c r="I42" s="9">
        <v>15750.0</v>
      </c>
      <c r="J42" s="9"/>
      <c r="K42" s="9"/>
      <c r="L42" s="9"/>
      <c r="M42" s="74">
        <v>1.0</v>
      </c>
      <c r="N42" s="74">
        <f t="shared" si="1"/>
        <v>15750</v>
      </c>
      <c r="O42" s="89">
        <v>15.0</v>
      </c>
      <c r="P42" s="158">
        <v>0.0</v>
      </c>
      <c r="Q42" s="131">
        <v>10.0</v>
      </c>
      <c r="R42" s="131">
        <v>500.0</v>
      </c>
      <c r="S42" s="74">
        <f t="shared" si="2"/>
        <v>75000</v>
      </c>
      <c r="T42" s="74">
        <f t="shared" si="3"/>
        <v>10</v>
      </c>
      <c r="U42" s="78">
        <f t="shared" si="4"/>
        <v>5000</v>
      </c>
      <c r="V42" s="80">
        <f t="shared" si="5"/>
        <v>0</v>
      </c>
      <c r="W42" s="84">
        <v>8.0</v>
      </c>
      <c r="X42" s="88">
        <v>500.0</v>
      </c>
      <c r="Y42" s="88">
        <v>1.2</v>
      </c>
      <c r="Z42" s="9">
        <f t="shared" si="6"/>
        <v>600</v>
      </c>
      <c r="AA42" s="9">
        <f t="shared" si="7"/>
        <v>460</v>
      </c>
      <c r="AB42" s="74">
        <f t="shared" si="8"/>
        <v>48</v>
      </c>
      <c r="AC42" s="81">
        <f t="shared" si="9"/>
        <v>720</v>
      </c>
      <c r="AD42" s="123">
        <v>25.0</v>
      </c>
      <c r="AE42" s="88">
        <v>1000.0</v>
      </c>
      <c r="AF42" s="95">
        <v>0.5</v>
      </c>
      <c r="AG42" s="9">
        <f t="shared" si="10"/>
        <v>500</v>
      </c>
      <c r="AH42" s="9">
        <f t="shared" si="11"/>
        <v>750</v>
      </c>
      <c r="AI42" s="9">
        <f t="shared" si="12"/>
        <v>125</v>
      </c>
      <c r="AJ42" s="12">
        <f t="shared" si="13"/>
        <v>1875</v>
      </c>
      <c r="AK42" s="123">
        <v>3.6</v>
      </c>
      <c r="AL42" s="131">
        <v>3.0</v>
      </c>
      <c r="AM42" s="95">
        <v>20.0</v>
      </c>
      <c r="AN42" s="9">
        <f t="shared" si="14"/>
        <v>60</v>
      </c>
      <c r="AO42" s="9">
        <f t="shared" si="15"/>
        <v>2.892</v>
      </c>
      <c r="AP42" s="9">
        <f t="shared" si="16"/>
        <v>2.16</v>
      </c>
      <c r="AQ42" s="12">
        <f t="shared" si="17"/>
        <v>32.4</v>
      </c>
      <c r="AR42" s="85">
        <v>0.0</v>
      </c>
      <c r="AS42" s="95">
        <v>18000.0</v>
      </c>
      <c r="AT42" s="12">
        <f t="shared" si="22"/>
        <v>0</v>
      </c>
      <c r="AU42" s="85">
        <v>0.0</v>
      </c>
      <c r="AV42" s="131">
        <v>6000.0</v>
      </c>
      <c r="AW42" s="12">
        <f t="shared" si="18"/>
        <v>0</v>
      </c>
      <c r="AX42" s="84">
        <f t="shared" si="19"/>
        <v>15764.4</v>
      </c>
      <c r="AY42" s="87">
        <f t="shared" si="20"/>
        <v>16.68190476</v>
      </c>
      <c r="AZ42" s="12">
        <f t="shared" si="21"/>
        <v>14.4</v>
      </c>
      <c r="BA42" s="86"/>
    </row>
    <row r="43" ht="15.75" customHeight="1">
      <c r="A43" s="14"/>
      <c r="B43" s="33" t="s">
        <v>14</v>
      </c>
      <c r="C43" s="7" t="s">
        <v>271</v>
      </c>
      <c r="D43" s="7" t="s">
        <v>277</v>
      </c>
      <c r="E43" s="7" t="s">
        <v>538</v>
      </c>
      <c r="F43" s="7" t="s">
        <v>51</v>
      </c>
      <c r="G43" s="147" t="s">
        <v>589</v>
      </c>
      <c r="H43" s="88">
        <v>6.0</v>
      </c>
      <c r="I43" s="13">
        <v>9500.0</v>
      </c>
      <c r="J43" s="13"/>
      <c r="K43" s="13"/>
      <c r="L43" s="13"/>
      <c r="M43" s="7">
        <v>1.0</v>
      </c>
      <c r="N43" s="7">
        <f t="shared" si="1"/>
        <v>9500</v>
      </c>
      <c r="O43" s="89">
        <v>15.0</v>
      </c>
      <c r="P43" s="159">
        <v>0.0</v>
      </c>
      <c r="Q43" s="124">
        <v>10.0</v>
      </c>
      <c r="R43" s="124">
        <v>500.0</v>
      </c>
      <c r="S43" s="7">
        <f t="shared" si="2"/>
        <v>75000</v>
      </c>
      <c r="T43" s="7">
        <f t="shared" si="3"/>
        <v>10</v>
      </c>
      <c r="U43" s="60">
        <f t="shared" si="4"/>
        <v>5000</v>
      </c>
      <c r="V43" s="125">
        <f t="shared" si="5"/>
        <v>0</v>
      </c>
      <c r="W43" s="96">
        <v>8.0</v>
      </c>
      <c r="X43" s="88">
        <v>500.0</v>
      </c>
      <c r="Y43" s="88">
        <v>1.2</v>
      </c>
      <c r="Z43" s="13">
        <f t="shared" si="6"/>
        <v>600</v>
      </c>
      <c r="AA43" s="13">
        <f t="shared" si="7"/>
        <v>460</v>
      </c>
      <c r="AB43" s="7">
        <f t="shared" si="8"/>
        <v>48</v>
      </c>
      <c r="AC43" s="93">
        <f t="shared" si="9"/>
        <v>720</v>
      </c>
      <c r="AD43" s="94">
        <v>25.0</v>
      </c>
      <c r="AE43" s="88">
        <v>1000.0</v>
      </c>
      <c r="AF43" s="95">
        <v>0.5</v>
      </c>
      <c r="AG43" s="13">
        <f t="shared" si="10"/>
        <v>500</v>
      </c>
      <c r="AH43" s="13">
        <f t="shared" si="11"/>
        <v>750</v>
      </c>
      <c r="AI43" s="13">
        <f t="shared" si="12"/>
        <v>125</v>
      </c>
      <c r="AJ43" s="17">
        <f t="shared" si="13"/>
        <v>1875</v>
      </c>
      <c r="AK43" s="94">
        <v>3.6</v>
      </c>
      <c r="AL43" s="124">
        <v>3.0</v>
      </c>
      <c r="AM43" s="95">
        <v>20.0</v>
      </c>
      <c r="AN43" s="13">
        <f t="shared" si="14"/>
        <v>60</v>
      </c>
      <c r="AO43" s="13">
        <f t="shared" si="15"/>
        <v>2.892</v>
      </c>
      <c r="AP43" s="13">
        <f t="shared" si="16"/>
        <v>2.16</v>
      </c>
      <c r="AQ43" s="17">
        <f t="shared" si="17"/>
        <v>32.4</v>
      </c>
      <c r="AR43" s="97">
        <v>0.0</v>
      </c>
      <c r="AS43" s="95">
        <v>18000.0</v>
      </c>
      <c r="AT43" s="17">
        <f t="shared" si="22"/>
        <v>0</v>
      </c>
      <c r="AU43" s="97">
        <v>0.0</v>
      </c>
      <c r="AV43" s="124">
        <v>6000.0</v>
      </c>
      <c r="AW43" s="17">
        <f t="shared" si="18"/>
        <v>0</v>
      </c>
      <c r="AX43" s="96">
        <f t="shared" si="19"/>
        <v>15764.4</v>
      </c>
      <c r="AY43" s="99">
        <f t="shared" si="20"/>
        <v>27.65684211</v>
      </c>
      <c r="AZ43" s="17">
        <f t="shared" si="21"/>
        <v>6264.4</v>
      </c>
      <c r="BA43" s="98"/>
    </row>
    <row r="44" ht="15.75" customHeight="1">
      <c r="A44" s="14"/>
      <c r="B44" s="33" t="s">
        <v>14</v>
      </c>
      <c r="C44" s="7" t="s">
        <v>541</v>
      </c>
      <c r="D44" s="7" t="s">
        <v>280</v>
      </c>
      <c r="E44" s="7" t="s">
        <v>281</v>
      </c>
      <c r="F44" s="7" t="s">
        <v>51</v>
      </c>
      <c r="G44" s="147" t="s">
        <v>542</v>
      </c>
      <c r="H44" s="88">
        <v>6.0</v>
      </c>
      <c r="I44" s="13">
        <v>1800.0</v>
      </c>
      <c r="J44" s="13"/>
      <c r="K44" s="13"/>
      <c r="L44" s="13"/>
      <c r="M44" s="7">
        <v>1.0</v>
      </c>
      <c r="N44" s="7">
        <f t="shared" si="1"/>
        <v>1800</v>
      </c>
      <c r="O44" s="89">
        <v>15.0</v>
      </c>
      <c r="P44" s="159">
        <v>0.0</v>
      </c>
      <c r="Q44" s="124">
        <v>10.0</v>
      </c>
      <c r="R44" s="124">
        <v>500.0</v>
      </c>
      <c r="S44" s="7">
        <f t="shared" si="2"/>
        <v>75000</v>
      </c>
      <c r="T44" s="7">
        <f t="shared" si="3"/>
        <v>10</v>
      </c>
      <c r="U44" s="60">
        <f t="shared" si="4"/>
        <v>5000</v>
      </c>
      <c r="V44" s="125">
        <f t="shared" si="5"/>
        <v>0</v>
      </c>
      <c r="W44" s="96">
        <v>8.0</v>
      </c>
      <c r="X44" s="88">
        <v>500.0</v>
      </c>
      <c r="Y44" s="88">
        <v>1.2</v>
      </c>
      <c r="Z44" s="13">
        <f t="shared" si="6"/>
        <v>600</v>
      </c>
      <c r="AA44" s="13">
        <f t="shared" si="7"/>
        <v>460</v>
      </c>
      <c r="AB44" s="7">
        <f t="shared" si="8"/>
        <v>48</v>
      </c>
      <c r="AC44" s="93">
        <f t="shared" si="9"/>
        <v>720</v>
      </c>
      <c r="AD44" s="94">
        <v>25.0</v>
      </c>
      <c r="AE44" s="88">
        <v>1000.0</v>
      </c>
      <c r="AF44" s="95">
        <v>0.5</v>
      </c>
      <c r="AG44" s="13">
        <f t="shared" si="10"/>
        <v>500</v>
      </c>
      <c r="AH44" s="13">
        <f t="shared" si="11"/>
        <v>750</v>
      </c>
      <c r="AI44" s="13">
        <f t="shared" si="12"/>
        <v>125</v>
      </c>
      <c r="AJ44" s="17">
        <f t="shared" si="13"/>
        <v>1875</v>
      </c>
      <c r="AK44" s="94">
        <v>3.6</v>
      </c>
      <c r="AL44" s="124">
        <v>3.0</v>
      </c>
      <c r="AM44" s="95">
        <v>20.0</v>
      </c>
      <c r="AN44" s="13">
        <f t="shared" si="14"/>
        <v>60</v>
      </c>
      <c r="AO44" s="13">
        <f t="shared" si="15"/>
        <v>2.892</v>
      </c>
      <c r="AP44" s="13">
        <f t="shared" si="16"/>
        <v>2.16</v>
      </c>
      <c r="AQ44" s="17">
        <f t="shared" si="17"/>
        <v>32.4</v>
      </c>
      <c r="AR44" s="97">
        <v>0.0</v>
      </c>
      <c r="AS44" s="95">
        <v>18000.0</v>
      </c>
      <c r="AT44" s="17">
        <f t="shared" si="22"/>
        <v>0</v>
      </c>
      <c r="AU44" s="94">
        <v>6.3</v>
      </c>
      <c r="AV44" s="124">
        <v>6000.0</v>
      </c>
      <c r="AW44" s="17">
        <f t="shared" si="18"/>
        <v>378</v>
      </c>
      <c r="AX44" s="96">
        <f t="shared" si="19"/>
        <v>18032.4</v>
      </c>
      <c r="AY44" s="99">
        <f t="shared" si="20"/>
        <v>166.9666667</v>
      </c>
      <c r="AZ44" s="17">
        <f t="shared" si="21"/>
        <v>16232.4</v>
      </c>
      <c r="BA44" s="98"/>
    </row>
    <row r="45" ht="15.75" customHeight="1">
      <c r="A45" s="14"/>
      <c r="B45" s="33" t="s">
        <v>14</v>
      </c>
      <c r="C45" s="7" t="s">
        <v>271</v>
      </c>
      <c r="D45" s="7" t="s">
        <v>295</v>
      </c>
      <c r="E45" s="7" t="s">
        <v>296</v>
      </c>
      <c r="F45" s="7" t="s">
        <v>51</v>
      </c>
      <c r="G45" s="147" t="s">
        <v>543</v>
      </c>
      <c r="H45" s="88">
        <v>6.0</v>
      </c>
      <c r="I45" s="13">
        <v>6500.0</v>
      </c>
      <c r="J45" s="13"/>
      <c r="K45" s="13"/>
      <c r="L45" s="13"/>
      <c r="M45" s="7">
        <v>1.0</v>
      </c>
      <c r="N45" s="7">
        <f t="shared" si="1"/>
        <v>6500</v>
      </c>
      <c r="O45" s="89">
        <v>15.0</v>
      </c>
      <c r="P45" s="159">
        <v>0.0</v>
      </c>
      <c r="Q45" s="124">
        <v>10.0</v>
      </c>
      <c r="R45" s="124">
        <v>500.0</v>
      </c>
      <c r="S45" s="7">
        <f t="shared" si="2"/>
        <v>75000</v>
      </c>
      <c r="T45" s="7">
        <f t="shared" si="3"/>
        <v>10</v>
      </c>
      <c r="U45" s="60">
        <f t="shared" si="4"/>
        <v>5000</v>
      </c>
      <c r="V45" s="125">
        <f t="shared" si="5"/>
        <v>0</v>
      </c>
      <c r="W45" s="96">
        <v>8.0</v>
      </c>
      <c r="X45" s="88">
        <v>500.0</v>
      </c>
      <c r="Y45" s="88">
        <v>1.2</v>
      </c>
      <c r="Z45" s="13">
        <f t="shared" si="6"/>
        <v>600</v>
      </c>
      <c r="AA45" s="13">
        <f t="shared" si="7"/>
        <v>460</v>
      </c>
      <c r="AB45" s="7">
        <f t="shared" si="8"/>
        <v>48</v>
      </c>
      <c r="AC45" s="93">
        <f t="shared" si="9"/>
        <v>720</v>
      </c>
      <c r="AD45" s="94">
        <v>25.0</v>
      </c>
      <c r="AE45" s="88">
        <v>1000.0</v>
      </c>
      <c r="AF45" s="95">
        <v>0.5</v>
      </c>
      <c r="AG45" s="13">
        <f t="shared" si="10"/>
        <v>500</v>
      </c>
      <c r="AH45" s="13">
        <f t="shared" si="11"/>
        <v>750</v>
      </c>
      <c r="AI45" s="13">
        <f t="shared" si="12"/>
        <v>125</v>
      </c>
      <c r="AJ45" s="17">
        <f t="shared" si="13"/>
        <v>1875</v>
      </c>
      <c r="AK45" s="94">
        <v>3.6</v>
      </c>
      <c r="AL45" s="124">
        <v>3.0</v>
      </c>
      <c r="AM45" s="95">
        <v>20.0</v>
      </c>
      <c r="AN45" s="13">
        <f t="shared" si="14"/>
        <v>60</v>
      </c>
      <c r="AO45" s="13">
        <f t="shared" si="15"/>
        <v>2.892</v>
      </c>
      <c r="AP45" s="13">
        <f t="shared" si="16"/>
        <v>2.16</v>
      </c>
      <c r="AQ45" s="17">
        <f t="shared" si="17"/>
        <v>32.4</v>
      </c>
      <c r="AR45" s="97">
        <v>0.0</v>
      </c>
      <c r="AS45" s="95">
        <v>18000.0</v>
      </c>
      <c r="AT45" s="17">
        <f t="shared" si="22"/>
        <v>0</v>
      </c>
      <c r="AU45" s="94">
        <v>6.3</v>
      </c>
      <c r="AV45" s="124">
        <v>6000.0</v>
      </c>
      <c r="AW45" s="17">
        <f t="shared" si="18"/>
        <v>378</v>
      </c>
      <c r="AX45" s="96">
        <f t="shared" si="19"/>
        <v>18032.4</v>
      </c>
      <c r="AY45" s="99">
        <f t="shared" si="20"/>
        <v>46.23692308</v>
      </c>
      <c r="AZ45" s="17">
        <f t="shared" si="21"/>
        <v>11532.4</v>
      </c>
      <c r="BA45" s="98"/>
    </row>
    <row r="46" ht="15.75" customHeight="1">
      <c r="A46" s="14"/>
      <c r="B46" s="33" t="s">
        <v>14</v>
      </c>
      <c r="C46" s="7" t="s">
        <v>300</v>
      </c>
      <c r="D46" s="7" t="s">
        <v>301</v>
      </c>
      <c r="E46" s="7" t="s">
        <v>302</v>
      </c>
      <c r="F46" s="7" t="s">
        <v>51</v>
      </c>
      <c r="G46" s="147" t="s">
        <v>545</v>
      </c>
      <c r="H46" s="88">
        <v>6.0</v>
      </c>
      <c r="I46" s="13">
        <v>12000.0</v>
      </c>
      <c r="J46" s="13"/>
      <c r="K46" s="13"/>
      <c r="L46" s="13"/>
      <c r="M46" s="7">
        <v>1.0</v>
      </c>
      <c r="N46" s="7">
        <f t="shared" si="1"/>
        <v>12000</v>
      </c>
      <c r="O46" s="89">
        <v>15.0</v>
      </c>
      <c r="P46" s="159">
        <v>0.0</v>
      </c>
      <c r="Q46" s="124">
        <v>10.0</v>
      </c>
      <c r="R46" s="124">
        <v>500.0</v>
      </c>
      <c r="S46" s="7">
        <f t="shared" si="2"/>
        <v>75000</v>
      </c>
      <c r="T46" s="7">
        <f t="shared" si="3"/>
        <v>10</v>
      </c>
      <c r="U46" s="60">
        <f t="shared" si="4"/>
        <v>5000</v>
      </c>
      <c r="V46" s="125">
        <f t="shared" si="5"/>
        <v>0</v>
      </c>
      <c r="W46" s="96">
        <v>8.0</v>
      </c>
      <c r="X46" s="88">
        <v>500.0</v>
      </c>
      <c r="Y46" s="88">
        <v>1.2</v>
      </c>
      <c r="Z46" s="13">
        <f t="shared" si="6"/>
        <v>600</v>
      </c>
      <c r="AA46" s="13">
        <f t="shared" si="7"/>
        <v>460</v>
      </c>
      <c r="AB46" s="7">
        <f t="shared" si="8"/>
        <v>48</v>
      </c>
      <c r="AC46" s="93">
        <f t="shared" si="9"/>
        <v>720</v>
      </c>
      <c r="AD46" s="94">
        <v>25.0</v>
      </c>
      <c r="AE46" s="88">
        <v>1000.0</v>
      </c>
      <c r="AF46" s="95">
        <v>0.5</v>
      </c>
      <c r="AG46" s="13">
        <f t="shared" si="10"/>
        <v>500</v>
      </c>
      <c r="AH46" s="13">
        <f t="shared" si="11"/>
        <v>750</v>
      </c>
      <c r="AI46" s="13">
        <f t="shared" si="12"/>
        <v>125</v>
      </c>
      <c r="AJ46" s="17">
        <f t="shared" si="13"/>
        <v>1875</v>
      </c>
      <c r="AK46" s="94">
        <v>3.6</v>
      </c>
      <c r="AL46" s="124">
        <v>3.0</v>
      </c>
      <c r="AM46" s="95">
        <v>20.0</v>
      </c>
      <c r="AN46" s="13">
        <f t="shared" si="14"/>
        <v>60</v>
      </c>
      <c r="AO46" s="13">
        <f t="shared" si="15"/>
        <v>2.892</v>
      </c>
      <c r="AP46" s="13">
        <f t="shared" si="16"/>
        <v>2.16</v>
      </c>
      <c r="AQ46" s="17">
        <f t="shared" si="17"/>
        <v>32.4</v>
      </c>
      <c r="AR46" s="97">
        <v>0.0</v>
      </c>
      <c r="AS46" s="95">
        <v>18000.0</v>
      </c>
      <c r="AT46" s="17">
        <f t="shared" si="22"/>
        <v>0</v>
      </c>
      <c r="AU46" s="94">
        <v>6.3</v>
      </c>
      <c r="AV46" s="124">
        <v>6000.0</v>
      </c>
      <c r="AW46" s="17">
        <f t="shared" si="18"/>
        <v>378</v>
      </c>
      <c r="AX46" s="96">
        <f t="shared" si="19"/>
        <v>18032.4</v>
      </c>
      <c r="AY46" s="99">
        <f t="shared" si="20"/>
        <v>25.045</v>
      </c>
      <c r="AZ46" s="17">
        <f t="shared" si="21"/>
        <v>6032.4</v>
      </c>
      <c r="BA46" s="98"/>
    </row>
    <row r="47" ht="15.75" customHeight="1">
      <c r="A47" s="14"/>
      <c r="B47" s="33" t="s">
        <v>14</v>
      </c>
      <c r="C47" s="7" t="s">
        <v>289</v>
      </c>
      <c r="D47" s="7" t="s">
        <v>319</v>
      </c>
      <c r="E47" s="7" t="s">
        <v>590</v>
      </c>
      <c r="F47" s="7" t="s">
        <v>51</v>
      </c>
      <c r="G47" s="147" t="s">
        <v>551</v>
      </c>
      <c r="H47" s="88">
        <v>6.0</v>
      </c>
      <c r="I47" s="13">
        <v>900.0</v>
      </c>
      <c r="J47" s="13"/>
      <c r="K47" s="13"/>
      <c r="L47" s="13"/>
      <c r="M47" s="7">
        <v>1.0</v>
      </c>
      <c r="N47" s="7">
        <f t="shared" si="1"/>
        <v>900</v>
      </c>
      <c r="O47" s="89">
        <v>15.0</v>
      </c>
      <c r="P47" s="159">
        <v>0.0</v>
      </c>
      <c r="Q47" s="124">
        <v>10.0</v>
      </c>
      <c r="R47" s="124">
        <v>500.0</v>
      </c>
      <c r="S47" s="7">
        <f t="shared" si="2"/>
        <v>75000</v>
      </c>
      <c r="T47" s="7">
        <f t="shared" si="3"/>
        <v>10</v>
      </c>
      <c r="U47" s="60">
        <f t="shared" si="4"/>
        <v>5000</v>
      </c>
      <c r="V47" s="125">
        <f t="shared" si="5"/>
        <v>0</v>
      </c>
      <c r="W47" s="96">
        <v>8.0</v>
      </c>
      <c r="X47" s="88">
        <v>500.0</v>
      </c>
      <c r="Y47" s="88">
        <v>1.2</v>
      </c>
      <c r="Z47" s="13">
        <f t="shared" si="6"/>
        <v>600</v>
      </c>
      <c r="AA47" s="13">
        <f t="shared" si="7"/>
        <v>460</v>
      </c>
      <c r="AB47" s="7">
        <f t="shared" si="8"/>
        <v>48</v>
      </c>
      <c r="AC47" s="93">
        <f t="shared" si="9"/>
        <v>720</v>
      </c>
      <c r="AD47" s="94">
        <v>25.0</v>
      </c>
      <c r="AE47" s="88">
        <v>1000.0</v>
      </c>
      <c r="AF47" s="95">
        <v>0.5</v>
      </c>
      <c r="AG47" s="13">
        <f t="shared" si="10"/>
        <v>500</v>
      </c>
      <c r="AH47" s="13">
        <f t="shared" si="11"/>
        <v>750</v>
      </c>
      <c r="AI47" s="13">
        <f t="shared" si="12"/>
        <v>125</v>
      </c>
      <c r="AJ47" s="17">
        <f t="shared" si="13"/>
        <v>1875</v>
      </c>
      <c r="AK47" s="94">
        <v>3.6</v>
      </c>
      <c r="AL47" s="124">
        <v>3.0</v>
      </c>
      <c r="AM47" s="95">
        <v>20.0</v>
      </c>
      <c r="AN47" s="13">
        <f t="shared" si="14"/>
        <v>60</v>
      </c>
      <c r="AO47" s="13">
        <f t="shared" si="15"/>
        <v>2.892</v>
      </c>
      <c r="AP47" s="13">
        <f t="shared" si="16"/>
        <v>2.16</v>
      </c>
      <c r="AQ47" s="17">
        <f t="shared" si="17"/>
        <v>32.4</v>
      </c>
      <c r="AR47" s="97">
        <v>0.0</v>
      </c>
      <c r="AS47" s="95">
        <v>18000.0</v>
      </c>
      <c r="AT47" s="17">
        <f t="shared" si="22"/>
        <v>0</v>
      </c>
      <c r="AU47" s="97">
        <v>0.0</v>
      </c>
      <c r="AV47" s="124">
        <v>6000.0</v>
      </c>
      <c r="AW47" s="17">
        <f t="shared" si="18"/>
        <v>0</v>
      </c>
      <c r="AX47" s="96">
        <f t="shared" si="19"/>
        <v>15764.4</v>
      </c>
      <c r="AY47" s="99">
        <f t="shared" si="20"/>
        <v>291.9333333</v>
      </c>
      <c r="AZ47" s="17">
        <f t="shared" si="21"/>
        <v>14864.4</v>
      </c>
      <c r="BA47" s="98"/>
    </row>
    <row r="48" ht="15.75" customHeight="1">
      <c r="A48" s="14"/>
      <c r="B48" s="33" t="s">
        <v>14</v>
      </c>
      <c r="C48" s="7" t="s">
        <v>289</v>
      </c>
      <c r="D48" s="7" t="s">
        <v>323</v>
      </c>
      <c r="E48" s="7" t="s">
        <v>549</v>
      </c>
      <c r="F48" s="7" t="s">
        <v>51</v>
      </c>
      <c r="G48" s="147" t="s">
        <v>550</v>
      </c>
      <c r="H48" s="88">
        <v>6.0</v>
      </c>
      <c r="I48" s="13">
        <v>115.0</v>
      </c>
      <c r="J48" s="13"/>
      <c r="K48" s="13"/>
      <c r="L48" s="13"/>
      <c r="M48" s="7">
        <v>1.0</v>
      </c>
      <c r="N48" s="7">
        <f t="shared" si="1"/>
        <v>115</v>
      </c>
      <c r="O48" s="89">
        <v>15.0</v>
      </c>
      <c r="P48" s="159">
        <v>0.0</v>
      </c>
      <c r="Q48" s="124">
        <v>10.0</v>
      </c>
      <c r="R48" s="124">
        <v>500.0</v>
      </c>
      <c r="S48" s="7">
        <f t="shared" si="2"/>
        <v>75000</v>
      </c>
      <c r="T48" s="7">
        <f t="shared" si="3"/>
        <v>10</v>
      </c>
      <c r="U48" s="60">
        <f t="shared" si="4"/>
        <v>5000</v>
      </c>
      <c r="V48" s="125">
        <f t="shared" si="5"/>
        <v>0</v>
      </c>
      <c r="W48" s="96">
        <v>8.0</v>
      </c>
      <c r="X48" s="88">
        <v>500.0</v>
      </c>
      <c r="Y48" s="88">
        <v>1.2</v>
      </c>
      <c r="Z48" s="13">
        <f t="shared" si="6"/>
        <v>600</v>
      </c>
      <c r="AA48" s="13">
        <f t="shared" si="7"/>
        <v>460</v>
      </c>
      <c r="AB48" s="7">
        <f t="shared" si="8"/>
        <v>48</v>
      </c>
      <c r="AC48" s="93">
        <f t="shared" si="9"/>
        <v>720</v>
      </c>
      <c r="AD48" s="94">
        <v>25.0</v>
      </c>
      <c r="AE48" s="88">
        <v>1000.0</v>
      </c>
      <c r="AF48" s="95">
        <v>0.5</v>
      </c>
      <c r="AG48" s="13">
        <f t="shared" si="10"/>
        <v>500</v>
      </c>
      <c r="AH48" s="13">
        <f t="shared" si="11"/>
        <v>750</v>
      </c>
      <c r="AI48" s="13">
        <f t="shared" si="12"/>
        <v>125</v>
      </c>
      <c r="AJ48" s="17">
        <f t="shared" si="13"/>
        <v>1875</v>
      </c>
      <c r="AK48" s="94">
        <v>3.6</v>
      </c>
      <c r="AL48" s="124">
        <v>3.0</v>
      </c>
      <c r="AM48" s="95">
        <v>20.0</v>
      </c>
      <c r="AN48" s="13">
        <f t="shared" si="14"/>
        <v>60</v>
      </c>
      <c r="AO48" s="13">
        <f t="shared" si="15"/>
        <v>2.892</v>
      </c>
      <c r="AP48" s="13">
        <f t="shared" si="16"/>
        <v>2.16</v>
      </c>
      <c r="AQ48" s="17">
        <f t="shared" si="17"/>
        <v>32.4</v>
      </c>
      <c r="AR48" s="97">
        <v>0.0</v>
      </c>
      <c r="AS48" s="95">
        <v>18000.0</v>
      </c>
      <c r="AT48" s="17">
        <f t="shared" si="22"/>
        <v>0</v>
      </c>
      <c r="AU48" s="97">
        <v>0.0</v>
      </c>
      <c r="AV48" s="124">
        <v>6000.0</v>
      </c>
      <c r="AW48" s="17">
        <f t="shared" si="18"/>
        <v>0</v>
      </c>
      <c r="AX48" s="96">
        <f t="shared" si="19"/>
        <v>15764.4</v>
      </c>
      <c r="AY48" s="99">
        <f t="shared" si="20"/>
        <v>2284.695652</v>
      </c>
      <c r="AZ48" s="17">
        <f t="shared" si="21"/>
        <v>15649.4</v>
      </c>
      <c r="BA48" s="98"/>
    </row>
    <row r="49" ht="15.75" customHeight="1">
      <c r="A49" s="14"/>
      <c r="B49" s="33" t="s">
        <v>14</v>
      </c>
      <c r="C49" s="7" t="s">
        <v>271</v>
      </c>
      <c r="D49" s="7" t="s">
        <v>306</v>
      </c>
      <c r="E49" s="7" t="s">
        <v>548</v>
      </c>
      <c r="F49" s="7" t="s">
        <v>51</v>
      </c>
      <c r="G49" s="147" t="s">
        <v>516</v>
      </c>
      <c r="H49" s="88">
        <v>6.0</v>
      </c>
      <c r="I49" s="13">
        <v>7000.0</v>
      </c>
      <c r="J49" s="13"/>
      <c r="K49" s="13"/>
      <c r="L49" s="13"/>
      <c r="M49" s="7">
        <v>1.0</v>
      </c>
      <c r="N49" s="7">
        <f t="shared" si="1"/>
        <v>7000</v>
      </c>
      <c r="O49" s="89">
        <v>15.0</v>
      </c>
      <c r="P49" s="159">
        <v>0.0</v>
      </c>
      <c r="Q49" s="124">
        <v>10.0</v>
      </c>
      <c r="R49" s="124">
        <v>500.0</v>
      </c>
      <c r="S49" s="7">
        <f t="shared" si="2"/>
        <v>75000</v>
      </c>
      <c r="T49" s="7">
        <f t="shared" si="3"/>
        <v>10</v>
      </c>
      <c r="U49" s="60">
        <f t="shared" si="4"/>
        <v>5000</v>
      </c>
      <c r="V49" s="125">
        <f t="shared" si="5"/>
        <v>0</v>
      </c>
      <c r="W49" s="96">
        <v>8.0</v>
      </c>
      <c r="X49" s="88">
        <v>500.0</v>
      </c>
      <c r="Y49" s="88">
        <v>1.2</v>
      </c>
      <c r="Z49" s="13">
        <f t="shared" si="6"/>
        <v>600</v>
      </c>
      <c r="AA49" s="13">
        <f t="shared" si="7"/>
        <v>460</v>
      </c>
      <c r="AB49" s="7">
        <f t="shared" si="8"/>
        <v>48</v>
      </c>
      <c r="AC49" s="93">
        <f t="shared" si="9"/>
        <v>720</v>
      </c>
      <c r="AD49" s="94">
        <v>25.0</v>
      </c>
      <c r="AE49" s="88">
        <v>1000.0</v>
      </c>
      <c r="AF49" s="95">
        <v>0.5</v>
      </c>
      <c r="AG49" s="13">
        <f t="shared" si="10"/>
        <v>500</v>
      </c>
      <c r="AH49" s="13">
        <f t="shared" si="11"/>
        <v>750</v>
      </c>
      <c r="AI49" s="13">
        <f t="shared" si="12"/>
        <v>125</v>
      </c>
      <c r="AJ49" s="17">
        <f t="shared" si="13"/>
        <v>1875</v>
      </c>
      <c r="AK49" s="94">
        <v>3.6</v>
      </c>
      <c r="AL49" s="124">
        <v>3.0</v>
      </c>
      <c r="AM49" s="95">
        <v>20.0</v>
      </c>
      <c r="AN49" s="13">
        <f t="shared" si="14"/>
        <v>60</v>
      </c>
      <c r="AO49" s="13">
        <f t="shared" si="15"/>
        <v>2.892</v>
      </c>
      <c r="AP49" s="13">
        <f t="shared" si="16"/>
        <v>2.16</v>
      </c>
      <c r="AQ49" s="17">
        <f t="shared" si="17"/>
        <v>32.4</v>
      </c>
      <c r="AR49" s="97">
        <v>0.0</v>
      </c>
      <c r="AS49" s="95">
        <v>18000.0</v>
      </c>
      <c r="AT49" s="17">
        <f t="shared" si="22"/>
        <v>0</v>
      </c>
      <c r="AU49" s="97">
        <v>0.0</v>
      </c>
      <c r="AV49" s="124">
        <v>6000.0</v>
      </c>
      <c r="AW49" s="17">
        <f t="shared" si="18"/>
        <v>0</v>
      </c>
      <c r="AX49" s="96">
        <f t="shared" si="19"/>
        <v>15764.4</v>
      </c>
      <c r="AY49" s="99">
        <f t="shared" si="20"/>
        <v>37.53428571</v>
      </c>
      <c r="AZ49" s="17">
        <f t="shared" si="21"/>
        <v>8764.4</v>
      </c>
      <c r="BA49" s="98"/>
    </row>
    <row r="50" ht="15.75" customHeight="1">
      <c r="A50" s="14"/>
      <c r="B50" s="33" t="s">
        <v>14</v>
      </c>
      <c r="C50" s="7" t="s">
        <v>271</v>
      </c>
      <c r="D50" s="7" t="s">
        <v>310</v>
      </c>
      <c r="E50" s="7" t="s">
        <v>311</v>
      </c>
      <c r="F50" s="7" t="s">
        <v>51</v>
      </c>
      <c r="G50" s="147" t="s">
        <v>523</v>
      </c>
      <c r="H50" s="88">
        <v>6.0</v>
      </c>
      <c r="I50" s="13">
        <v>2500.0</v>
      </c>
      <c r="J50" s="13"/>
      <c r="K50" s="13"/>
      <c r="L50" s="13"/>
      <c r="M50" s="7">
        <v>1.0</v>
      </c>
      <c r="N50" s="7">
        <f t="shared" si="1"/>
        <v>2500</v>
      </c>
      <c r="O50" s="89">
        <v>15.0</v>
      </c>
      <c r="P50" s="159">
        <v>0.0</v>
      </c>
      <c r="Q50" s="124">
        <v>10.0</v>
      </c>
      <c r="R50" s="124">
        <v>500.0</v>
      </c>
      <c r="S50" s="7">
        <f t="shared" si="2"/>
        <v>75000</v>
      </c>
      <c r="T50" s="7">
        <f t="shared" si="3"/>
        <v>10</v>
      </c>
      <c r="U50" s="60">
        <f t="shared" si="4"/>
        <v>5000</v>
      </c>
      <c r="V50" s="125">
        <f t="shared" si="5"/>
        <v>0</v>
      </c>
      <c r="W50" s="96">
        <v>8.0</v>
      </c>
      <c r="X50" s="88">
        <v>500.0</v>
      </c>
      <c r="Y50" s="88">
        <v>1.2</v>
      </c>
      <c r="Z50" s="13">
        <f t="shared" si="6"/>
        <v>600</v>
      </c>
      <c r="AA50" s="13">
        <f t="shared" si="7"/>
        <v>460</v>
      </c>
      <c r="AB50" s="7">
        <f t="shared" si="8"/>
        <v>48</v>
      </c>
      <c r="AC50" s="93">
        <f t="shared" si="9"/>
        <v>720</v>
      </c>
      <c r="AD50" s="94">
        <v>25.0</v>
      </c>
      <c r="AE50" s="88">
        <v>1000.0</v>
      </c>
      <c r="AF50" s="95">
        <v>0.5</v>
      </c>
      <c r="AG50" s="13">
        <f t="shared" si="10"/>
        <v>500</v>
      </c>
      <c r="AH50" s="13">
        <f t="shared" si="11"/>
        <v>750</v>
      </c>
      <c r="AI50" s="13">
        <f t="shared" si="12"/>
        <v>125</v>
      </c>
      <c r="AJ50" s="17">
        <f t="shared" si="13"/>
        <v>1875</v>
      </c>
      <c r="AK50" s="97">
        <v>0.0</v>
      </c>
      <c r="AL50" s="124">
        <v>3.0</v>
      </c>
      <c r="AM50" s="95">
        <v>20.0</v>
      </c>
      <c r="AN50" s="13">
        <f t="shared" si="14"/>
        <v>60</v>
      </c>
      <c r="AO50" s="13">
        <f t="shared" si="15"/>
        <v>3</v>
      </c>
      <c r="AP50" s="13">
        <f t="shared" si="16"/>
        <v>0</v>
      </c>
      <c r="AQ50" s="17">
        <f t="shared" si="17"/>
        <v>0</v>
      </c>
      <c r="AR50" s="97">
        <v>0.0</v>
      </c>
      <c r="AS50" s="95">
        <v>18000.0</v>
      </c>
      <c r="AT50" s="17">
        <f t="shared" si="22"/>
        <v>0</v>
      </c>
      <c r="AU50" s="97">
        <v>0.0</v>
      </c>
      <c r="AV50" s="124">
        <v>6000.0</v>
      </c>
      <c r="AW50" s="17">
        <f t="shared" si="18"/>
        <v>0</v>
      </c>
      <c r="AX50" s="96">
        <f t="shared" si="19"/>
        <v>15570</v>
      </c>
      <c r="AY50" s="99">
        <f t="shared" si="20"/>
        <v>103.8</v>
      </c>
      <c r="AZ50" s="17">
        <f t="shared" si="21"/>
        <v>13070</v>
      </c>
      <c r="BA50" s="98"/>
    </row>
    <row r="51" ht="15.75" customHeight="1">
      <c r="A51" s="14"/>
      <c r="B51" s="33" t="s">
        <v>36</v>
      </c>
      <c r="C51" s="7" t="s">
        <v>271</v>
      </c>
      <c r="D51" s="7" t="s">
        <v>546</v>
      </c>
      <c r="E51" s="7" t="s">
        <v>285</v>
      </c>
      <c r="F51" s="7" t="s">
        <v>51</v>
      </c>
      <c r="G51" s="147" t="s">
        <v>44</v>
      </c>
      <c r="H51" s="88">
        <v>6.0</v>
      </c>
      <c r="I51" s="13">
        <v>0.0</v>
      </c>
      <c r="J51" s="13"/>
      <c r="K51" s="13"/>
      <c r="L51" s="13"/>
      <c r="M51" s="7">
        <v>1.0</v>
      </c>
      <c r="N51" s="7">
        <f t="shared" si="1"/>
        <v>0</v>
      </c>
      <c r="O51" s="89">
        <v>15.0</v>
      </c>
      <c r="P51" s="159">
        <v>0.0</v>
      </c>
      <c r="Q51" s="124">
        <v>10.0</v>
      </c>
      <c r="R51" s="124">
        <v>500.0</v>
      </c>
      <c r="S51" s="7">
        <f t="shared" si="2"/>
        <v>75000</v>
      </c>
      <c r="T51" s="7">
        <f t="shared" si="3"/>
        <v>10</v>
      </c>
      <c r="U51" s="60">
        <f t="shared" si="4"/>
        <v>5000</v>
      </c>
      <c r="V51" s="125">
        <f t="shared" si="5"/>
        <v>0</v>
      </c>
      <c r="W51" s="96">
        <v>8.0</v>
      </c>
      <c r="X51" s="88">
        <v>500.0</v>
      </c>
      <c r="Y51" s="88">
        <v>1.2</v>
      </c>
      <c r="Z51" s="13">
        <f t="shared" si="6"/>
        <v>600</v>
      </c>
      <c r="AA51" s="13">
        <f t="shared" si="7"/>
        <v>460</v>
      </c>
      <c r="AB51" s="7">
        <f t="shared" si="8"/>
        <v>48</v>
      </c>
      <c r="AC51" s="93">
        <f t="shared" si="9"/>
        <v>720</v>
      </c>
      <c r="AD51" s="94">
        <v>25.0</v>
      </c>
      <c r="AE51" s="88">
        <v>1000.0</v>
      </c>
      <c r="AF51" s="95">
        <v>0.5</v>
      </c>
      <c r="AG51" s="13">
        <f t="shared" si="10"/>
        <v>500</v>
      </c>
      <c r="AH51" s="13">
        <f t="shared" si="11"/>
        <v>750</v>
      </c>
      <c r="AI51" s="13">
        <f t="shared" si="12"/>
        <v>125</v>
      </c>
      <c r="AJ51" s="17">
        <f t="shared" si="13"/>
        <v>1875</v>
      </c>
      <c r="AK51" s="94">
        <v>3.6</v>
      </c>
      <c r="AL51" s="124">
        <v>3.0</v>
      </c>
      <c r="AM51" s="95">
        <v>20.0</v>
      </c>
      <c r="AN51" s="13">
        <f t="shared" si="14"/>
        <v>60</v>
      </c>
      <c r="AO51" s="13">
        <f t="shared" si="15"/>
        <v>2.892</v>
      </c>
      <c r="AP51" s="13">
        <f t="shared" si="16"/>
        <v>2.16</v>
      </c>
      <c r="AQ51" s="17">
        <f t="shared" si="17"/>
        <v>32.4</v>
      </c>
      <c r="AR51" s="97">
        <v>0.0</v>
      </c>
      <c r="AS51" s="95">
        <v>18000.0</v>
      </c>
      <c r="AT51" s="17">
        <f t="shared" si="22"/>
        <v>0</v>
      </c>
      <c r="AU51" s="97">
        <v>0.0</v>
      </c>
      <c r="AV51" s="124">
        <v>6000.0</v>
      </c>
      <c r="AW51" s="17">
        <f t="shared" si="18"/>
        <v>0</v>
      </c>
      <c r="AX51" s="96">
        <f t="shared" si="19"/>
        <v>15764.4</v>
      </c>
      <c r="AY51" s="160" t="s">
        <v>547</v>
      </c>
      <c r="AZ51" s="17">
        <f t="shared" si="21"/>
        <v>15764.4</v>
      </c>
      <c r="BA51" s="98"/>
    </row>
    <row r="52" ht="15.75" customHeight="1">
      <c r="A52" s="14"/>
      <c r="B52" s="33" t="s">
        <v>14</v>
      </c>
      <c r="C52" s="7" t="s">
        <v>289</v>
      </c>
      <c r="D52" s="7" t="s">
        <v>290</v>
      </c>
      <c r="E52" s="7" t="s">
        <v>291</v>
      </c>
      <c r="F52" s="7" t="s">
        <v>51</v>
      </c>
      <c r="G52" s="147" t="s">
        <v>294</v>
      </c>
      <c r="H52" s="88">
        <v>6.0</v>
      </c>
      <c r="I52" s="13">
        <v>220.0</v>
      </c>
      <c r="J52" s="13"/>
      <c r="K52" s="13"/>
      <c r="L52" s="13"/>
      <c r="M52" s="7">
        <v>1.0</v>
      </c>
      <c r="N52" s="7">
        <f t="shared" si="1"/>
        <v>220</v>
      </c>
      <c r="O52" s="89">
        <v>15.0</v>
      </c>
      <c r="P52" s="159">
        <v>0.0</v>
      </c>
      <c r="Q52" s="124">
        <v>10.0</v>
      </c>
      <c r="R52" s="124">
        <v>500.0</v>
      </c>
      <c r="S52" s="7">
        <f t="shared" si="2"/>
        <v>75000</v>
      </c>
      <c r="T52" s="7">
        <f t="shared" si="3"/>
        <v>10</v>
      </c>
      <c r="U52" s="60">
        <f t="shared" si="4"/>
        <v>5000</v>
      </c>
      <c r="V52" s="125">
        <f t="shared" si="5"/>
        <v>0</v>
      </c>
      <c r="W52" s="96">
        <v>8.0</v>
      </c>
      <c r="X52" s="88">
        <v>500.0</v>
      </c>
      <c r="Y52" s="88">
        <v>1.2</v>
      </c>
      <c r="Z52" s="13">
        <f t="shared" si="6"/>
        <v>600</v>
      </c>
      <c r="AA52" s="13">
        <f t="shared" si="7"/>
        <v>460</v>
      </c>
      <c r="AB52" s="7">
        <f t="shared" si="8"/>
        <v>48</v>
      </c>
      <c r="AC52" s="93">
        <f t="shared" si="9"/>
        <v>720</v>
      </c>
      <c r="AD52" s="94">
        <v>25.0</v>
      </c>
      <c r="AE52" s="88">
        <v>1000.0</v>
      </c>
      <c r="AF52" s="95">
        <v>0.5</v>
      </c>
      <c r="AG52" s="13">
        <f t="shared" si="10"/>
        <v>500</v>
      </c>
      <c r="AH52" s="13">
        <f t="shared" si="11"/>
        <v>750</v>
      </c>
      <c r="AI52" s="13">
        <f t="shared" si="12"/>
        <v>125</v>
      </c>
      <c r="AJ52" s="17">
        <f t="shared" si="13"/>
        <v>1875</v>
      </c>
      <c r="AK52" s="94">
        <v>3.6</v>
      </c>
      <c r="AL52" s="124">
        <v>3.0</v>
      </c>
      <c r="AM52" s="95">
        <v>20.0</v>
      </c>
      <c r="AN52" s="13">
        <f t="shared" si="14"/>
        <v>60</v>
      </c>
      <c r="AO52" s="13">
        <f t="shared" si="15"/>
        <v>2.892</v>
      </c>
      <c r="AP52" s="13">
        <f t="shared" si="16"/>
        <v>2.16</v>
      </c>
      <c r="AQ52" s="17">
        <f t="shared" si="17"/>
        <v>32.4</v>
      </c>
      <c r="AR52" s="97">
        <v>0.0</v>
      </c>
      <c r="AS52" s="95">
        <v>18000.0</v>
      </c>
      <c r="AT52" s="17">
        <f t="shared" si="22"/>
        <v>0</v>
      </c>
      <c r="AU52" s="97">
        <v>0.0</v>
      </c>
      <c r="AV52" s="124">
        <v>6000.0</v>
      </c>
      <c r="AW52" s="17">
        <f t="shared" si="18"/>
        <v>0</v>
      </c>
      <c r="AX52" s="96">
        <f t="shared" si="19"/>
        <v>15764.4</v>
      </c>
      <c r="AY52" s="99">
        <f t="shared" ref="AY52:AY60" si="23">(AW52+AT52+AQ52+AJ52+AC52+V52)/(N52)*100</f>
        <v>1194.272727</v>
      </c>
      <c r="AZ52" s="17">
        <f t="shared" si="21"/>
        <v>15544.4</v>
      </c>
      <c r="BA52" s="98"/>
    </row>
    <row r="53" ht="15.75" customHeight="1">
      <c r="A53" s="21"/>
      <c r="B53" s="104" t="s">
        <v>14</v>
      </c>
      <c r="C53" s="106" t="s">
        <v>271</v>
      </c>
      <c r="D53" s="106" t="s">
        <v>314</v>
      </c>
      <c r="E53" s="106" t="s">
        <v>590</v>
      </c>
      <c r="F53" s="106" t="s">
        <v>51</v>
      </c>
      <c r="G53" s="148" t="s">
        <v>553</v>
      </c>
      <c r="H53" s="108">
        <v>6.0</v>
      </c>
      <c r="I53" s="22">
        <v>165.0</v>
      </c>
      <c r="J53" s="22"/>
      <c r="K53" s="22"/>
      <c r="L53" s="22"/>
      <c r="M53" s="106">
        <v>1.0</v>
      </c>
      <c r="N53" s="106">
        <f t="shared" si="1"/>
        <v>165</v>
      </c>
      <c r="O53" s="89">
        <v>15.0</v>
      </c>
      <c r="P53" s="161">
        <v>0.0</v>
      </c>
      <c r="Q53" s="124">
        <v>10.0</v>
      </c>
      <c r="R53" s="124">
        <v>500.0</v>
      </c>
      <c r="S53" s="106">
        <f t="shared" si="2"/>
        <v>75000</v>
      </c>
      <c r="T53" s="106">
        <f t="shared" si="3"/>
        <v>10</v>
      </c>
      <c r="U53" s="110">
        <f t="shared" si="4"/>
        <v>5000</v>
      </c>
      <c r="V53" s="113">
        <f t="shared" si="5"/>
        <v>0</v>
      </c>
      <c r="W53" s="118">
        <v>8.0</v>
      </c>
      <c r="X53" s="88">
        <v>500.0</v>
      </c>
      <c r="Y53" s="88">
        <v>1.2</v>
      </c>
      <c r="Z53" s="22">
        <f t="shared" si="6"/>
        <v>600</v>
      </c>
      <c r="AA53" s="22">
        <f t="shared" si="7"/>
        <v>460</v>
      </c>
      <c r="AB53" s="106">
        <f t="shared" si="8"/>
        <v>48</v>
      </c>
      <c r="AC53" s="115">
        <f t="shared" si="9"/>
        <v>720</v>
      </c>
      <c r="AD53" s="130">
        <v>25.0</v>
      </c>
      <c r="AE53" s="88">
        <v>1000.0</v>
      </c>
      <c r="AF53" s="95">
        <v>0.5</v>
      </c>
      <c r="AG53" s="22">
        <f t="shared" si="10"/>
        <v>500</v>
      </c>
      <c r="AH53" s="22">
        <f t="shared" si="11"/>
        <v>750</v>
      </c>
      <c r="AI53" s="22">
        <f t="shared" si="12"/>
        <v>125</v>
      </c>
      <c r="AJ53" s="25">
        <f t="shared" si="13"/>
        <v>1875</v>
      </c>
      <c r="AK53" s="130">
        <v>3.6</v>
      </c>
      <c r="AL53" s="129">
        <v>3.0</v>
      </c>
      <c r="AM53" s="95">
        <v>20.0</v>
      </c>
      <c r="AN53" s="22">
        <f t="shared" si="14"/>
        <v>60</v>
      </c>
      <c r="AO53" s="22">
        <f t="shared" si="15"/>
        <v>2.892</v>
      </c>
      <c r="AP53" s="22">
        <f t="shared" si="16"/>
        <v>2.16</v>
      </c>
      <c r="AQ53" s="25">
        <f t="shared" si="17"/>
        <v>32.4</v>
      </c>
      <c r="AR53" s="116">
        <v>0.0</v>
      </c>
      <c r="AS53" s="95">
        <v>18000.0</v>
      </c>
      <c r="AT53" s="25">
        <f t="shared" si="22"/>
        <v>0</v>
      </c>
      <c r="AU53" s="116">
        <v>0.0</v>
      </c>
      <c r="AV53" s="129">
        <v>6000.0</v>
      </c>
      <c r="AW53" s="25">
        <f t="shared" si="18"/>
        <v>0</v>
      </c>
      <c r="AX53" s="118">
        <f t="shared" si="19"/>
        <v>15764.4</v>
      </c>
      <c r="AY53" s="120">
        <f t="shared" si="23"/>
        <v>1592.363636</v>
      </c>
      <c r="AZ53" s="25">
        <f t="shared" si="21"/>
        <v>15599.4</v>
      </c>
      <c r="BA53" s="119"/>
    </row>
    <row r="54" ht="15.75" customHeight="1">
      <c r="A54" s="71" t="s">
        <v>328</v>
      </c>
      <c r="B54" s="72" t="s">
        <v>14</v>
      </c>
      <c r="C54" s="72" t="s">
        <v>392</v>
      </c>
      <c r="D54" s="74" t="s">
        <v>393</v>
      </c>
      <c r="E54" s="74" t="s">
        <v>394</v>
      </c>
      <c r="F54" s="74" t="s">
        <v>51</v>
      </c>
      <c r="G54" s="147" t="s">
        <v>559</v>
      </c>
      <c r="H54" s="88">
        <v>6.0</v>
      </c>
      <c r="I54" s="13">
        <v>950.0</v>
      </c>
      <c r="J54" s="13"/>
      <c r="K54" s="13"/>
      <c r="L54" s="13"/>
      <c r="M54" s="7">
        <v>1.0</v>
      </c>
      <c r="N54" s="7">
        <f t="shared" si="1"/>
        <v>950</v>
      </c>
      <c r="O54" s="121">
        <v>15.0</v>
      </c>
      <c r="P54" s="159">
        <v>0.0</v>
      </c>
      <c r="Q54" s="131">
        <v>10.0</v>
      </c>
      <c r="R54" s="131">
        <v>500.0</v>
      </c>
      <c r="S54" s="7">
        <f t="shared" si="2"/>
        <v>75000</v>
      </c>
      <c r="T54" s="7">
        <f t="shared" si="3"/>
        <v>10</v>
      </c>
      <c r="U54" s="60">
        <f t="shared" si="4"/>
        <v>5000</v>
      </c>
      <c r="V54" s="125">
        <f t="shared" si="5"/>
        <v>0</v>
      </c>
      <c r="W54" s="162">
        <v>45020.0</v>
      </c>
      <c r="X54" s="76">
        <v>500.0</v>
      </c>
      <c r="Y54" s="76">
        <v>1.2</v>
      </c>
      <c r="Z54" s="13">
        <f t="shared" si="6"/>
        <v>600</v>
      </c>
      <c r="AA54" s="13">
        <f t="shared" si="7"/>
        <v>-224600</v>
      </c>
      <c r="AB54" s="7">
        <f t="shared" si="8"/>
        <v>270120</v>
      </c>
      <c r="AC54" s="93">
        <f t="shared" si="9"/>
        <v>4051800</v>
      </c>
      <c r="AD54" s="97">
        <v>0.0</v>
      </c>
      <c r="AE54" s="76">
        <v>1000.0</v>
      </c>
      <c r="AF54" s="83">
        <v>0.5</v>
      </c>
      <c r="AG54" s="13">
        <f t="shared" si="10"/>
        <v>500</v>
      </c>
      <c r="AH54" s="13">
        <f t="shared" si="11"/>
        <v>1000</v>
      </c>
      <c r="AI54" s="13">
        <f t="shared" si="12"/>
        <v>0</v>
      </c>
      <c r="AJ54" s="17">
        <f t="shared" si="13"/>
        <v>0</v>
      </c>
      <c r="AK54" s="97">
        <v>0.0</v>
      </c>
      <c r="AL54" s="124">
        <v>3.0</v>
      </c>
      <c r="AM54" s="83">
        <v>20.0</v>
      </c>
      <c r="AN54" s="13">
        <f t="shared" si="14"/>
        <v>60</v>
      </c>
      <c r="AO54" s="13">
        <f t="shared" si="15"/>
        <v>3</v>
      </c>
      <c r="AP54" s="13">
        <f t="shared" si="16"/>
        <v>0</v>
      </c>
      <c r="AQ54" s="17">
        <f t="shared" si="17"/>
        <v>0</v>
      </c>
      <c r="AR54" s="96">
        <v>80.0</v>
      </c>
      <c r="AS54" s="83">
        <v>18000.0</v>
      </c>
      <c r="AT54" s="17">
        <f t="shared" si="22"/>
        <v>14400</v>
      </c>
      <c r="AU54" s="97">
        <v>0.0</v>
      </c>
      <c r="AV54" s="124">
        <v>6000.0</v>
      </c>
      <c r="AW54" s="17">
        <f t="shared" si="18"/>
        <v>0</v>
      </c>
      <c r="AX54" s="96">
        <f t="shared" si="19"/>
        <v>24397200</v>
      </c>
      <c r="AY54" s="99">
        <f t="shared" si="23"/>
        <v>428021.0526</v>
      </c>
      <c r="AZ54" s="17">
        <f t="shared" si="21"/>
        <v>24396250</v>
      </c>
      <c r="BA54" s="98"/>
    </row>
    <row r="55" ht="15.75" customHeight="1">
      <c r="A55" s="14"/>
      <c r="B55" s="33" t="s">
        <v>14</v>
      </c>
      <c r="C55" s="33" t="s">
        <v>238</v>
      </c>
      <c r="D55" s="7" t="s">
        <v>382</v>
      </c>
      <c r="E55" s="7" t="s">
        <v>187</v>
      </c>
      <c r="F55" s="7" t="s">
        <v>51</v>
      </c>
      <c r="G55" s="147" t="s">
        <v>591</v>
      </c>
      <c r="H55" s="88">
        <v>6.0</v>
      </c>
      <c r="I55" s="13">
        <v>30000.0</v>
      </c>
      <c r="J55" s="13"/>
      <c r="K55" s="13"/>
      <c r="L55" s="13"/>
      <c r="M55" s="7">
        <v>1.0</v>
      </c>
      <c r="N55" s="7">
        <f t="shared" si="1"/>
        <v>30000</v>
      </c>
      <c r="O55" s="89">
        <v>15.0</v>
      </c>
      <c r="P55" s="159">
        <v>0.0</v>
      </c>
      <c r="Q55" s="124">
        <v>10.0</v>
      </c>
      <c r="R55" s="124">
        <v>500.0</v>
      </c>
      <c r="S55" s="7">
        <f t="shared" si="2"/>
        <v>75000</v>
      </c>
      <c r="T55" s="7">
        <f t="shared" si="3"/>
        <v>10</v>
      </c>
      <c r="U55" s="60">
        <f t="shared" si="4"/>
        <v>5000</v>
      </c>
      <c r="V55" s="125">
        <f t="shared" si="5"/>
        <v>0</v>
      </c>
      <c r="W55" s="162">
        <v>45020.0</v>
      </c>
      <c r="X55" s="88">
        <v>500.0</v>
      </c>
      <c r="Y55" s="88">
        <v>1.2</v>
      </c>
      <c r="Z55" s="13">
        <f t="shared" si="6"/>
        <v>600</v>
      </c>
      <c r="AA55" s="13">
        <f t="shared" si="7"/>
        <v>-224600</v>
      </c>
      <c r="AB55" s="7">
        <f t="shared" si="8"/>
        <v>270120</v>
      </c>
      <c r="AC55" s="93">
        <f t="shared" si="9"/>
        <v>4051800</v>
      </c>
      <c r="AD55" s="97">
        <v>0.0</v>
      </c>
      <c r="AE55" s="88">
        <v>1000.0</v>
      </c>
      <c r="AF55" s="95">
        <v>0.5</v>
      </c>
      <c r="AG55" s="13">
        <f t="shared" si="10"/>
        <v>500</v>
      </c>
      <c r="AH55" s="13">
        <f t="shared" si="11"/>
        <v>1000</v>
      </c>
      <c r="AI55" s="13">
        <f t="shared" si="12"/>
        <v>0</v>
      </c>
      <c r="AJ55" s="17">
        <f t="shared" si="13"/>
        <v>0</v>
      </c>
      <c r="AK55" s="96">
        <v>50.0</v>
      </c>
      <c r="AL55" s="124">
        <v>3.0</v>
      </c>
      <c r="AM55" s="95">
        <v>20.0</v>
      </c>
      <c r="AN55" s="13">
        <f t="shared" si="14"/>
        <v>60</v>
      </c>
      <c r="AO55" s="13">
        <f t="shared" si="15"/>
        <v>1.5</v>
      </c>
      <c r="AP55" s="13">
        <f t="shared" si="16"/>
        <v>30</v>
      </c>
      <c r="AQ55" s="17">
        <f t="shared" si="17"/>
        <v>450</v>
      </c>
      <c r="AR55" s="96">
        <v>80.0</v>
      </c>
      <c r="AS55" s="95">
        <v>18000.0</v>
      </c>
      <c r="AT55" s="17">
        <f t="shared" si="22"/>
        <v>14400</v>
      </c>
      <c r="AU55" s="97">
        <v>0.0</v>
      </c>
      <c r="AV55" s="124">
        <v>6000.0</v>
      </c>
      <c r="AW55" s="17">
        <f t="shared" si="18"/>
        <v>0</v>
      </c>
      <c r="AX55" s="96">
        <f t="shared" si="19"/>
        <v>24399900</v>
      </c>
      <c r="AY55" s="99">
        <f t="shared" si="23"/>
        <v>13555.5</v>
      </c>
      <c r="AZ55" s="17">
        <f t="shared" si="21"/>
        <v>24369900</v>
      </c>
      <c r="BA55" s="98"/>
    </row>
    <row r="56" ht="15.75" customHeight="1">
      <c r="A56" s="14"/>
      <c r="B56" s="33" t="s">
        <v>14</v>
      </c>
      <c r="C56" s="33" t="s">
        <v>350</v>
      </c>
      <c r="D56" s="7" t="s">
        <v>372</v>
      </c>
      <c r="E56" s="7" t="s">
        <v>592</v>
      </c>
      <c r="F56" s="7" t="s">
        <v>376</v>
      </c>
      <c r="G56" s="147" t="s">
        <v>593</v>
      </c>
      <c r="H56" s="88">
        <v>6.0</v>
      </c>
      <c r="I56" s="13">
        <v>19000.0</v>
      </c>
      <c r="J56" s="13"/>
      <c r="K56" s="13"/>
      <c r="L56" s="13"/>
      <c r="M56" s="7">
        <v>1.0</v>
      </c>
      <c r="N56" s="7">
        <f t="shared" si="1"/>
        <v>19000</v>
      </c>
      <c r="O56" s="89">
        <v>15.0</v>
      </c>
      <c r="P56" s="159">
        <v>0.0</v>
      </c>
      <c r="Q56" s="124">
        <v>10.0</v>
      </c>
      <c r="R56" s="124">
        <v>500.0</v>
      </c>
      <c r="S56" s="7">
        <f t="shared" si="2"/>
        <v>75000</v>
      </c>
      <c r="T56" s="7">
        <f t="shared" si="3"/>
        <v>10</v>
      </c>
      <c r="U56" s="60">
        <f t="shared" si="4"/>
        <v>5000</v>
      </c>
      <c r="V56" s="125">
        <f t="shared" si="5"/>
        <v>0</v>
      </c>
      <c r="W56" s="101">
        <v>4.4</v>
      </c>
      <c r="X56" s="88">
        <v>500.0</v>
      </c>
      <c r="Y56" s="88">
        <v>1.2</v>
      </c>
      <c r="Z56" s="13">
        <f t="shared" si="6"/>
        <v>600</v>
      </c>
      <c r="AA56" s="13">
        <f t="shared" si="7"/>
        <v>478</v>
      </c>
      <c r="AB56" s="7">
        <f t="shared" si="8"/>
        <v>26.4</v>
      </c>
      <c r="AC56" s="93">
        <f t="shared" si="9"/>
        <v>396</v>
      </c>
      <c r="AD56" s="97">
        <v>0.0</v>
      </c>
      <c r="AE56" s="88">
        <v>1000.0</v>
      </c>
      <c r="AF56" s="95">
        <v>0.5</v>
      </c>
      <c r="AG56" s="13">
        <f t="shared" si="10"/>
        <v>500</v>
      </c>
      <c r="AH56" s="13">
        <f t="shared" si="11"/>
        <v>1000</v>
      </c>
      <c r="AI56" s="13">
        <f t="shared" si="12"/>
        <v>0</v>
      </c>
      <c r="AJ56" s="17">
        <f t="shared" si="13"/>
        <v>0</v>
      </c>
      <c r="AK56" s="97">
        <v>0.0</v>
      </c>
      <c r="AL56" s="124">
        <v>3.0</v>
      </c>
      <c r="AM56" s="95">
        <v>20.0</v>
      </c>
      <c r="AN56" s="13">
        <f t="shared" si="14"/>
        <v>60</v>
      </c>
      <c r="AO56" s="13">
        <f t="shared" si="15"/>
        <v>3</v>
      </c>
      <c r="AP56" s="13">
        <f t="shared" si="16"/>
        <v>0</v>
      </c>
      <c r="AQ56" s="17">
        <f t="shared" si="17"/>
        <v>0</v>
      </c>
      <c r="AR56" s="96">
        <v>80.0</v>
      </c>
      <c r="AS56" s="95">
        <v>18000.0</v>
      </c>
      <c r="AT56" s="17">
        <f t="shared" si="22"/>
        <v>14400</v>
      </c>
      <c r="AU56" s="97">
        <v>0.0</v>
      </c>
      <c r="AV56" s="124">
        <v>6000.0</v>
      </c>
      <c r="AW56" s="17">
        <f t="shared" si="18"/>
        <v>0</v>
      </c>
      <c r="AX56" s="96">
        <f t="shared" si="19"/>
        <v>88776</v>
      </c>
      <c r="AY56" s="99">
        <f t="shared" si="23"/>
        <v>77.87368421</v>
      </c>
      <c r="AZ56" s="17">
        <f t="shared" si="21"/>
        <v>69776</v>
      </c>
      <c r="BA56" s="98"/>
    </row>
    <row r="57" ht="15.75" customHeight="1">
      <c r="A57" s="14"/>
      <c r="B57" s="33" t="s">
        <v>14</v>
      </c>
      <c r="C57" s="33" t="s">
        <v>566</v>
      </c>
      <c r="D57" s="7" t="s">
        <v>567</v>
      </c>
      <c r="E57" s="7" t="s">
        <v>568</v>
      </c>
      <c r="F57" s="7" t="s">
        <v>51</v>
      </c>
      <c r="G57" s="147" t="s">
        <v>569</v>
      </c>
      <c r="H57" s="88">
        <v>6.0</v>
      </c>
      <c r="I57" s="13"/>
      <c r="J57" s="13"/>
      <c r="K57" s="13">
        <v>415.0</v>
      </c>
      <c r="L57" s="7">
        <f>K57*12</f>
        <v>4980</v>
      </c>
      <c r="M57" s="7">
        <v>1.0</v>
      </c>
      <c r="N57" s="7">
        <f t="shared" si="1"/>
        <v>29880</v>
      </c>
      <c r="O57" s="89">
        <v>15.0</v>
      </c>
      <c r="P57" s="159">
        <v>0.0</v>
      </c>
      <c r="Q57" s="124">
        <v>10.0</v>
      </c>
      <c r="R57" s="124">
        <v>500.0</v>
      </c>
      <c r="S57" s="7">
        <f t="shared" si="2"/>
        <v>75000</v>
      </c>
      <c r="T57" s="7">
        <f t="shared" si="3"/>
        <v>10</v>
      </c>
      <c r="U57" s="60">
        <f t="shared" si="4"/>
        <v>5000</v>
      </c>
      <c r="V57" s="125">
        <f t="shared" si="5"/>
        <v>0</v>
      </c>
      <c r="W57" s="101">
        <v>4.4</v>
      </c>
      <c r="X57" s="88">
        <v>500.0</v>
      </c>
      <c r="Y57" s="88">
        <v>1.2</v>
      </c>
      <c r="Z57" s="13">
        <f t="shared" si="6"/>
        <v>600</v>
      </c>
      <c r="AA57" s="13">
        <f t="shared" si="7"/>
        <v>478</v>
      </c>
      <c r="AB57" s="7">
        <f t="shared" si="8"/>
        <v>26.4</v>
      </c>
      <c r="AC57" s="93">
        <f t="shared" si="9"/>
        <v>396</v>
      </c>
      <c r="AD57" s="97">
        <v>0.0</v>
      </c>
      <c r="AE57" s="88">
        <v>1000.0</v>
      </c>
      <c r="AF57" s="95">
        <v>0.5</v>
      </c>
      <c r="AG57" s="13">
        <f t="shared" si="10"/>
        <v>500</v>
      </c>
      <c r="AH57" s="13">
        <f t="shared" si="11"/>
        <v>1000</v>
      </c>
      <c r="AI57" s="13">
        <f t="shared" si="12"/>
        <v>0</v>
      </c>
      <c r="AJ57" s="17">
        <f t="shared" si="13"/>
        <v>0</v>
      </c>
      <c r="AK57" s="97">
        <v>0.0</v>
      </c>
      <c r="AL57" s="124">
        <v>3.0</v>
      </c>
      <c r="AM57" s="95">
        <v>20.0</v>
      </c>
      <c r="AN57" s="13">
        <f t="shared" si="14"/>
        <v>60</v>
      </c>
      <c r="AO57" s="13">
        <f t="shared" si="15"/>
        <v>3</v>
      </c>
      <c r="AP57" s="13">
        <f t="shared" si="16"/>
        <v>0</v>
      </c>
      <c r="AQ57" s="17">
        <f t="shared" si="17"/>
        <v>0</v>
      </c>
      <c r="AR57" s="96">
        <v>80.0</v>
      </c>
      <c r="AS57" s="95">
        <v>18000.0</v>
      </c>
      <c r="AT57" s="17">
        <f t="shared" si="22"/>
        <v>14400</v>
      </c>
      <c r="AU57" s="97">
        <v>0.0</v>
      </c>
      <c r="AV57" s="124">
        <v>6000.0</v>
      </c>
      <c r="AW57" s="17">
        <f t="shared" si="18"/>
        <v>0</v>
      </c>
      <c r="AX57" s="96">
        <f t="shared" si="19"/>
        <v>88776</v>
      </c>
      <c r="AY57" s="99">
        <f t="shared" si="23"/>
        <v>49.51807229</v>
      </c>
      <c r="AZ57" s="17">
        <f t="shared" si="21"/>
        <v>58896</v>
      </c>
      <c r="BA57" s="98"/>
    </row>
    <row r="58" ht="15.75" customHeight="1">
      <c r="A58" s="14"/>
      <c r="B58" s="33" t="s">
        <v>14</v>
      </c>
      <c r="C58" s="33" t="s">
        <v>350</v>
      </c>
      <c r="D58" s="7" t="s">
        <v>351</v>
      </c>
      <c r="E58" s="7" t="s">
        <v>352</v>
      </c>
      <c r="F58" s="7" t="s">
        <v>594</v>
      </c>
      <c r="G58" s="147" t="s">
        <v>356</v>
      </c>
      <c r="H58" s="88">
        <v>6.0</v>
      </c>
      <c r="I58" s="13">
        <v>250000.0</v>
      </c>
      <c r="J58" s="13"/>
      <c r="K58" s="13"/>
      <c r="L58" s="13"/>
      <c r="M58" s="7">
        <v>1.0</v>
      </c>
      <c r="N58" s="7">
        <f t="shared" si="1"/>
        <v>250000</v>
      </c>
      <c r="O58" s="89">
        <v>15.0</v>
      </c>
      <c r="P58" s="159">
        <v>0.0</v>
      </c>
      <c r="Q58" s="124">
        <v>10.0</v>
      </c>
      <c r="R58" s="124">
        <v>500.0</v>
      </c>
      <c r="S58" s="7">
        <f t="shared" si="2"/>
        <v>75000</v>
      </c>
      <c r="T58" s="7">
        <f t="shared" si="3"/>
        <v>10</v>
      </c>
      <c r="U58" s="60">
        <f t="shared" si="4"/>
        <v>5000</v>
      </c>
      <c r="V58" s="125">
        <f t="shared" si="5"/>
        <v>0</v>
      </c>
      <c r="W58" s="162">
        <v>45020.0</v>
      </c>
      <c r="X58" s="88">
        <v>500.0</v>
      </c>
      <c r="Y58" s="88">
        <v>1.2</v>
      </c>
      <c r="Z58" s="13">
        <f t="shared" si="6"/>
        <v>600</v>
      </c>
      <c r="AA58" s="13">
        <f t="shared" si="7"/>
        <v>-224600</v>
      </c>
      <c r="AB58" s="7">
        <f t="shared" si="8"/>
        <v>270120</v>
      </c>
      <c r="AC58" s="93">
        <f t="shared" si="9"/>
        <v>4051800</v>
      </c>
      <c r="AD58" s="97">
        <v>0.0</v>
      </c>
      <c r="AE58" s="88">
        <v>1000.0</v>
      </c>
      <c r="AF58" s="95">
        <v>0.5</v>
      </c>
      <c r="AG58" s="13">
        <f t="shared" si="10"/>
        <v>500</v>
      </c>
      <c r="AH58" s="13">
        <f t="shared" si="11"/>
        <v>1000</v>
      </c>
      <c r="AI58" s="13">
        <f t="shared" si="12"/>
        <v>0</v>
      </c>
      <c r="AJ58" s="17">
        <f t="shared" si="13"/>
        <v>0</v>
      </c>
      <c r="AK58" s="97">
        <v>0.0</v>
      </c>
      <c r="AL58" s="124">
        <v>3.0</v>
      </c>
      <c r="AM58" s="95">
        <v>20.0</v>
      </c>
      <c r="AN58" s="13">
        <f t="shared" si="14"/>
        <v>60</v>
      </c>
      <c r="AO58" s="13">
        <f t="shared" si="15"/>
        <v>3</v>
      </c>
      <c r="AP58" s="13">
        <f t="shared" si="16"/>
        <v>0</v>
      </c>
      <c r="AQ58" s="17">
        <f t="shared" si="17"/>
        <v>0</v>
      </c>
      <c r="AR58" s="96">
        <v>80.0</v>
      </c>
      <c r="AS58" s="95">
        <v>18000.0</v>
      </c>
      <c r="AT58" s="17">
        <f t="shared" si="22"/>
        <v>14400</v>
      </c>
      <c r="AU58" s="97">
        <v>0.0</v>
      </c>
      <c r="AV58" s="124">
        <v>6000.0</v>
      </c>
      <c r="AW58" s="17">
        <f t="shared" si="18"/>
        <v>0</v>
      </c>
      <c r="AX58" s="96">
        <f t="shared" si="19"/>
        <v>24397200</v>
      </c>
      <c r="AY58" s="99">
        <f t="shared" si="23"/>
        <v>1626.48</v>
      </c>
      <c r="AZ58" s="17">
        <f t="shared" si="21"/>
        <v>24147200</v>
      </c>
      <c r="BA58" s="98"/>
    </row>
    <row r="59" ht="15.75" customHeight="1">
      <c r="A59" s="14"/>
      <c r="B59" s="33" t="s">
        <v>14</v>
      </c>
      <c r="C59" s="33" t="s">
        <v>566</v>
      </c>
      <c r="D59" s="7" t="s">
        <v>335</v>
      </c>
      <c r="E59" s="7" t="s">
        <v>554</v>
      </c>
      <c r="F59" s="7" t="s">
        <v>595</v>
      </c>
      <c r="G59" s="147" t="s">
        <v>596</v>
      </c>
      <c r="H59" s="88">
        <v>6.0</v>
      </c>
      <c r="I59" s="13">
        <v>14000.0</v>
      </c>
      <c r="J59" s="13"/>
      <c r="K59" s="13"/>
      <c r="L59" s="13"/>
      <c r="M59" s="7">
        <v>1.0</v>
      </c>
      <c r="N59" s="7">
        <f t="shared" si="1"/>
        <v>14000</v>
      </c>
      <c r="O59" s="89">
        <v>15.0</v>
      </c>
      <c r="P59" s="159">
        <v>0.0</v>
      </c>
      <c r="Q59" s="124">
        <v>10.0</v>
      </c>
      <c r="R59" s="124">
        <v>500.0</v>
      </c>
      <c r="S59" s="7">
        <f t="shared" si="2"/>
        <v>75000</v>
      </c>
      <c r="T59" s="7">
        <f t="shared" si="3"/>
        <v>10</v>
      </c>
      <c r="U59" s="60">
        <f t="shared" si="4"/>
        <v>5000</v>
      </c>
      <c r="V59" s="125">
        <f t="shared" si="5"/>
        <v>0</v>
      </c>
      <c r="W59" s="94">
        <v>4.4</v>
      </c>
      <c r="X59" s="88">
        <v>500.0</v>
      </c>
      <c r="Y59" s="88">
        <v>1.2</v>
      </c>
      <c r="Z59" s="13">
        <f t="shared" si="6"/>
        <v>600</v>
      </c>
      <c r="AA59" s="13">
        <f t="shared" si="7"/>
        <v>478</v>
      </c>
      <c r="AB59" s="7">
        <f t="shared" si="8"/>
        <v>26.4</v>
      </c>
      <c r="AC59" s="93">
        <f t="shared" si="9"/>
        <v>396</v>
      </c>
      <c r="AD59" s="97">
        <v>0.0</v>
      </c>
      <c r="AE59" s="88">
        <v>1000.0</v>
      </c>
      <c r="AF59" s="95">
        <v>0.5</v>
      </c>
      <c r="AG59" s="13">
        <f t="shared" si="10"/>
        <v>500</v>
      </c>
      <c r="AH59" s="13">
        <f t="shared" si="11"/>
        <v>1000</v>
      </c>
      <c r="AI59" s="13">
        <f t="shared" si="12"/>
        <v>0</v>
      </c>
      <c r="AJ59" s="17">
        <f t="shared" si="13"/>
        <v>0</v>
      </c>
      <c r="AK59" s="97">
        <v>0.0</v>
      </c>
      <c r="AL59" s="124">
        <v>3.0</v>
      </c>
      <c r="AM59" s="95">
        <v>20.0</v>
      </c>
      <c r="AN59" s="13">
        <f t="shared" si="14"/>
        <v>60</v>
      </c>
      <c r="AO59" s="13">
        <f t="shared" si="15"/>
        <v>3</v>
      </c>
      <c r="AP59" s="13">
        <f t="shared" si="16"/>
        <v>0</v>
      </c>
      <c r="AQ59" s="17">
        <f t="shared" si="17"/>
        <v>0</v>
      </c>
      <c r="AR59" s="96">
        <v>80.0</v>
      </c>
      <c r="AS59" s="95">
        <v>18000.0</v>
      </c>
      <c r="AT59" s="17">
        <f t="shared" si="22"/>
        <v>14400</v>
      </c>
      <c r="AU59" s="97">
        <v>0.0</v>
      </c>
      <c r="AV59" s="124">
        <v>6000.0</v>
      </c>
      <c r="AW59" s="17">
        <f t="shared" si="18"/>
        <v>0</v>
      </c>
      <c r="AX59" s="96">
        <f t="shared" si="19"/>
        <v>88776</v>
      </c>
      <c r="AY59" s="99">
        <f t="shared" si="23"/>
        <v>105.6857143</v>
      </c>
      <c r="AZ59" s="17">
        <f t="shared" si="21"/>
        <v>74776</v>
      </c>
      <c r="BA59" s="98"/>
    </row>
    <row r="60" ht="15.75" customHeight="1">
      <c r="A60" s="21"/>
      <c r="B60" s="104" t="s">
        <v>14</v>
      </c>
      <c r="C60" s="104" t="s">
        <v>566</v>
      </c>
      <c r="D60" s="106" t="s">
        <v>330</v>
      </c>
      <c r="E60" s="106" t="s">
        <v>554</v>
      </c>
      <c r="F60" s="106" t="s">
        <v>488</v>
      </c>
      <c r="G60" s="148" t="s">
        <v>555</v>
      </c>
      <c r="H60" s="108">
        <v>6.0</v>
      </c>
      <c r="I60" s="22">
        <v>18000.0</v>
      </c>
      <c r="J60" s="22"/>
      <c r="K60" s="22"/>
      <c r="L60" s="22"/>
      <c r="M60" s="106">
        <v>1.0</v>
      </c>
      <c r="N60" s="110">
        <f t="shared" si="1"/>
        <v>18000</v>
      </c>
      <c r="O60" s="111">
        <v>15.0</v>
      </c>
      <c r="P60" s="116">
        <v>0.0</v>
      </c>
      <c r="Q60" s="129">
        <v>10.0</v>
      </c>
      <c r="R60" s="129">
        <v>500.0</v>
      </c>
      <c r="S60" s="106">
        <f t="shared" si="2"/>
        <v>75000</v>
      </c>
      <c r="T60" s="106">
        <f t="shared" si="3"/>
        <v>10</v>
      </c>
      <c r="U60" s="110">
        <f t="shared" si="4"/>
        <v>5000</v>
      </c>
      <c r="V60" s="113">
        <f t="shared" si="5"/>
        <v>0</v>
      </c>
      <c r="W60" s="130">
        <v>4.4</v>
      </c>
      <c r="X60" s="108">
        <v>500.0</v>
      </c>
      <c r="Y60" s="108">
        <v>1.2</v>
      </c>
      <c r="Z60" s="22">
        <f t="shared" si="6"/>
        <v>600</v>
      </c>
      <c r="AA60" s="22">
        <f t="shared" si="7"/>
        <v>478</v>
      </c>
      <c r="AB60" s="106">
        <f t="shared" si="8"/>
        <v>26.4</v>
      </c>
      <c r="AC60" s="115">
        <f t="shared" si="9"/>
        <v>396</v>
      </c>
      <c r="AD60" s="116">
        <v>0.0</v>
      </c>
      <c r="AE60" s="108">
        <v>1000.0</v>
      </c>
      <c r="AF60" s="117">
        <v>0.5</v>
      </c>
      <c r="AG60" s="22">
        <f t="shared" si="10"/>
        <v>500</v>
      </c>
      <c r="AH60" s="22">
        <f t="shared" si="11"/>
        <v>1000</v>
      </c>
      <c r="AI60" s="22">
        <f t="shared" si="12"/>
        <v>0</v>
      </c>
      <c r="AJ60" s="25">
        <f t="shared" si="13"/>
        <v>0</v>
      </c>
      <c r="AK60" s="116">
        <v>0.0</v>
      </c>
      <c r="AL60" s="136">
        <v>3.0</v>
      </c>
      <c r="AM60" s="117">
        <v>20.0</v>
      </c>
      <c r="AN60" s="22">
        <f t="shared" si="14"/>
        <v>60</v>
      </c>
      <c r="AO60" s="22">
        <f t="shared" si="15"/>
        <v>3</v>
      </c>
      <c r="AP60" s="22">
        <f t="shared" si="16"/>
        <v>0</v>
      </c>
      <c r="AQ60" s="25">
        <f t="shared" si="17"/>
        <v>0</v>
      </c>
      <c r="AR60" s="118">
        <v>80.0</v>
      </c>
      <c r="AS60" s="117">
        <v>18000.0</v>
      </c>
      <c r="AT60" s="25">
        <f t="shared" si="22"/>
        <v>14400</v>
      </c>
      <c r="AU60" s="116">
        <v>0.0</v>
      </c>
      <c r="AV60" s="136">
        <v>6000.0</v>
      </c>
      <c r="AW60" s="25">
        <f t="shared" si="18"/>
        <v>0</v>
      </c>
      <c r="AX60" s="118">
        <f t="shared" si="19"/>
        <v>88776</v>
      </c>
      <c r="AY60" s="120">
        <f t="shared" si="23"/>
        <v>82.2</v>
      </c>
      <c r="AZ60" s="25">
        <f t="shared" si="21"/>
        <v>70776</v>
      </c>
      <c r="BA60" s="119"/>
    </row>
    <row r="61" ht="15.75" customHeight="1">
      <c r="A61" s="33"/>
      <c r="B61" s="33"/>
      <c r="C61" s="33"/>
      <c r="G61" s="16"/>
      <c r="M61" s="7"/>
      <c r="N61" s="7"/>
      <c r="P61" s="13"/>
      <c r="X61" s="88"/>
    </row>
    <row r="62" ht="15.75" customHeight="1">
      <c r="A62" s="33"/>
      <c r="B62" s="33"/>
      <c r="C62" s="33"/>
      <c r="G62" s="16"/>
      <c r="X62" s="88"/>
    </row>
    <row r="63" ht="15.75" customHeight="1">
      <c r="A63" s="33"/>
      <c r="B63" s="33"/>
      <c r="C63" s="33"/>
      <c r="G63" s="16"/>
    </row>
    <row r="64" ht="15.75" customHeight="1">
      <c r="A64" s="33"/>
      <c r="B64" s="33"/>
      <c r="C64" s="33"/>
      <c r="G64" s="16"/>
    </row>
    <row r="65" ht="15.75" customHeight="1">
      <c r="A65" s="33"/>
      <c r="B65" s="33"/>
      <c r="C65" s="33"/>
      <c r="G65" s="16"/>
    </row>
    <row r="66" ht="15.75" customHeight="1">
      <c r="A66" s="33"/>
      <c r="B66" s="33"/>
      <c r="C66" s="33"/>
      <c r="G66" s="16"/>
    </row>
    <row r="67" ht="15.75" customHeight="1">
      <c r="A67" s="33"/>
      <c r="B67" s="33"/>
      <c r="C67" s="33"/>
      <c r="G67" s="16"/>
    </row>
    <row r="68" ht="15.75" customHeight="1">
      <c r="G68" s="16"/>
    </row>
    <row r="69" ht="15.75" customHeight="1">
      <c r="G69" s="16"/>
    </row>
    <row r="70" ht="15.75" customHeight="1">
      <c r="G70" s="16"/>
    </row>
    <row r="71" ht="15.75" customHeight="1">
      <c r="G71" s="16"/>
    </row>
    <row r="72" ht="15.75" customHeight="1">
      <c r="G72" s="16"/>
    </row>
    <row r="73" ht="15.75" customHeight="1">
      <c r="G73" s="16"/>
    </row>
    <row r="74" ht="15.75" customHeight="1">
      <c r="G74" s="16"/>
    </row>
    <row r="75" ht="15.75" customHeight="1">
      <c r="G75" s="16"/>
    </row>
    <row r="76" ht="15.75" customHeight="1">
      <c r="G76" s="16"/>
    </row>
    <row r="77" ht="15.75" customHeight="1">
      <c r="G77" s="16"/>
    </row>
    <row r="78" ht="15.75" customHeight="1">
      <c r="G78" s="16"/>
    </row>
    <row r="79" ht="15.75" customHeight="1">
      <c r="G79" s="16"/>
    </row>
    <row r="80" ht="15.75" customHeight="1">
      <c r="G80" s="16"/>
    </row>
    <row r="81" ht="15.75" customHeight="1">
      <c r="G81" s="16"/>
    </row>
    <row r="82" ht="15.75" customHeight="1">
      <c r="G82" s="16"/>
    </row>
    <row r="83" ht="15.75" customHeight="1">
      <c r="G83" s="16"/>
    </row>
    <row r="84" ht="15.75" customHeight="1">
      <c r="G84" s="16"/>
    </row>
    <row r="85" ht="15.75" customHeight="1">
      <c r="G85" s="16"/>
    </row>
    <row r="86" ht="15.75" customHeight="1">
      <c r="G86" s="16"/>
    </row>
    <row r="87" ht="15.75" customHeight="1">
      <c r="G87" s="16"/>
    </row>
    <row r="88" ht="15.75" customHeight="1">
      <c r="G88" s="16"/>
    </row>
    <row r="89" ht="15.75" customHeight="1">
      <c r="G89" s="16"/>
    </row>
    <row r="90" ht="15.75" customHeight="1">
      <c r="G90" s="16"/>
    </row>
    <row r="91" ht="15.75" customHeight="1">
      <c r="G91" s="16"/>
    </row>
    <row r="92" ht="15.75" customHeight="1">
      <c r="G92" s="16"/>
    </row>
    <row r="93" ht="15.75" customHeight="1">
      <c r="G93" s="16"/>
    </row>
    <row r="94" ht="15.75" customHeight="1">
      <c r="G94" s="16"/>
    </row>
    <row r="95" ht="15.75" customHeight="1">
      <c r="G95" s="16"/>
    </row>
    <row r="96" ht="15.75" customHeight="1">
      <c r="G96" s="16"/>
    </row>
    <row r="97" ht="15.75" customHeight="1">
      <c r="G97" s="16"/>
    </row>
    <row r="98" ht="15.75" customHeight="1">
      <c r="G98" s="16"/>
    </row>
    <row r="99" ht="15.75" customHeight="1">
      <c r="G99" s="16"/>
    </row>
    <row r="100" ht="15.75" customHeight="1">
      <c r="G100" s="16"/>
    </row>
    <row r="101" ht="15.75" customHeight="1">
      <c r="G101" s="16"/>
    </row>
    <row r="102" ht="15.75" customHeight="1">
      <c r="G102" s="16"/>
    </row>
    <row r="103" ht="15.75" customHeight="1">
      <c r="G103" s="16"/>
    </row>
    <row r="104" ht="15.75" customHeight="1">
      <c r="G104" s="16"/>
    </row>
    <row r="105" ht="15.75" customHeight="1">
      <c r="G105" s="16"/>
    </row>
    <row r="106" ht="15.75" customHeight="1">
      <c r="G106" s="16"/>
    </row>
    <row r="107" ht="15.75" customHeight="1">
      <c r="G107" s="16"/>
    </row>
    <row r="108" ht="15.75" customHeight="1">
      <c r="G108" s="16"/>
    </row>
    <row r="109" ht="15.75" customHeight="1">
      <c r="G109" s="16"/>
    </row>
    <row r="110" ht="15.75" customHeight="1">
      <c r="G110" s="16"/>
    </row>
    <row r="111" ht="15.75" customHeight="1">
      <c r="G111" s="16"/>
    </row>
    <row r="112" ht="15.75" customHeight="1">
      <c r="G112" s="16"/>
    </row>
    <row r="113" ht="15.75" customHeight="1">
      <c r="G113" s="16"/>
    </row>
    <row r="114" ht="15.75" customHeight="1">
      <c r="G114" s="16"/>
    </row>
    <row r="115" ht="15.75" customHeight="1">
      <c r="G115" s="16"/>
    </row>
    <row r="116" ht="15.75" customHeight="1">
      <c r="G116" s="16"/>
    </row>
    <row r="117" ht="15.75" customHeight="1">
      <c r="G117" s="16"/>
    </row>
    <row r="118" ht="15.75" customHeight="1">
      <c r="G118" s="16"/>
    </row>
    <row r="119" ht="15.75" customHeight="1">
      <c r="G119" s="16"/>
    </row>
    <row r="120" ht="15.75" customHeight="1">
      <c r="G120" s="16"/>
    </row>
    <row r="121" ht="15.75" customHeight="1">
      <c r="G121" s="16"/>
    </row>
    <row r="122" ht="15.75" customHeight="1">
      <c r="G122" s="16"/>
    </row>
    <row r="123" ht="15.75" customHeight="1">
      <c r="G123" s="16"/>
    </row>
    <row r="124" ht="15.75" customHeight="1">
      <c r="G124" s="16"/>
    </row>
    <row r="125" ht="15.75" customHeight="1">
      <c r="G125" s="16"/>
    </row>
    <row r="126" ht="15.75" customHeight="1">
      <c r="G126" s="16"/>
    </row>
    <row r="127" ht="15.75" customHeight="1">
      <c r="G127" s="16"/>
    </row>
    <row r="128" ht="15.75" customHeight="1">
      <c r="G128" s="16"/>
    </row>
    <row r="129" ht="15.75" customHeight="1">
      <c r="G129" s="16"/>
    </row>
    <row r="130" ht="15.75" customHeight="1">
      <c r="G130" s="16"/>
    </row>
    <row r="131" ht="15.75" customHeight="1">
      <c r="G131" s="16"/>
    </row>
    <row r="132" ht="15.75" customHeight="1">
      <c r="G132" s="16"/>
    </row>
    <row r="133" ht="15.75" customHeight="1">
      <c r="G133" s="16"/>
    </row>
    <row r="134" ht="15.75" customHeight="1">
      <c r="G134" s="16"/>
    </row>
    <row r="135" ht="15.75" customHeight="1">
      <c r="G135" s="16"/>
    </row>
    <row r="136" ht="15.75" customHeight="1">
      <c r="G136" s="16"/>
    </row>
    <row r="137" ht="15.75" customHeight="1">
      <c r="G137" s="16"/>
    </row>
    <row r="138" ht="15.75" customHeight="1">
      <c r="G138" s="16"/>
    </row>
    <row r="139" ht="15.75" customHeight="1">
      <c r="G139" s="16"/>
    </row>
    <row r="140" ht="15.75" customHeight="1">
      <c r="G140" s="16"/>
    </row>
    <row r="141" ht="15.75" customHeight="1">
      <c r="G141" s="16"/>
    </row>
    <row r="142" ht="15.75" customHeight="1">
      <c r="G142" s="16"/>
    </row>
    <row r="143" ht="15.75" customHeight="1">
      <c r="G143" s="16"/>
    </row>
    <row r="144" ht="15.75" customHeight="1">
      <c r="G144" s="16"/>
    </row>
    <row r="145" ht="15.75" customHeight="1">
      <c r="G145" s="16"/>
    </row>
    <row r="146" ht="15.75" customHeight="1">
      <c r="G146" s="16"/>
    </row>
    <row r="147" ht="15.75" customHeight="1">
      <c r="G147" s="16"/>
    </row>
    <row r="148" ht="15.75" customHeight="1">
      <c r="G148" s="16"/>
    </row>
    <row r="149" ht="15.75" customHeight="1">
      <c r="G149" s="16"/>
    </row>
    <row r="150" ht="15.75" customHeight="1">
      <c r="G150" s="16"/>
    </row>
    <row r="151" ht="15.75" customHeight="1">
      <c r="G151" s="16"/>
    </row>
    <row r="152" ht="15.75" customHeight="1">
      <c r="G152" s="16"/>
    </row>
    <row r="153" ht="15.75" customHeight="1">
      <c r="G153" s="16"/>
    </row>
    <row r="154" ht="15.75" customHeight="1">
      <c r="G154" s="16"/>
    </row>
    <row r="155" ht="15.75" customHeight="1">
      <c r="G155" s="16"/>
    </row>
    <row r="156" ht="15.75" customHeight="1">
      <c r="G156" s="16"/>
    </row>
    <row r="157" ht="15.75" customHeight="1">
      <c r="G157" s="16"/>
    </row>
    <row r="158" ht="15.75" customHeight="1">
      <c r="G158" s="16"/>
    </row>
    <row r="159" ht="15.75" customHeight="1">
      <c r="G159" s="16"/>
    </row>
    <row r="160" ht="15.75" customHeight="1">
      <c r="G160" s="16"/>
    </row>
    <row r="161" ht="15.75" customHeight="1">
      <c r="G161" s="16"/>
    </row>
    <row r="162" ht="15.75" customHeight="1">
      <c r="G162" s="16"/>
    </row>
    <row r="163" ht="15.75" customHeight="1">
      <c r="G163" s="16"/>
    </row>
    <row r="164" ht="15.75" customHeight="1">
      <c r="G164" s="16"/>
    </row>
    <row r="165" ht="15.75" customHeight="1">
      <c r="G165" s="16"/>
    </row>
    <row r="166" ht="15.75" customHeight="1">
      <c r="G166" s="16"/>
    </row>
    <row r="167" ht="15.75" customHeight="1">
      <c r="G167" s="16"/>
    </row>
    <row r="168" ht="15.75" customHeight="1">
      <c r="G168" s="16"/>
    </row>
    <row r="169" ht="15.75" customHeight="1">
      <c r="G169" s="16"/>
    </row>
    <row r="170" ht="15.75" customHeight="1">
      <c r="G170" s="16"/>
    </row>
    <row r="171" ht="15.75" customHeight="1">
      <c r="G171" s="16"/>
    </row>
    <row r="172" ht="15.75" customHeight="1">
      <c r="G172" s="16"/>
    </row>
    <row r="173" ht="15.75" customHeight="1">
      <c r="G173" s="16"/>
    </row>
    <row r="174" ht="15.75" customHeight="1">
      <c r="G174" s="16"/>
    </row>
    <row r="175" ht="15.75" customHeight="1">
      <c r="G175" s="16"/>
    </row>
    <row r="176" ht="15.75" customHeight="1">
      <c r="G176" s="16"/>
    </row>
    <row r="177" ht="15.75" customHeight="1">
      <c r="G177" s="16"/>
    </row>
    <row r="178" ht="15.75" customHeight="1">
      <c r="G178" s="16"/>
    </row>
    <row r="179" ht="15.75" customHeight="1">
      <c r="G179" s="16"/>
    </row>
    <row r="180" ht="15.75" customHeight="1">
      <c r="G180" s="16"/>
    </row>
    <row r="181" ht="15.75" customHeight="1">
      <c r="G181" s="16"/>
    </row>
    <row r="182" ht="15.75" customHeight="1">
      <c r="G182" s="16"/>
    </row>
    <row r="183" ht="15.75" customHeight="1">
      <c r="G183" s="16"/>
    </row>
    <row r="184" ht="15.75" customHeight="1">
      <c r="G184" s="16"/>
    </row>
    <row r="185" ht="15.75" customHeight="1">
      <c r="G185" s="16"/>
    </row>
    <row r="186" ht="15.75" customHeight="1">
      <c r="G186" s="16"/>
    </row>
    <row r="187" ht="15.75" customHeight="1">
      <c r="G187" s="16"/>
    </row>
    <row r="188" ht="15.75" customHeight="1">
      <c r="G188" s="16"/>
    </row>
    <row r="189" ht="15.75" customHeight="1">
      <c r="G189" s="16"/>
    </row>
    <row r="190" ht="15.75" customHeight="1">
      <c r="G190" s="16"/>
    </row>
    <row r="191" ht="15.75" customHeight="1">
      <c r="G191" s="16"/>
    </row>
    <row r="192" ht="15.75" customHeight="1">
      <c r="G192" s="16"/>
    </row>
    <row r="193" ht="15.75" customHeight="1">
      <c r="G193" s="16"/>
    </row>
    <row r="194" ht="15.75" customHeight="1">
      <c r="G194" s="16"/>
    </row>
    <row r="195" ht="15.75" customHeight="1">
      <c r="G195" s="16"/>
    </row>
    <row r="196" ht="15.75" customHeight="1">
      <c r="G196" s="16"/>
    </row>
    <row r="197" ht="15.75" customHeight="1">
      <c r="G197" s="16"/>
    </row>
    <row r="198" ht="15.75" customHeight="1">
      <c r="G198" s="16"/>
    </row>
    <row r="199" ht="15.75" customHeight="1">
      <c r="G199" s="16"/>
    </row>
    <row r="200" ht="15.75" customHeight="1">
      <c r="G200" s="16"/>
    </row>
    <row r="201" ht="15.75" customHeight="1">
      <c r="G201" s="16"/>
    </row>
    <row r="202" ht="15.75" customHeight="1">
      <c r="G202" s="16"/>
    </row>
    <row r="203" ht="15.75" customHeight="1">
      <c r="G203" s="16"/>
    </row>
    <row r="204" ht="15.75" customHeight="1">
      <c r="G204" s="16"/>
    </row>
    <row r="205" ht="15.75" customHeight="1">
      <c r="G205" s="16"/>
    </row>
    <row r="206" ht="15.75" customHeight="1">
      <c r="G206" s="16"/>
    </row>
    <row r="207" ht="15.75" customHeight="1">
      <c r="G207" s="16"/>
    </row>
    <row r="208" ht="15.75" customHeight="1">
      <c r="G208" s="16"/>
    </row>
    <row r="209" ht="15.75" customHeight="1">
      <c r="G209" s="16"/>
    </row>
    <row r="210" ht="15.75" customHeight="1">
      <c r="G210" s="16"/>
    </row>
    <row r="211" ht="15.75" customHeight="1">
      <c r="G211" s="16"/>
    </row>
    <row r="212" ht="15.75" customHeight="1">
      <c r="G212" s="16"/>
    </row>
    <row r="213" ht="15.75" customHeight="1">
      <c r="G213" s="16"/>
    </row>
    <row r="214" ht="15.75" customHeight="1">
      <c r="G214" s="16"/>
    </row>
    <row r="215" ht="15.75" customHeight="1">
      <c r="G215" s="16"/>
    </row>
    <row r="216" ht="15.75" customHeight="1">
      <c r="G216" s="16"/>
    </row>
    <row r="217" ht="15.75" customHeight="1">
      <c r="G217" s="16"/>
    </row>
    <row r="218" ht="15.75" customHeight="1">
      <c r="G218" s="16"/>
    </row>
    <row r="219" ht="15.75" customHeight="1">
      <c r="G219" s="16"/>
    </row>
    <row r="220" ht="15.75" customHeight="1">
      <c r="G220" s="16"/>
    </row>
    <row r="221" ht="15.75" customHeight="1">
      <c r="G221" s="16"/>
    </row>
    <row r="222" ht="15.75" customHeight="1">
      <c r="G222" s="16"/>
    </row>
    <row r="223" ht="15.75" customHeight="1">
      <c r="G223" s="16"/>
    </row>
    <row r="224" ht="15.75" customHeight="1">
      <c r="G224" s="16"/>
    </row>
    <row r="225" ht="15.75" customHeight="1">
      <c r="G225" s="16"/>
    </row>
    <row r="226" ht="15.75" customHeight="1">
      <c r="G226" s="16"/>
    </row>
    <row r="227" ht="15.75" customHeight="1">
      <c r="G227" s="16"/>
    </row>
    <row r="228" ht="15.75" customHeight="1">
      <c r="G228" s="16"/>
    </row>
    <row r="229" ht="15.75" customHeight="1">
      <c r="G229" s="16"/>
    </row>
    <row r="230" ht="15.75" customHeight="1">
      <c r="G230" s="16"/>
    </row>
    <row r="231" ht="15.75" customHeight="1">
      <c r="G231" s="16"/>
    </row>
    <row r="232" ht="15.75" customHeight="1">
      <c r="G232" s="16"/>
    </row>
    <row r="233" ht="15.75" customHeight="1">
      <c r="G233" s="16"/>
    </row>
    <row r="234" ht="15.75" customHeight="1">
      <c r="G234" s="16"/>
    </row>
    <row r="235" ht="15.75" customHeight="1">
      <c r="G235" s="16"/>
    </row>
    <row r="236" ht="15.75" customHeight="1">
      <c r="G236" s="16"/>
    </row>
    <row r="237" ht="15.75" customHeight="1">
      <c r="G237" s="16"/>
    </row>
    <row r="238" ht="15.75" customHeight="1">
      <c r="G238" s="16"/>
    </row>
    <row r="239" ht="15.75" customHeight="1">
      <c r="G239" s="16"/>
    </row>
    <row r="240" ht="15.75" customHeight="1">
      <c r="G240" s="16"/>
    </row>
    <row r="241" ht="15.75" customHeight="1">
      <c r="G241" s="16"/>
    </row>
    <row r="242" ht="15.75" customHeight="1">
      <c r="G242" s="16"/>
    </row>
    <row r="243" ht="15.75" customHeight="1">
      <c r="G243" s="16"/>
    </row>
    <row r="244" ht="15.75" customHeight="1">
      <c r="G244" s="16"/>
    </row>
    <row r="245" ht="15.75" customHeight="1">
      <c r="G245" s="16"/>
    </row>
    <row r="246" ht="15.75" customHeight="1">
      <c r="G246" s="16"/>
    </row>
    <row r="247" ht="15.75" customHeight="1">
      <c r="G247" s="16"/>
    </row>
    <row r="248" ht="15.75" customHeight="1">
      <c r="G248" s="16"/>
    </row>
    <row r="249" ht="15.75" customHeight="1">
      <c r="G249" s="16"/>
    </row>
    <row r="250" ht="15.75" customHeight="1">
      <c r="G250" s="16"/>
    </row>
    <row r="251" ht="15.75" customHeight="1">
      <c r="G251" s="16"/>
    </row>
    <row r="252" ht="15.75" customHeight="1">
      <c r="G252" s="16"/>
    </row>
    <row r="253" ht="15.75" customHeight="1">
      <c r="G253" s="16"/>
    </row>
    <row r="254" ht="15.75" customHeight="1">
      <c r="G254" s="16"/>
    </row>
    <row r="255" ht="15.75" customHeight="1">
      <c r="G255" s="16"/>
    </row>
    <row r="256" ht="15.75" customHeight="1">
      <c r="G256" s="16"/>
    </row>
    <row r="257" ht="15.75" customHeight="1">
      <c r="G257" s="16"/>
    </row>
    <row r="258" ht="15.75" customHeight="1">
      <c r="G258" s="16"/>
    </row>
    <row r="259" ht="15.75" customHeight="1">
      <c r="G259" s="16"/>
    </row>
    <row r="260" ht="15.75" customHeight="1">
      <c r="G260" s="16"/>
    </row>
    <row r="261" ht="15.75" customHeight="1">
      <c r="G261" s="16"/>
    </row>
    <row r="262" ht="15.75" customHeight="1">
      <c r="G262" s="16"/>
    </row>
    <row r="263" ht="15.75" customHeight="1">
      <c r="G263" s="16"/>
    </row>
    <row r="264" ht="15.75" customHeight="1">
      <c r="G264" s="16"/>
    </row>
    <row r="265" ht="15.75" customHeight="1">
      <c r="G265" s="16"/>
    </row>
    <row r="266" ht="15.75" customHeight="1">
      <c r="G266" s="16"/>
    </row>
    <row r="267" ht="15.75" customHeight="1">
      <c r="G267" s="16"/>
    </row>
    <row r="268" ht="15.75" customHeight="1">
      <c r="G268" s="16"/>
    </row>
    <row r="269" ht="15.75" customHeight="1">
      <c r="G269" s="16"/>
    </row>
    <row r="270" ht="15.75" customHeight="1">
      <c r="G270" s="16"/>
    </row>
    <row r="271" ht="15.75" customHeight="1">
      <c r="G271" s="16"/>
    </row>
    <row r="272" ht="15.75" customHeight="1">
      <c r="G272" s="16"/>
    </row>
    <row r="273" ht="15.75" customHeight="1">
      <c r="G273" s="16"/>
    </row>
    <row r="274" ht="15.75" customHeight="1">
      <c r="G274" s="16"/>
    </row>
    <row r="275" ht="15.75" customHeight="1">
      <c r="G275" s="16"/>
    </row>
    <row r="276" ht="15.75" customHeight="1">
      <c r="G276" s="16"/>
    </row>
    <row r="277" ht="15.75" customHeight="1">
      <c r="G277" s="16"/>
    </row>
    <row r="278" ht="15.75" customHeight="1">
      <c r="G278" s="16"/>
    </row>
    <row r="279" ht="15.75" customHeight="1">
      <c r="G279" s="16"/>
    </row>
    <row r="280" ht="15.75" customHeight="1">
      <c r="G280" s="16"/>
    </row>
    <row r="281" ht="15.75" customHeight="1">
      <c r="G281" s="16"/>
    </row>
    <row r="282" ht="15.75" customHeight="1">
      <c r="G282" s="16"/>
    </row>
    <row r="283" ht="15.75" customHeight="1">
      <c r="G283" s="16"/>
    </row>
    <row r="284" ht="15.75" customHeight="1">
      <c r="G284" s="16"/>
    </row>
    <row r="285" ht="15.75" customHeight="1">
      <c r="G285" s="16"/>
    </row>
    <row r="286" ht="15.75" customHeight="1">
      <c r="G286" s="16"/>
    </row>
    <row r="287" ht="15.75" customHeight="1">
      <c r="G287" s="16"/>
    </row>
    <row r="288" ht="15.75" customHeight="1">
      <c r="G288" s="16"/>
    </row>
    <row r="289" ht="15.75" customHeight="1">
      <c r="G289" s="16"/>
    </row>
    <row r="290" ht="15.75" customHeight="1">
      <c r="G290" s="16"/>
    </row>
    <row r="291" ht="15.75" customHeight="1">
      <c r="G291" s="16"/>
    </row>
    <row r="292" ht="15.75" customHeight="1">
      <c r="G292" s="16"/>
    </row>
    <row r="293" ht="15.75" customHeight="1">
      <c r="G293" s="16"/>
    </row>
    <row r="294" ht="15.75" customHeight="1">
      <c r="G294" s="16"/>
    </row>
    <row r="295" ht="15.75" customHeight="1">
      <c r="G295" s="16"/>
    </row>
    <row r="296" ht="15.75" customHeight="1">
      <c r="G296" s="16"/>
    </row>
    <row r="297" ht="15.75" customHeight="1">
      <c r="G297" s="16"/>
    </row>
    <row r="298" ht="15.75" customHeight="1">
      <c r="G298" s="16"/>
    </row>
    <row r="299" ht="15.75" customHeight="1">
      <c r="G299" s="16"/>
    </row>
    <row r="300" ht="15.75" customHeight="1">
      <c r="G300" s="16"/>
    </row>
    <row r="301" ht="15.75" customHeight="1">
      <c r="G301" s="16"/>
    </row>
    <row r="302" ht="15.75" customHeight="1">
      <c r="G302" s="16"/>
    </row>
    <row r="303" ht="15.75" customHeight="1">
      <c r="G303" s="16"/>
    </row>
    <row r="304" ht="15.75" customHeight="1">
      <c r="G304" s="16"/>
    </row>
    <row r="305" ht="15.75" customHeight="1">
      <c r="G305" s="16"/>
    </row>
    <row r="306" ht="15.75" customHeight="1">
      <c r="G306" s="16"/>
    </row>
    <row r="307" ht="15.75" customHeight="1">
      <c r="G307" s="16"/>
    </row>
    <row r="308" ht="15.75" customHeight="1">
      <c r="G308" s="16"/>
    </row>
    <row r="309" ht="15.75" customHeight="1">
      <c r="G309" s="16"/>
    </row>
    <row r="310" ht="15.75" customHeight="1">
      <c r="G310" s="16"/>
    </row>
    <row r="311" ht="15.75" customHeight="1">
      <c r="G311" s="16"/>
    </row>
    <row r="312" ht="15.75" customHeight="1">
      <c r="G312" s="16"/>
    </row>
    <row r="313" ht="15.75" customHeight="1">
      <c r="G313" s="16"/>
    </row>
    <row r="314" ht="15.75" customHeight="1">
      <c r="G314" s="16"/>
    </row>
    <row r="315" ht="15.75" customHeight="1">
      <c r="G315" s="16"/>
    </row>
    <row r="316" ht="15.75" customHeight="1">
      <c r="G316" s="16"/>
    </row>
    <row r="317" ht="15.75" customHeight="1">
      <c r="G317" s="16"/>
    </row>
    <row r="318" ht="15.75" customHeight="1">
      <c r="G318" s="16"/>
    </row>
    <row r="319" ht="15.75" customHeight="1">
      <c r="G319" s="16"/>
    </row>
    <row r="320" ht="15.75" customHeight="1">
      <c r="G320" s="16"/>
    </row>
    <row r="321" ht="15.75" customHeight="1">
      <c r="G321" s="16"/>
    </row>
    <row r="322" ht="15.75" customHeight="1">
      <c r="G322" s="16"/>
    </row>
    <row r="323" ht="15.75" customHeight="1">
      <c r="G323" s="16"/>
    </row>
    <row r="324" ht="15.75" customHeight="1">
      <c r="G324" s="16"/>
    </row>
    <row r="325" ht="15.75" customHeight="1">
      <c r="G325" s="16"/>
    </row>
    <row r="326" ht="15.75" customHeight="1">
      <c r="G326" s="16"/>
    </row>
    <row r="327" ht="15.75" customHeight="1">
      <c r="G327" s="16"/>
    </row>
    <row r="328" ht="15.75" customHeight="1">
      <c r="G328" s="16"/>
    </row>
    <row r="329" ht="15.75" customHeight="1">
      <c r="G329" s="16"/>
    </row>
    <row r="330" ht="15.75" customHeight="1">
      <c r="G330" s="16"/>
    </row>
    <row r="331" ht="15.75" customHeight="1">
      <c r="G331" s="16"/>
    </row>
    <row r="332" ht="15.75" customHeight="1">
      <c r="G332" s="16"/>
    </row>
    <row r="333" ht="15.75" customHeight="1">
      <c r="G333" s="16"/>
    </row>
    <row r="334" ht="15.75" customHeight="1">
      <c r="G334" s="16"/>
    </row>
    <row r="335" ht="15.75" customHeight="1">
      <c r="G335" s="16"/>
    </row>
    <row r="336" ht="15.75" customHeight="1">
      <c r="G336" s="16"/>
    </row>
    <row r="337" ht="15.75" customHeight="1">
      <c r="G337" s="16"/>
    </row>
    <row r="338" ht="15.75" customHeight="1">
      <c r="G338" s="16"/>
    </row>
    <row r="339" ht="15.75" customHeight="1">
      <c r="G339" s="16"/>
    </row>
    <row r="340" ht="15.75" customHeight="1">
      <c r="G340" s="16"/>
    </row>
    <row r="341" ht="15.75" customHeight="1">
      <c r="G341" s="16"/>
    </row>
    <row r="342" ht="15.75" customHeight="1">
      <c r="G342" s="16"/>
    </row>
    <row r="343" ht="15.75" customHeight="1">
      <c r="G343" s="16"/>
    </row>
    <row r="344" ht="15.75" customHeight="1">
      <c r="G344" s="16"/>
    </row>
    <row r="345" ht="15.75" customHeight="1">
      <c r="G345" s="16"/>
    </row>
    <row r="346" ht="15.75" customHeight="1">
      <c r="G346" s="16"/>
    </row>
    <row r="347" ht="15.75" customHeight="1">
      <c r="G347" s="16"/>
    </row>
    <row r="348" ht="15.75" customHeight="1">
      <c r="G348" s="16"/>
    </row>
    <row r="349" ht="15.75" customHeight="1">
      <c r="G349" s="16"/>
    </row>
    <row r="350" ht="15.75" customHeight="1">
      <c r="G350" s="16"/>
    </row>
    <row r="351" ht="15.75" customHeight="1">
      <c r="G351" s="16"/>
    </row>
    <row r="352" ht="15.75" customHeight="1">
      <c r="G352" s="16"/>
    </row>
    <row r="353" ht="15.75" customHeight="1">
      <c r="G353" s="16"/>
    </row>
    <row r="354" ht="15.75" customHeight="1">
      <c r="G354" s="16"/>
    </row>
    <row r="355" ht="15.75" customHeight="1">
      <c r="G355" s="16"/>
    </row>
    <row r="356" ht="15.75" customHeight="1">
      <c r="G356" s="16"/>
    </row>
    <row r="357" ht="15.75" customHeight="1">
      <c r="G357" s="16"/>
    </row>
    <row r="358" ht="15.75" customHeight="1">
      <c r="G358" s="16"/>
    </row>
    <row r="359" ht="15.75" customHeight="1">
      <c r="G359" s="16"/>
    </row>
    <row r="360" ht="15.75" customHeight="1">
      <c r="G360" s="16"/>
    </row>
    <row r="361" ht="15.75" customHeight="1">
      <c r="G361" s="16"/>
    </row>
    <row r="362" ht="15.75" customHeight="1">
      <c r="G362" s="16"/>
    </row>
    <row r="363" ht="15.75" customHeight="1">
      <c r="G363" s="16"/>
    </row>
    <row r="364" ht="15.75" customHeight="1">
      <c r="G364" s="16"/>
    </row>
    <row r="365" ht="15.75" customHeight="1">
      <c r="G365" s="16"/>
    </row>
    <row r="366" ht="15.75" customHeight="1">
      <c r="G366" s="16"/>
    </row>
    <row r="367" ht="15.75" customHeight="1">
      <c r="G367" s="16"/>
    </row>
    <row r="368" ht="15.75" customHeight="1">
      <c r="G368" s="16"/>
    </row>
    <row r="369" ht="15.75" customHeight="1">
      <c r="G369" s="16"/>
    </row>
    <row r="370" ht="15.75" customHeight="1">
      <c r="G370" s="16"/>
    </row>
    <row r="371" ht="15.75" customHeight="1">
      <c r="G371" s="16"/>
    </row>
    <row r="372" ht="15.75" customHeight="1">
      <c r="G372" s="16"/>
    </row>
    <row r="373" ht="15.75" customHeight="1">
      <c r="G373" s="16"/>
    </row>
    <row r="374" ht="15.75" customHeight="1">
      <c r="G374" s="16"/>
    </row>
    <row r="375" ht="15.75" customHeight="1">
      <c r="G375" s="16"/>
    </row>
    <row r="376" ht="15.75" customHeight="1">
      <c r="G376" s="16"/>
    </row>
    <row r="377" ht="15.75" customHeight="1">
      <c r="G377" s="16"/>
    </row>
    <row r="378" ht="15.75" customHeight="1">
      <c r="G378" s="16"/>
    </row>
    <row r="379" ht="15.75" customHeight="1">
      <c r="G379" s="16"/>
    </row>
    <row r="380" ht="15.75" customHeight="1">
      <c r="G380" s="16"/>
    </row>
    <row r="381" ht="15.75" customHeight="1">
      <c r="G381" s="16"/>
    </row>
    <row r="382" ht="15.75" customHeight="1">
      <c r="G382" s="16"/>
    </row>
    <row r="383" ht="15.75" customHeight="1">
      <c r="G383" s="16"/>
    </row>
    <row r="384" ht="15.75" customHeight="1">
      <c r="G384" s="16"/>
    </row>
    <row r="385" ht="15.75" customHeight="1">
      <c r="G385" s="16"/>
    </row>
    <row r="386" ht="15.75" customHeight="1">
      <c r="G386" s="16"/>
    </row>
    <row r="387" ht="15.75" customHeight="1">
      <c r="G387" s="16"/>
    </row>
    <row r="388" ht="15.75" customHeight="1">
      <c r="G388" s="16"/>
    </row>
    <row r="389" ht="15.75" customHeight="1">
      <c r="G389" s="16"/>
    </row>
    <row r="390" ht="15.75" customHeight="1">
      <c r="G390" s="16"/>
    </row>
    <row r="391" ht="15.75" customHeight="1">
      <c r="G391" s="16"/>
    </row>
    <row r="392" ht="15.75" customHeight="1">
      <c r="G392" s="16"/>
    </row>
    <row r="393" ht="15.75" customHeight="1">
      <c r="G393" s="16"/>
    </row>
    <row r="394" ht="15.75" customHeight="1">
      <c r="G394" s="16"/>
    </row>
    <row r="395" ht="15.75" customHeight="1">
      <c r="G395" s="16"/>
    </row>
    <row r="396" ht="15.75" customHeight="1">
      <c r="G396" s="16"/>
    </row>
    <row r="397" ht="15.75" customHeight="1">
      <c r="G397" s="16"/>
    </row>
    <row r="398" ht="15.75" customHeight="1">
      <c r="G398" s="16"/>
    </row>
    <row r="399" ht="15.75" customHeight="1">
      <c r="G399" s="16"/>
    </row>
    <row r="400" ht="15.75" customHeight="1">
      <c r="G400" s="16"/>
    </row>
    <row r="401" ht="15.75" customHeight="1">
      <c r="G401" s="16"/>
    </row>
    <row r="402" ht="15.75" customHeight="1">
      <c r="G402" s="16"/>
    </row>
    <row r="403" ht="15.75" customHeight="1">
      <c r="G403" s="16"/>
    </row>
    <row r="404" ht="15.75" customHeight="1">
      <c r="G404" s="16"/>
    </row>
    <row r="405" ht="15.75" customHeight="1">
      <c r="G405" s="16"/>
    </row>
    <row r="406" ht="15.75" customHeight="1">
      <c r="G406" s="16"/>
    </row>
    <row r="407" ht="15.75" customHeight="1">
      <c r="G407" s="16"/>
    </row>
    <row r="408" ht="15.75" customHeight="1">
      <c r="G408" s="16"/>
    </row>
    <row r="409" ht="15.75" customHeight="1">
      <c r="G409" s="16"/>
    </row>
    <row r="410" ht="15.75" customHeight="1">
      <c r="G410" s="16"/>
    </row>
    <row r="411" ht="15.75" customHeight="1">
      <c r="G411" s="16"/>
    </row>
    <row r="412" ht="15.75" customHeight="1">
      <c r="G412" s="16"/>
    </row>
    <row r="413" ht="15.75" customHeight="1">
      <c r="G413" s="16"/>
    </row>
    <row r="414" ht="15.75" customHeight="1">
      <c r="G414" s="16"/>
    </row>
    <row r="415" ht="15.75" customHeight="1">
      <c r="G415" s="16"/>
    </row>
    <row r="416" ht="15.75" customHeight="1">
      <c r="G416" s="16"/>
    </row>
    <row r="417" ht="15.75" customHeight="1">
      <c r="G417" s="16"/>
    </row>
    <row r="418" ht="15.75" customHeight="1">
      <c r="G418" s="16"/>
    </row>
    <row r="419" ht="15.75" customHeight="1">
      <c r="G419" s="16"/>
    </row>
    <row r="420" ht="15.75" customHeight="1">
      <c r="G420" s="16"/>
    </row>
    <row r="421" ht="15.75" customHeight="1">
      <c r="G421" s="16"/>
    </row>
    <row r="422" ht="15.75" customHeight="1">
      <c r="G422" s="16"/>
    </row>
    <row r="423" ht="15.75" customHeight="1">
      <c r="G423" s="16"/>
    </row>
    <row r="424" ht="15.75" customHeight="1">
      <c r="G424" s="16"/>
    </row>
    <row r="425" ht="15.75" customHeight="1">
      <c r="G425" s="16"/>
    </row>
    <row r="426" ht="15.75" customHeight="1">
      <c r="G426" s="16"/>
    </row>
    <row r="427" ht="15.75" customHeight="1">
      <c r="G427" s="16"/>
    </row>
    <row r="428" ht="15.75" customHeight="1">
      <c r="G428" s="16"/>
    </row>
    <row r="429" ht="15.75" customHeight="1">
      <c r="G429" s="16"/>
    </row>
    <row r="430" ht="15.75" customHeight="1">
      <c r="G430" s="16"/>
    </row>
    <row r="431" ht="15.75" customHeight="1">
      <c r="G431" s="16"/>
    </row>
    <row r="432" ht="15.75" customHeight="1">
      <c r="G432" s="16"/>
    </row>
    <row r="433" ht="15.75" customHeight="1">
      <c r="G433" s="16"/>
    </row>
    <row r="434" ht="15.75" customHeight="1">
      <c r="G434" s="16"/>
    </row>
    <row r="435" ht="15.75" customHeight="1">
      <c r="G435" s="16"/>
    </row>
    <row r="436" ht="15.75" customHeight="1">
      <c r="G436" s="16"/>
    </row>
    <row r="437" ht="15.75" customHeight="1">
      <c r="G437" s="16"/>
    </row>
    <row r="438" ht="15.75" customHeight="1">
      <c r="G438" s="16"/>
    </row>
    <row r="439" ht="15.75" customHeight="1">
      <c r="G439" s="16"/>
    </row>
    <row r="440" ht="15.75" customHeight="1">
      <c r="G440" s="16"/>
    </row>
    <row r="441" ht="15.75" customHeight="1">
      <c r="G441" s="16"/>
    </row>
    <row r="442" ht="15.75" customHeight="1">
      <c r="G442" s="16"/>
    </row>
    <row r="443" ht="15.75" customHeight="1">
      <c r="G443" s="16"/>
    </row>
    <row r="444" ht="15.75" customHeight="1">
      <c r="G444" s="16"/>
    </row>
    <row r="445" ht="15.75" customHeight="1">
      <c r="G445" s="16"/>
    </row>
    <row r="446" ht="15.75" customHeight="1">
      <c r="G446" s="16"/>
    </row>
    <row r="447" ht="15.75" customHeight="1">
      <c r="G447" s="16"/>
    </row>
    <row r="448" ht="15.75" customHeight="1">
      <c r="G448" s="16"/>
    </row>
    <row r="449" ht="15.75" customHeight="1">
      <c r="G449" s="16"/>
    </row>
    <row r="450" ht="15.75" customHeight="1">
      <c r="G450" s="16"/>
    </row>
    <row r="451" ht="15.75" customHeight="1">
      <c r="G451" s="16"/>
    </row>
    <row r="452" ht="15.75" customHeight="1">
      <c r="G452" s="16"/>
    </row>
    <row r="453" ht="15.75" customHeight="1">
      <c r="G453" s="16"/>
    </row>
    <row r="454" ht="15.75" customHeight="1">
      <c r="G454" s="16"/>
    </row>
    <row r="455" ht="15.75" customHeight="1">
      <c r="G455" s="16"/>
    </row>
    <row r="456" ht="15.75" customHeight="1">
      <c r="G456" s="16"/>
    </row>
    <row r="457" ht="15.75" customHeight="1">
      <c r="G457" s="16"/>
    </row>
    <row r="458" ht="15.75" customHeight="1">
      <c r="G458" s="16"/>
    </row>
    <row r="459" ht="15.75" customHeight="1">
      <c r="G459" s="16"/>
    </row>
    <row r="460" ht="15.75" customHeight="1">
      <c r="G460" s="16"/>
    </row>
    <row r="461" ht="15.75" customHeight="1">
      <c r="G461" s="16"/>
    </row>
    <row r="462" ht="15.75" customHeight="1">
      <c r="G462" s="16"/>
    </row>
    <row r="463" ht="15.75" customHeight="1">
      <c r="G463" s="16"/>
    </row>
    <row r="464" ht="15.75" customHeight="1">
      <c r="G464" s="16"/>
    </row>
    <row r="465" ht="15.75" customHeight="1">
      <c r="G465" s="16"/>
    </row>
    <row r="466" ht="15.75" customHeight="1">
      <c r="G466" s="16"/>
    </row>
    <row r="467" ht="15.75" customHeight="1">
      <c r="G467" s="16"/>
    </row>
    <row r="468" ht="15.75" customHeight="1">
      <c r="G468" s="16"/>
    </row>
    <row r="469" ht="15.75" customHeight="1">
      <c r="G469" s="16"/>
    </row>
    <row r="470" ht="15.75" customHeight="1">
      <c r="G470" s="16"/>
    </row>
    <row r="471" ht="15.75" customHeight="1">
      <c r="G471" s="16"/>
    </row>
    <row r="472" ht="15.75" customHeight="1">
      <c r="G472" s="16"/>
    </row>
    <row r="473" ht="15.75" customHeight="1">
      <c r="G473" s="16"/>
    </row>
    <row r="474" ht="15.75" customHeight="1">
      <c r="G474" s="16"/>
    </row>
    <row r="475" ht="15.75" customHeight="1">
      <c r="G475" s="16"/>
    </row>
    <row r="476" ht="15.75" customHeight="1">
      <c r="G476" s="16"/>
    </row>
    <row r="477" ht="15.75" customHeight="1">
      <c r="G477" s="16"/>
    </row>
    <row r="478" ht="15.75" customHeight="1">
      <c r="G478" s="16"/>
    </row>
    <row r="479" ht="15.75" customHeight="1">
      <c r="G479" s="16"/>
    </row>
    <row r="480" ht="15.75" customHeight="1">
      <c r="G480" s="16"/>
    </row>
    <row r="481" ht="15.75" customHeight="1">
      <c r="G481" s="16"/>
    </row>
    <row r="482" ht="15.75" customHeight="1">
      <c r="G482" s="16"/>
    </row>
    <row r="483" ht="15.75" customHeight="1">
      <c r="G483" s="16"/>
    </row>
    <row r="484" ht="15.75" customHeight="1">
      <c r="G484" s="16"/>
    </row>
    <row r="485" ht="15.75" customHeight="1">
      <c r="G485" s="16"/>
    </row>
    <row r="486" ht="15.75" customHeight="1">
      <c r="G486" s="16"/>
    </row>
    <row r="487" ht="15.75" customHeight="1">
      <c r="G487" s="16"/>
    </row>
    <row r="488" ht="15.75" customHeight="1">
      <c r="G488" s="16"/>
    </row>
    <row r="489" ht="15.75" customHeight="1">
      <c r="G489" s="16"/>
    </row>
    <row r="490" ht="15.75" customHeight="1">
      <c r="G490" s="16"/>
    </row>
    <row r="491" ht="15.75" customHeight="1">
      <c r="G491" s="16"/>
    </row>
    <row r="492" ht="15.75" customHeight="1">
      <c r="G492" s="16"/>
    </row>
    <row r="493" ht="15.75" customHeight="1">
      <c r="G493" s="16"/>
    </row>
    <row r="494" ht="15.75" customHeight="1">
      <c r="G494" s="16"/>
    </row>
    <row r="495" ht="15.75" customHeight="1">
      <c r="G495" s="16"/>
    </row>
    <row r="496" ht="15.75" customHeight="1">
      <c r="G496" s="16"/>
    </row>
    <row r="497" ht="15.75" customHeight="1">
      <c r="G497" s="16"/>
    </row>
    <row r="498" ht="15.75" customHeight="1">
      <c r="G498" s="16"/>
    </row>
    <row r="499" ht="15.75" customHeight="1">
      <c r="G499" s="16"/>
    </row>
    <row r="500" ht="15.75" customHeight="1">
      <c r="G500" s="16"/>
    </row>
    <row r="501" ht="15.75" customHeight="1">
      <c r="G501" s="16"/>
    </row>
    <row r="502" ht="15.75" customHeight="1">
      <c r="G502" s="16"/>
    </row>
    <row r="503" ht="15.75" customHeight="1">
      <c r="G503" s="16"/>
    </row>
    <row r="504" ht="15.75" customHeight="1">
      <c r="G504" s="16"/>
    </row>
    <row r="505" ht="15.75" customHeight="1">
      <c r="G505" s="16"/>
    </row>
    <row r="506" ht="15.75" customHeight="1">
      <c r="G506" s="16"/>
    </row>
    <row r="507" ht="15.75" customHeight="1">
      <c r="G507" s="16"/>
    </row>
    <row r="508" ht="15.75" customHeight="1">
      <c r="G508" s="16"/>
    </row>
    <row r="509" ht="15.75" customHeight="1">
      <c r="G509" s="16"/>
    </row>
    <row r="510" ht="15.75" customHeight="1">
      <c r="G510" s="16"/>
    </row>
    <row r="511" ht="15.75" customHeight="1">
      <c r="G511" s="16"/>
    </row>
    <row r="512" ht="15.75" customHeight="1">
      <c r="G512" s="16"/>
    </row>
    <row r="513" ht="15.75" customHeight="1">
      <c r="G513" s="16"/>
    </row>
    <row r="514" ht="15.75" customHeight="1">
      <c r="G514" s="16"/>
    </row>
    <row r="515" ht="15.75" customHeight="1">
      <c r="G515" s="16"/>
    </row>
    <row r="516" ht="15.75" customHeight="1">
      <c r="G516" s="16"/>
    </row>
    <row r="517" ht="15.75" customHeight="1">
      <c r="G517" s="16"/>
    </row>
    <row r="518" ht="15.75" customHeight="1">
      <c r="G518" s="16"/>
    </row>
    <row r="519" ht="15.75" customHeight="1">
      <c r="G519" s="16"/>
    </row>
    <row r="520" ht="15.75" customHeight="1">
      <c r="G520" s="16"/>
    </row>
    <row r="521" ht="15.75" customHeight="1">
      <c r="G521" s="16"/>
    </row>
    <row r="522" ht="15.75" customHeight="1">
      <c r="G522" s="16"/>
    </row>
    <row r="523" ht="15.75" customHeight="1">
      <c r="G523" s="16"/>
    </row>
    <row r="524" ht="15.75" customHeight="1">
      <c r="G524" s="16"/>
    </row>
    <row r="525" ht="15.75" customHeight="1">
      <c r="G525" s="16"/>
    </row>
    <row r="526" ht="15.75" customHeight="1">
      <c r="G526" s="16"/>
    </row>
    <row r="527" ht="15.75" customHeight="1">
      <c r="G527" s="16"/>
    </row>
    <row r="528" ht="15.75" customHeight="1">
      <c r="G528" s="16"/>
    </row>
    <row r="529" ht="15.75" customHeight="1">
      <c r="G529" s="16"/>
    </row>
    <row r="530" ht="15.75" customHeight="1">
      <c r="G530" s="16"/>
    </row>
    <row r="531" ht="15.75" customHeight="1">
      <c r="G531" s="16"/>
    </row>
    <row r="532" ht="15.75" customHeight="1">
      <c r="G532" s="16"/>
    </row>
    <row r="533" ht="15.75" customHeight="1">
      <c r="G533" s="16"/>
    </row>
    <row r="534" ht="15.75" customHeight="1">
      <c r="G534" s="16"/>
    </row>
    <row r="535" ht="15.75" customHeight="1">
      <c r="G535" s="16"/>
    </row>
    <row r="536" ht="15.75" customHeight="1">
      <c r="G536" s="16"/>
    </row>
    <row r="537" ht="15.75" customHeight="1">
      <c r="G537" s="16"/>
    </row>
    <row r="538" ht="15.75" customHeight="1">
      <c r="G538" s="16"/>
    </row>
    <row r="539" ht="15.75" customHeight="1">
      <c r="G539" s="16"/>
    </row>
    <row r="540" ht="15.75" customHeight="1">
      <c r="G540" s="16"/>
    </row>
    <row r="541" ht="15.75" customHeight="1">
      <c r="G541" s="16"/>
    </row>
    <row r="542" ht="15.75" customHeight="1">
      <c r="G542" s="16"/>
    </row>
    <row r="543" ht="15.75" customHeight="1">
      <c r="G543" s="16"/>
    </row>
    <row r="544" ht="15.75" customHeight="1">
      <c r="G544" s="16"/>
    </row>
    <row r="545" ht="15.75" customHeight="1">
      <c r="G545" s="16"/>
    </row>
    <row r="546" ht="15.75" customHeight="1">
      <c r="G546" s="16"/>
    </row>
    <row r="547" ht="15.75" customHeight="1">
      <c r="G547" s="16"/>
    </row>
    <row r="548" ht="15.75" customHeight="1">
      <c r="G548" s="16"/>
    </row>
    <row r="549" ht="15.75" customHeight="1">
      <c r="G549" s="16"/>
    </row>
    <row r="550" ht="15.75" customHeight="1">
      <c r="G550" s="16"/>
    </row>
    <row r="551" ht="15.75" customHeight="1">
      <c r="G551" s="16"/>
    </row>
    <row r="552" ht="15.75" customHeight="1">
      <c r="G552" s="16"/>
    </row>
    <row r="553" ht="15.75" customHeight="1">
      <c r="G553" s="16"/>
    </row>
    <row r="554" ht="15.75" customHeight="1">
      <c r="G554" s="16"/>
    </row>
    <row r="555" ht="15.75" customHeight="1">
      <c r="G555" s="16"/>
    </row>
    <row r="556" ht="15.75" customHeight="1">
      <c r="G556" s="16"/>
    </row>
    <row r="557" ht="15.75" customHeight="1">
      <c r="G557" s="16"/>
    </row>
    <row r="558" ht="15.75" customHeight="1">
      <c r="G558" s="16"/>
    </row>
    <row r="559" ht="15.75" customHeight="1">
      <c r="G559" s="16"/>
    </row>
    <row r="560" ht="15.75" customHeight="1">
      <c r="G560" s="16"/>
    </row>
    <row r="561" ht="15.75" customHeight="1">
      <c r="G561" s="16"/>
    </row>
    <row r="562" ht="15.75" customHeight="1">
      <c r="G562" s="16"/>
    </row>
    <row r="563" ht="15.75" customHeight="1">
      <c r="G563" s="16"/>
    </row>
    <row r="564" ht="15.75" customHeight="1">
      <c r="G564" s="16"/>
    </row>
    <row r="565" ht="15.75" customHeight="1">
      <c r="G565" s="16"/>
    </row>
    <row r="566" ht="15.75" customHeight="1">
      <c r="G566" s="16"/>
    </row>
    <row r="567" ht="15.75" customHeight="1">
      <c r="G567" s="16"/>
    </row>
    <row r="568" ht="15.75" customHeight="1">
      <c r="G568" s="16"/>
    </row>
    <row r="569" ht="15.75" customHeight="1">
      <c r="G569" s="16"/>
    </row>
    <row r="570" ht="15.75" customHeight="1">
      <c r="G570" s="16"/>
    </row>
    <row r="571" ht="15.75" customHeight="1">
      <c r="G571" s="16"/>
    </row>
    <row r="572" ht="15.75" customHeight="1">
      <c r="G572" s="16"/>
    </row>
    <row r="573" ht="15.75" customHeight="1">
      <c r="G573" s="16"/>
    </row>
    <row r="574" ht="15.75" customHeight="1">
      <c r="G574" s="16"/>
    </row>
    <row r="575" ht="15.75" customHeight="1">
      <c r="G575" s="16"/>
    </row>
    <row r="576" ht="15.75" customHeight="1">
      <c r="G576" s="16"/>
    </row>
    <row r="577" ht="15.75" customHeight="1">
      <c r="G577" s="16"/>
    </row>
    <row r="578" ht="15.75" customHeight="1">
      <c r="G578" s="16"/>
    </row>
    <row r="579" ht="15.75" customHeight="1">
      <c r="G579" s="16"/>
    </row>
    <row r="580" ht="15.75" customHeight="1">
      <c r="G580" s="16"/>
    </row>
    <row r="581" ht="15.75" customHeight="1">
      <c r="G581" s="16"/>
    </row>
    <row r="582" ht="15.75" customHeight="1">
      <c r="G582" s="16"/>
    </row>
    <row r="583" ht="15.75" customHeight="1">
      <c r="G583" s="16"/>
    </row>
    <row r="584" ht="15.75" customHeight="1">
      <c r="G584" s="16"/>
    </row>
    <row r="585" ht="15.75" customHeight="1">
      <c r="G585" s="16"/>
    </row>
    <row r="586" ht="15.75" customHeight="1">
      <c r="G586" s="16"/>
    </row>
    <row r="587" ht="15.75" customHeight="1">
      <c r="G587" s="16"/>
    </row>
    <row r="588" ht="15.75" customHeight="1">
      <c r="G588" s="16"/>
    </row>
    <row r="589" ht="15.75" customHeight="1">
      <c r="G589" s="16"/>
    </row>
    <row r="590" ht="15.75" customHeight="1">
      <c r="G590" s="16"/>
    </row>
    <row r="591" ht="15.75" customHeight="1">
      <c r="G591" s="16"/>
    </row>
    <row r="592" ht="15.75" customHeight="1">
      <c r="G592" s="16"/>
    </row>
    <row r="593" ht="15.75" customHeight="1">
      <c r="G593" s="16"/>
    </row>
    <row r="594" ht="15.75" customHeight="1">
      <c r="G594" s="16"/>
    </row>
    <row r="595" ht="15.75" customHeight="1">
      <c r="G595" s="16"/>
    </row>
    <row r="596" ht="15.75" customHeight="1">
      <c r="G596" s="16"/>
    </row>
    <row r="597" ht="15.75" customHeight="1">
      <c r="G597" s="16"/>
    </row>
    <row r="598" ht="15.75" customHeight="1">
      <c r="G598" s="16"/>
    </row>
    <row r="599" ht="15.75" customHeight="1">
      <c r="G599" s="16"/>
    </row>
    <row r="600" ht="15.75" customHeight="1">
      <c r="G600" s="16"/>
    </row>
    <row r="601" ht="15.75" customHeight="1">
      <c r="G601" s="16"/>
    </row>
    <row r="602" ht="15.75" customHeight="1">
      <c r="G602" s="16"/>
    </row>
    <row r="603" ht="15.75" customHeight="1">
      <c r="G603" s="16"/>
    </row>
    <row r="604" ht="15.75" customHeight="1">
      <c r="G604" s="16"/>
    </row>
    <row r="605" ht="15.75" customHeight="1">
      <c r="G605" s="16"/>
    </row>
    <row r="606" ht="15.75" customHeight="1">
      <c r="G606" s="16"/>
    </row>
    <row r="607" ht="15.75" customHeight="1">
      <c r="G607" s="16"/>
    </row>
    <row r="608" ht="15.75" customHeight="1">
      <c r="G608" s="16"/>
    </row>
    <row r="609" ht="15.75" customHeight="1">
      <c r="G609" s="16"/>
    </row>
    <row r="610" ht="15.75" customHeight="1">
      <c r="G610" s="16"/>
    </row>
    <row r="611" ht="15.75" customHeight="1">
      <c r="G611" s="16"/>
    </row>
    <row r="612" ht="15.75" customHeight="1">
      <c r="G612" s="16"/>
    </row>
    <row r="613" ht="15.75" customHeight="1">
      <c r="G613" s="16"/>
    </row>
    <row r="614" ht="15.75" customHeight="1">
      <c r="G614" s="16"/>
    </row>
    <row r="615" ht="15.75" customHeight="1">
      <c r="G615" s="16"/>
    </row>
    <row r="616" ht="15.75" customHeight="1">
      <c r="G616" s="16"/>
    </row>
    <row r="617" ht="15.75" customHeight="1">
      <c r="G617" s="16"/>
    </row>
    <row r="618" ht="15.75" customHeight="1">
      <c r="G618" s="16"/>
    </row>
    <row r="619" ht="15.75" customHeight="1">
      <c r="G619" s="16"/>
    </row>
    <row r="620" ht="15.75" customHeight="1">
      <c r="G620" s="16"/>
    </row>
    <row r="621" ht="15.75" customHeight="1">
      <c r="G621" s="16"/>
    </row>
    <row r="622" ht="15.75" customHeight="1">
      <c r="G622" s="16"/>
    </row>
    <row r="623" ht="15.75" customHeight="1">
      <c r="G623" s="16"/>
    </row>
    <row r="624" ht="15.75" customHeight="1">
      <c r="G624" s="16"/>
    </row>
    <row r="625" ht="15.75" customHeight="1">
      <c r="G625" s="16"/>
    </row>
    <row r="626" ht="15.75" customHeight="1">
      <c r="G626" s="16"/>
    </row>
    <row r="627" ht="15.75" customHeight="1">
      <c r="G627" s="16"/>
    </row>
    <row r="628" ht="15.75" customHeight="1">
      <c r="G628" s="16"/>
    </row>
    <row r="629" ht="15.75" customHeight="1">
      <c r="G629" s="16"/>
    </row>
    <row r="630" ht="15.75" customHeight="1">
      <c r="G630" s="16"/>
    </row>
    <row r="631" ht="15.75" customHeight="1">
      <c r="G631" s="16"/>
    </row>
    <row r="632" ht="15.75" customHeight="1">
      <c r="G632" s="16"/>
    </row>
    <row r="633" ht="15.75" customHeight="1">
      <c r="G633" s="16"/>
    </row>
    <row r="634" ht="15.75" customHeight="1">
      <c r="G634" s="16"/>
    </row>
    <row r="635" ht="15.75" customHeight="1">
      <c r="G635" s="16"/>
    </row>
    <row r="636" ht="15.75" customHeight="1">
      <c r="G636" s="16"/>
    </row>
    <row r="637" ht="15.75" customHeight="1">
      <c r="G637" s="16"/>
    </row>
    <row r="638" ht="15.75" customHeight="1">
      <c r="G638" s="16"/>
    </row>
    <row r="639" ht="15.75" customHeight="1">
      <c r="G639" s="16"/>
    </row>
    <row r="640" ht="15.75" customHeight="1">
      <c r="G640" s="16"/>
    </row>
    <row r="641" ht="15.75" customHeight="1">
      <c r="G641" s="16"/>
    </row>
    <row r="642" ht="15.75" customHeight="1">
      <c r="G642" s="16"/>
    </row>
    <row r="643" ht="15.75" customHeight="1">
      <c r="G643" s="16"/>
    </row>
    <row r="644" ht="15.75" customHeight="1">
      <c r="G644" s="16"/>
    </row>
    <row r="645" ht="15.75" customHeight="1">
      <c r="G645" s="16"/>
    </row>
    <row r="646" ht="15.75" customHeight="1">
      <c r="G646" s="16"/>
    </row>
    <row r="647" ht="15.75" customHeight="1">
      <c r="G647" s="16"/>
    </row>
    <row r="648" ht="15.75" customHeight="1">
      <c r="G648" s="16"/>
    </row>
    <row r="649" ht="15.75" customHeight="1">
      <c r="G649" s="16"/>
    </row>
    <row r="650" ht="15.75" customHeight="1">
      <c r="G650" s="16"/>
    </row>
    <row r="651" ht="15.75" customHeight="1">
      <c r="G651" s="16"/>
    </row>
    <row r="652" ht="15.75" customHeight="1">
      <c r="G652" s="16"/>
    </row>
    <row r="653" ht="15.75" customHeight="1">
      <c r="G653" s="16"/>
    </row>
    <row r="654" ht="15.75" customHeight="1">
      <c r="G654" s="16"/>
    </row>
    <row r="655" ht="15.75" customHeight="1">
      <c r="G655" s="16"/>
    </row>
    <row r="656" ht="15.75" customHeight="1">
      <c r="G656" s="16"/>
    </row>
    <row r="657" ht="15.75" customHeight="1">
      <c r="G657" s="16"/>
    </row>
    <row r="658" ht="15.75" customHeight="1">
      <c r="G658" s="16"/>
    </row>
    <row r="659" ht="15.75" customHeight="1">
      <c r="G659" s="16"/>
    </row>
    <row r="660" ht="15.75" customHeight="1">
      <c r="G660" s="16"/>
    </row>
    <row r="661" ht="15.75" customHeight="1">
      <c r="G661" s="16"/>
    </row>
    <row r="662" ht="15.75" customHeight="1">
      <c r="G662" s="16"/>
    </row>
    <row r="663" ht="15.75" customHeight="1">
      <c r="G663" s="16"/>
    </row>
    <row r="664" ht="15.75" customHeight="1">
      <c r="G664" s="16"/>
    </row>
    <row r="665" ht="15.75" customHeight="1">
      <c r="G665" s="16"/>
    </row>
    <row r="666" ht="15.75" customHeight="1">
      <c r="G666" s="16"/>
    </row>
    <row r="667" ht="15.75" customHeight="1">
      <c r="G667" s="16"/>
    </row>
    <row r="668" ht="15.75" customHeight="1">
      <c r="G668" s="16"/>
    </row>
    <row r="669" ht="15.75" customHeight="1">
      <c r="G669" s="16"/>
    </row>
    <row r="670" ht="15.75" customHeight="1">
      <c r="G670" s="16"/>
    </row>
    <row r="671" ht="15.75" customHeight="1">
      <c r="G671" s="16"/>
    </row>
    <row r="672" ht="15.75" customHeight="1">
      <c r="G672" s="16"/>
    </row>
    <row r="673" ht="15.75" customHeight="1">
      <c r="G673" s="16"/>
    </row>
    <row r="674" ht="15.75" customHeight="1">
      <c r="G674" s="16"/>
    </row>
    <row r="675" ht="15.75" customHeight="1">
      <c r="G675" s="16"/>
    </row>
    <row r="676" ht="15.75" customHeight="1">
      <c r="G676" s="16"/>
    </row>
    <row r="677" ht="15.75" customHeight="1">
      <c r="G677" s="16"/>
    </row>
    <row r="678" ht="15.75" customHeight="1">
      <c r="G678" s="16"/>
    </row>
    <row r="679" ht="15.75" customHeight="1">
      <c r="G679" s="16"/>
    </row>
    <row r="680" ht="15.75" customHeight="1">
      <c r="G680" s="16"/>
    </row>
    <row r="681" ht="15.75" customHeight="1">
      <c r="G681" s="16"/>
    </row>
    <row r="682" ht="15.75" customHeight="1">
      <c r="G682" s="16"/>
    </row>
    <row r="683" ht="15.75" customHeight="1">
      <c r="G683" s="16"/>
    </row>
    <row r="684" ht="15.75" customHeight="1">
      <c r="G684" s="16"/>
    </row>
    <row r="685" ht="15.75" customHeight="1">
      <c r="G685" s="16"/>
    </row>
    <row r="686" ht="15.75" customHeight="1">
      <c r="G686" s="16"/>
    </row>
    <row r="687" ht="15.75" customHeight="1">
      <c r="G687" s="16"/>
    </row>
    <row r="688" ht="15.75" customHeight="1">
      <c r="G688" s="16"/>
    </row>
    <row r="689" ht="15.75" customHeight="1">
      <c r="G689" s="16"/>
    </row>
    <row r="690" ht="15.75" customHeight="1">
      <c r="G690" s="16"/>
    </row>
    <row r="691" ht="15.75" customHeight="1">
      <c r="G691" s="16"/>
    </row>
    <row r="692" ht="15.75" customHeight="1">
      <c r="G692" s="16"/>
    </row>
    <row r="693" ht="15.75" customHeight="1">
      <c r="G693" s="16"/>
    </row>
    <row r="694" ht="15.75" customHeight="1">
      <c r="G694" s="16"/>
    </row>
    <row r="695" ht="15.75" customHeight="1">
      <c r="G695" s="16"/>
    </row>
    <row r="696" ht="15.75" customHeight="1">
      <c r="G696" s="16"/>
    </row>
    <row r="697" ht="15.75" customHeight="1">
      <c r="G697" s="16"/>
    </row>
    <row r="698" ht="15.75" customHeight="1">
      <c r="G698" s="16"/>
    </row>
    <row r="699" ht="15.75" customHeight="1">
      <c r="G699" s="16"/>
    </row>
    <row r="700" ht="15.75" customHeight="1">
      <c r="G700" s="16"/>
    </row>
    <row r="701" ht="15.75" customHeight="1">
      <c r="G701" s="16"/>
    </row>
    <row r="702" ht="15.75" customHeight="1">
      <c r="G702" s="16"/>
    </row>
    <row r="703" ht="15.75" customHeight="1">
      <c r="G703" s="16"/>
    </row>
    <row r="704" ht="15.75" customHeight="1">
      <c r="G704" s="16"/>
    </row>
    <row r="705" ht="15.75" customHeight="1">
      <c r="G705" s="16"/>
    </row>
    <row r="706" ht="15.75" customHeight="1">
      <c r="G706" s="16"/>
    </row>
    <row r="707" ht="15.75" customHeight="1">
      <c r="G707" s="16"/>
    </row>
    <row r="708" ht="15.75" customHeight="1">
      <c r="G708" s="16"/>
    </row>
    <row r="709" ht="15.75" customHeight="1">
      <c r="G709" s="16"/>
    </row>
    <row r="710" ht="15.75" customHeight="1">
      <c r="G710" s="16"/>
    </row>
    <row r="711" ht="15.75" customHeight="1">
      <c r="G711" s="16"/>
    </row>
    <row r="712" ht="15.75" customHeight="1">
      <c r="G712" s="16"/>
    </row>
    <row r="713" ht="15.75" customHeight="1">
      <c r="G713" s="16"/>
    </row>
    <row r="714" ht="15.75" customHeight="1">
      <c r="G714" s="16"/>
    </row>
    <row r="715" ht="15.75" customHeight="1">
      <c r="G715" s="16"/>
    </row>
    <row r="716" ht="15.75" customHeight="1">
      <c r="G716" s="16"/>
    </row>
    <row r="717" ht="15.75" customHeight="1">
      <c r="G717" s="16"/>
    </row>
    <row r="718" ht="15.75" customHeight="1">
      <c r="G718" s="16"/>
    </row>
    <row r="719" ht="15.75" customHeight="1">
      <c r="G719" s="16"/>
    </row>
    <row r="720" ht="15.75" customHeight="1">
      <c r="G720" s="16"/>
    </row>
    <row r="721" ht="15.75" customHeight="1">
      <c r="G721" s="16"/>
    </row>
    <row r="722" ht="15.75" customHeight="1">
      <c r="G722" s="16"/>
    </row>
    <row r="723" ht="15.75" customHeight="1">
      <c r="G723" s="16"/>
    </row>
    <row r="724" ht="15.75" customHeight="1">
      <c r="G724" s="16"/>
    </row>
    <row r="725" ht="15.75" customHeight="1">
      <c r="G725" s="16"/>
    </row>
    <row r="726" ht="15.75" customHeight="1">
      <c r="G726" s="16"/>
    </row>
    <row r="727" ht="15.75" customHeight="1">
      <c r="G727" s="16"/>
    </row>
    <row r="728" ht="15.75" customHeight="1">
      <c r="G728" s="16"/>
    </row>
    <row r="729" ht="15.75" customHeight="1">
      <c r="G729" s="16"/>
    </row>
    <row r="730" ht="15.75" customHeight="1">
      <c r="G730" s="16"/>
    </row>
    <row r="731" ht="15.75" customHeight="1">
      <c r="G731" s="16"/>
    </row>
    <row r="732" ht="15.75" customHeight="1">
      <c r="G732" s="16"/>
    </row>
    <row r="733" ht="15.75" customHeight="1">
      <c r="G733" s="16"/>
    </row>
    <row r="734" ht="15.75" customHeight="1">
      <c r="G734" s="16"/>
    </row>
    <row r="735" ht="15.75" customHeight="1">
      <c r="G735" s="16"/>
    </row>
    <row r="736" ht="15.75" customHeight="1">
      <c r="G736" s="16"/>
    </row>
    <row r="737" ht="15.75" customHeight="1">
      <c r="G737" s="16"/>
    </row>
    <row r="738" ht="15.75" customHeight="1">
      <c r="G738" s="16"/>
    </row>
    <row r="739" ht="15.75" customHeight="1">
      <c r="G739" s="16"/>
    </row>
    <row r="740" ht="15.75" customHeight="1">
      <c r="G740" s="16"/>
    </row>
    <row r="741" ht="15.75" customHeight="1">
      <c r="G741" s="16"/>
    </row>
    <row r="742" ht="15.75" customHeight="1">
      <c r="G742" s="16"/>
    </row>
    <row r="743" ht="15.75" customHeight="1">
      <c r="G743" s="16"/>
    </row>
    <row r="744" ht="15.75" customHeight="1">
      <c r="G744" s="16"/>
    </row>
    <row r="745" ht="15.75" customHeight="1">
      <c r="G745" s="16"/>
    </row>
    <row r="746" ht="15.75" customHeight="1">
      <c r="G746" s="16"/>
    </row>
    <row r="747" ht="15.75" customHeight="1">
      <c r="G747" s="16"/>
    </row>
    <row r="748" ht="15.75" customHeight="1">
      <c r="G748" s="16"/>
    </row>
    <row r="749" ht="15.75" customHeight="1">
      <c r="G749" s="16"/>
    </row>
    <row r="750" ht="15.75" customHeight="1">
      <c r="G750" s="16"/>
    </row>
    <row r="751" ht="15.75" customHeight="1">
      <c r="G751" s="16"/>
    </row>
    <row r="752" ht="15.75" customHeight="1">
      <c r="G752" s="16"/>
    </row>
    <row r="753" ht="15.75" customHeight="1">
      <c r="G753" s="16"/>
    </row>
    <row r="754" ht="15.75" customHeight="1">
      <c r="G754" s="16"/>
    </row>
    <row r="755" ht="15.75" customHeight="1">
      <c r="G755" s="16"/>
    </row>
    <row r="756" ht="15.75" customHeight="1">
      <c r="G756" s="16"/>
    </row>
    <row r="757" ht="15.75" customHeight="1">
      <c r="G757" s="16"/>
    </row>
    <row r="758" ht="15.75" customHeight="1">
      <c r="G758" s="16"/>
    </row>
    <row r="759" ht="15.75" customHeight="1">
      <c r="G759" s="16"/>
    </row>
    <row r="760" ht="15.75" customHeight="1">
      <c r="G760" s="16"/>
    </row>
    <row r="761" ht="15.75" customHeight="1">
      <c r="G761" s="16"/>
    </row>
    <row r="762" ht="15.75" customHeight="1">
      <c r="G762" s="16"/>
    </row>
    <row r="763" ht="15.75" customHeight="1">
      <c r="G763" s="16"/>
    </row>
    <row r="764" ht="15.75" customHeight="1">
      <c r="G764" s="16"/>
    </row>
    <row r="765" ht="15.75" customHeight="1">
      <c r="G765" s="16"/>
    </row>
    <row r="766" ht="15.75" customHeight="1">
      <c r="G766" s="16"/>
    </row>
    <row r="767" ht="15.75" customHeight="1">
      <c r="G767" s="16"/>
    </row>
    <row r="768" ht="15.75" customHeight="1">
      <c r="G768" s="16"/>
    </row>
    <row r="769" ht="15.75" customHeight="1">
      <c r="G769" s="16"/>
    </row>
    <row r="770" ht="15.75" customHeight="1">
      <c r="G770" s="16"/>
    </row>
    <row r="771" ht="15.75" customHeight="1">
      <c r="G771" s="16"/>
    </row>
    <row r="772" ht="15.75" customHeight="1">
      <c r="G772" s="16"/>
    </row>
    <row r="773" ht="15.75" customHeight="1">
      <c r="G773" s="16"/>
    </row>
    <row r="774" ht="15.75" customHeight="1">
      <c r="G774" s="16"/>
    </row>
    <row r="775" ht="15.75" customHeight="1">
      <c r="G775" s="16"/>
    </row>
    <row r="776" ht="15.75" customHeight="1">
      <c r="G776" s="16"/>
    </row>
    <row r="777" ht="15.75" customHeight="1">
      <c r="G777" s="16"/>
    </row>
    <row r="778" ht="15.75" customHeight="1">
      <c r="G778" s="16"/>
    </row>
    <row r="779" ht="15.75" customHeight="1">
      <c r="G779" s="16"/>
    </row>
    <row r="780" ht="15.75" customHeight="1">
      <c r="G780" s="16"/>
    </row>
    <row r="781" ht="15.75" customHeight="1">
      <c r="G781" s="16"/>
    </row>
    <row r="782" ht="15.75" customHeight="1">
      <c r="G782" s="16"/>
    </row>
    <row r="783" ht="15.75" customHeight="1">
      <c r="G783" s="16"/>
    </row>
    <row r="784" ht="15.75" customHeight="1">
      <c r="G784" s="16"/>
    </row>
    <row r="785" ht="15.75" customHeight="1">
      <c r="G785" s="16"/>
    </row>
    <row r="786" ht="15.75" customHeight="1">
      <c r="G786" s="16"/>
    </row>
    <row r="787" ht="15.75" customHeight="1">
      <c r="G787" s="16"/>
    </row>
    <row r="788" ht="15.75" customHeight="1">
      <c r="G788" s="16"/>
    </row>
    <row r="789" ht="15.75" customHeight="1">
      <c r="G789" s="16"/>
    </row>
    <row r="790" ht="15.75" customHeight="1">
      <c r="G790" s="16"/>
    </row>
    <row r="791" ht="15.75" customHeight="1">
      <c r="G791" s="16"/>
    </row>
    <row r="792" ht="15.75" customHeight="1">
      <c r="G792" s="16"/>
    </row>
    <row r="793" ht="15.75" customHeight="1">
      <c r="G793" s="16"/>
    </row>
    <row r="794" ht="15.75" customHeight="1">
      <c r="G794" s="16"/>
    </row>
    <row r="795" ht="15.75" customHeight="1">
      <c r="G795" s="16"/>
    </row>
    <row r="796" ht="15.75" customHeight="1">
      <c r="G796" s="16"/>
    </row>
    <row r="797" ht="15.75" customHeight="1">
      <c r="G797" s="16"/>
    </row>
    <row r="798" ht="15.75" customHeight="1">
      <c r="G798" s="16"/>
    </row>
    <row r="799" ht="15.75" customHeight="1">
      <c r="G799" s="16"/>
    </row>
    <row r="800" ht="15.75" customHeight="1">
      <c r="G800" s="16"/>
    </row>
    <row r="801" ht="15.75" customHeight="1">
      <c r="G801" s="16"/>
    </row>
    <row r="802" ht="15.75" customHeight="1">
      <c r="G802" s="16"/>
    </row>
    <row r="803" ht="15.75" customHeight="1">
      <c r="G803" s="16"/>
    </row>
    <row r="804" ht="15.75" customHeight="1">
      <c r="G804" s="16"/>
    </row>
    <row r="805" ht="15.75" customHeight="1">
      <c r="G805" s="16"/>
    </row>
    <row r="806" ht="15.75" customHeight="1">
      <c r="G806" s="16"/>
    </row>
    <row r="807" ht="15.75" customHeight="1">
      <c r="G807" s="16"/>
    </row>
    <row r="808" ht="15.75" customHeight="1">
      <c r="G808" s="16"/>
    </row>
    <row r="809" ht="15.75" customHeight="1">
      <c r="G809" s="16"/>
    </row>
    <row r="810" ht="15.75" customHeight="1">
      <c r="G810" s="16"/>
    </row>
    <row r="811" ht="15.75" customHeight="1">
      <c r="G811" s="16"/>
    </row>
    <row r="812" ht="15.75" customHeight="1">
      <c r="G812" s="16"/>
    </row>
    <row r="813" ht="15.75" customHeight="1">
      <c r="G813" s="16"/>
    </row>
    <row r="814" ht="15.75" customHeight="1">
      <c r="G814" s="16"/>
    </row>
    <row r="815" ht="15.75" customHeight="1">
      <c r="G815" s="16"/>
    </row>
    <row r="816" ht="15.75" customHeight="1">
      <c r="G816" s="16"/>
    </row>
    <row r="817" ht="15.75" customHeight="1">
      <c r="G817" s="16"/>
    </row>
    <row r="818" ht="15.75" customHeight="1">
      <c r="G818" s="16"/>
    </row>
    <row r="819" ht="15.75" customHeight="1">
      <c r="G819" s="16"/>
    </row>
    <row r="820" ht="15.75" customHeight="1">
      <c r="G820" s="16"/>
    </row>
    <row r="821" ht="15.75" customHeight="1">
      <c r="G821" s="16"/>
    </row>
    <row r="822" ht="15.75" customHeight="1">
      <c r="G822" s="16"/>
    </row>
    <row r="823" ht="15.75" customHeight="1">
      <c r="G823" s="16"/>
    </row>
    <row r="824" ht="15.75" customHeight="1">
      <c r="G824" s="16"/>
    </row>
    <row r="825" ht="15.75" customHeight="1">
      <c r="G825" s="16"/>
    </row>
    <row r="826" ht="15.75" customHeight="1">
      <c r="G826" s="16"/>
    </row>
    <row r="827" ht="15.75" customHeight="1">
      <c r="G827" s="16"/>
    </row>
    <row r="828" ht="15.75" customHeight="1">
      <c r="G828" s="16"/>
    </row>
    <row r="829" ht="15.75" customHeight="1">
      <c r="G829" s="16"/>
    </row>
    <row r="830" ht="15.75" customHeight="1">
      <c r="G830" s="16"/>
    </row>
    <row r="831" ht="15.75" customHeight="1">
      <c r="G831" s="16"/>
    </row>
    <row r="832" ht="15.75" customHeight="1">
      <c r="G832" s="16"/>
    </row>
    <row r="833" ht="15.75" customHeight="1">
      <c r="G833" s="16"/>
    </row>
    <row r="834" ht="15.75" customHeight="1">
      <c r="G834" s="16"/>
    </row>
    <row r="835" ht="15.75" customHeight="1">
      <c r="G835" s="16"/>
    </row>
    <row r="836" ht="15.75" customHeight="1">
      <c r="G836" s="16"/>
    </row>
    <row r="837" ht="15.75" customHeight="1">
      <c r="G837" s="16"/>
    </row>
    <row r="838" ht="15.75" customHeight="1">
      <c r="G838" s="16"/>
    </row>
    <row r="839" ht="15.75" customHeight="1">
      <c r="G839" s="16"/>
    </row>
    <row r="840" ht="15.75" customHeight="1">
      <c r="G840" s="16"/>
    </row>
    <row r="841" ht="15.75" customHeight="1">
      <c r="G841" s="16"/>
    </row>
    <row r="842" ht="15.75" customHeight="1">
      <c r="G842" s="16"/>
    </row>
    <row r="843" ht="15.75" customHeight="1">
      <c r="G843" s="16"/>
    </row>
    <row r="844" ht="15.75" customHeight="1">
      <c r="G844" s="16"/>
    </row>
    <row r="845" ht="15.75" customHeight="1">
      <c r="G845" s="16"/>
    </row>
    <row r="846" ht="15.75" customHeight="1">
      <c r="G846" s="16"/>
    </row>
    <row r="847" ht="15.75" customHeight="1">
      <c r="G847" s="16"/>
    </row>
    <row r="848" ht="15.75" customHeight="1">
      <c r="G848" s="16"/>
    </row>
    <row r="849" ht="15.75" customHeight="1">
      <c r="G849" s="16"/>
    </row>
    <row r="850" ht="15.75" customHeight="1">
      <c r="G850" s="16"/>
    </row>
    <row r="851" ht="15.75" customHeight="1">
      <c r="G851" s="16"/>
    </row>
    <row r="852" ht="15.75" customHeight="1">
      <c r="G852" s="16"/>
    </row>
    <row r="853" ht="15.75" customHeight="1">
      <c r="G853" s="16"/>
    </row>
    <row r="854" ht="15.75" customHeight="1">
      <c r="G854" s="16"/>
    </row>
    <row r="855" ht="15.75" customHeight="1">
      <c r="G855" s="16"/>
    </row>
    <row r="856" ht="15.75" customHeight="1">
      <c r="G856" s="16"/>
    </row>
    <row r="857" ht="15.75" customHeight="1">
      <c r="G857" s="16"/>
    </row>
    <row r="858" ht="15.75" customHeight="1">
      <c r="G858" s="16"/>
    </row>
    <row r="859" ht="15.75" customHeight="1">
      <c r="G859" s="16"/>
    </row>
    <row r="860" ht="15.75" customHeight="1">
      <c r="G860" s="16"/>
    </row>
    <row r="861" ht="15.75" customHeight="1">
      <c r="G861" s="16"/>
    </row>
    <row r="862" ht="15.75" customHeight="1">
      <c r="G862" s="16"/>
    </row>
    <row r="863" ht="15.75" customHeight="1">
      <c r="G863" s="16"/>
    </row>
    <row r="864" ht="15.75" customHeight="1">
      <c r="G864" s="16"/>
    </row>
    <row r="865" ht="15.75" customHeight="1">
      <c r="G865" s="16"/>
    </row>
    <row r="866" ht="15.75" customHeight="1">
      <c r="G866" s="16"/>
    </row>
    <row r="867" ht="15.75" customHeight="1">
      <c r="G867" s="16"/>
    </row>
    <row r="868" ht="15.75" customHeight="1">
      <c r="G868" s="16"/>
    </row>
    <row r="869" ht="15.75" customHeight="1">
      <c r="G869" s="16"/>
    </row>
    <row r="870" ht="15.75" customHeight="1">
      <c r="G870" s="16"/>
    </row>
    <row r="871" ht="15.75" customHeight="1">
      <c r="G871" s="16"/>
    </row>
    <row r="872" ht="15.75" customHeight="1">
      <c r="G872" s="16"/>
    </row>
    <row r="873" ht="15.75" customHeight="1">
      <c r="G873" s="16"/>
    </row>
    <row r="874" ht="15.75" customHeight="1">
      <c r="G874" s="16"/>
    </row>
    <row r="875" ht="15.75" customHeight="1">
      <c r="G875" s="16"/>
    </row>
    <row r="876" ht="15.75" customHeight="1">
      <c r="G876" s="16"/>
    </row>
    <row r="877" ht="15.75" customHeight="1">
      <c r="G877" s="16"/>
    </row>
    <row r="878" ht="15.75" customHeight="1">
      <c r="G878" s="16"/>
    </row>
    <row r="879" ht="15.75" customHeight="1">
      <c r="G879" s="16"/>
    </row>
    <row r="880" ht="15.75" customHeight="1">
      <c r="G880" s="16"/>
    </row>
    <row r="881" ht="15.75" customHeight="1">
      <c r="G881" s="16"/>
    </row>
    <row r="882" ht="15.75" customHeight="1">
      <c r="G882" s="16"/>
    </row>
    <row r="883" ht="15.75" customHeight="1">
      <c r="G883" s="16"/>
    </row>
    <row r="884" ht="15.75" customHeight="1">
      <c r="G884" s="16"/>
    </row>
    <row r="885" ht="15.75" customHeight="1">
      <c r="G885" s="16"/>
    </row>
    <row r="886" ht="15.75" customHeight="1">
      <c r="G886" s="16"/>
    </row>
    <row r="887" ht="15.75" customHeight="1">
      <c r="G887" s="16"/>
    </row>
    <row r="888" ht="15.75" customHeight="1">
      <c r="G888" s="16"/>
    </row>
    <row r="889" ht="15.75" customHeight="1">
      <c r="G889" s="16"/>
    </row>
    <row r="890" ht="15.75" customHeight="1">
      <c r="G890" s="16"/>
    </row>
    <row r="891" ht="15.75" customHeight="1">
      <c r="G891" s="16"/>
    </row>
    <row r="892" ht="15.75" customHeight="1">
      <c r="G892" s="16"/>
    </row>
    <row r="893" ht="15.75" customHeight="1">
      <c r="G893" s="16"/>
    </row>
    <row r="894" ht="15.75" customHeight="1">
      <c r="G894" s="16"/>
    </row>
    <row r="895" ht="15.75" customHeight="1">
      <c r="G895" s="16"/>
    </row>
    <row r="896" ht="15.75" customHeight="1">
      <c r="G896" s="16"/>
    </row>
    <row r="897" ht="15.75" customHeight="1">
      <c r="G897" s="16"/>
    </row>
    <row r="898" ht="15.75" customHeight="1">
      <c r="G898" s="16"/>
    </row>
    <row r="899" ht="15.75" customHeight="1">
      <c r="G899" s="16"/>
    </row>
    <row r="900" ht="15.75" customHeight="1">
      <c r="G900" s="16"/>
    </row>
    <row r="901" ht="15.75" customHeight="1">
      <c r="G901" s="16"/>
    </row>
    <row r="902" ht="15.75" customHeight="1">
      <c r="G902" s="16"/>
    </row>
    <row r="903" ht="15.75" customHeight="1">
      <c r="G903" s="16"/>
    </row>
    <row r="904" ht="15.75" customHeight="1">
      <c r="G904" s="16"/>
    </row>
    <row r="905" ht="15.75" customHeight="1">
      <c r="G905" s="16"/>
    </row>
    <row r="906" ht="15.75" customHeight="1">
      <c r="G906" s="16"/>
    </row>
    <row r="907" ht="15.75" customHeight="1">
      <c r="G907" s="16"/>
    </row>
    <row r="908" ht="15.75" customHeight="1">
      <c r="G908" s="16"/>
    </row>
    <row r="909" ht="15.75" customHeight="1">
      <c r="G909" s="16"/>
    </row>
    <row r="910" ht="15.75" customHeight="1">
      <c r="G910" s="16"/>
    </row>
    <row r="911" ht="15.75" customHeight="1">
      <c r="G911" s="16"/>
    </row>
    <row r="912" ht="15.75" customHeight="1">
      <c r="G912" s="16"/>
    </row>
    <row r="913" ht="15.75" customHeight="1">
      <c r="G913" s="16"/>
    </row>
    <row r="914" ht="15.75" customHeight="1">
      <c r="G914" s="16"/>
    </row>
    <row r="915" ht="15.75" customHeight="1">
      <c r="G915" s="16"/>
    </row>
    <row r="916" ht="15.75" customHeight="1">
      <c r="G916" s="16"/>
    </row>
    <row r="917" ht="15.75" customHeight="1">
      <c r="G917" s="16"/>
    </row>
    <row r="918" ht="15.75" customHeight="1">
      <c r="G918" s="16"/>
    </row>
    <row r="919" ht="15.75" customHeight="1">
      <c r="G919" s="16"/>
    </row>
    <row r="920" ht="15.75" customHeight="1">
      <c r="G920" s="16"/>
    </row>
    <row r="921" ht="15.75" customHeight="1">
      <c r="G921" s="16"/>
    </row>
    <row r="922" ht="15.75" customHeight="1">
      <c r="G922" s="16"/>
    </row>
    <row r="923" ht="15.75" customHeight="1">
      <c r="G923" s="16"/>
    </row>
    <row r="924" ht="15.75" customHeight="1">
      <c r="G924" s="16"/>
    </row>
    <row r="925" ht="15.75" customHeight="1">
      <c r="G925" s="16"/>
    </row>
    <row r="926" ht="15.75" customHeight="1">
      <c r="G926" s="16"/>
    </row>
    <row r="927" ht="15.75" customHeight="1">
      <c r="G927" s="16"/>
    </row>
    <row r="928" ht="15.75" customHeight="1">
      <c r="G928" s="16"/>
    </row>
    <row r="929" ht="15.75" customHeight="1">
      <c r="G929" s="16"/>
    </row>
    <row r="930" ht="15.75" customHeight="1">
      <c r="G930" s="16"/>
    </row>
    <row r="931" ht="15.75" customHeight="1">
      <c r="G931" s="16"/>
    </row>
    <row r="932" ht="15.75" customHeight="1">
      <c r="G932" s="16"/>
    </row>
    <row r="933" ht="15.75" customHeight="1">
      <c r="G933" s="16"/>
    </row>
    <row r="934" ht="15.75" customHeight="1">
      <c r="G934" s="16"/>
    </row>
    <row r="935" ht="15.75" customHeight="1">
      <c r="G935" s="16"/>
    </row>
    <row r="936" ht="15.75" customHeight="1">
      <c r="G936" s="16"/>
    </row>
    <row r="937" ht="15.75" customHeight="1">
      <c r="G937" s="16"/>
    </row>
    <row r="938" ht="15.75" customHeight="1">
      <c r="G938" s="16"/>
    </row>
    <row r="939" ht="15.75" customHeight="1">
      <c r="G939" s="16"/>
    </row>
    <row r="940" ht="15.75" customHeight="1">
      <c r="G940" s="16"/>
    </row>
    <row r="941" ht="15.75" customHeight="1">
      <c r="G941" s="16"/>
    </row>
    <row r="942" ht="15.75" customHeight="1">
      <c r="G942" s="16"/>
    </row>
    <row r="943" ht="15.75" customHeight="1">
      <c r="G943" s="16"/>
    </row>
    <row r="944" ht="15.75" customHeight="1">
      <c r="G944" s="16"/>
    </row>
    <row r="945" ht="15.75" customHeight="1">
      <c r="G945" s="16"/>
    </row>
    <row r="946" ht="15.75" customHeight="1">
      <c r="G946" s="16"/>
    </row>
    <row r="947" ht="15.75" customHeight="1">
      <c r="G947" s="16"/>
    </row>
    <row r="948" ht="15.75" customHeight="1">
      <c r="G948" s="16"/>
    </row>
    <row r="949" ht="15.75" customHeight="1">
      <c r="G949" s="16"/>
    </row>
    <row r="950" ht="15.75" customHeight="1">
      <c r="G950" s="16"/>
    </row>
    <row r="951" ht="15.75" customHeight="1">
      <c r="G951" s="16"/>
    </row>
    <row r="952" ht="15.75" customHeight="1">
      <c r="G952" s="16"/>
    </row>
    <row r="953" ht="15.75" customHeight="1">
      <c r="G953" s="16"/>
    </row>
    <row r="954" ht="15.75" customHeight="1">
      <c r="G954" s="16"/>
    </row>
    <row r="955" ht="15.75" customHeight="1">
      <c r="G955" s="16"/>
    </row>
    <row r="956" ht="15.75" customHeight="1">
      <c r="G956" s="16"/>
    </row>
    <row r="957" ht="15.75" customHeight="1">
      <c r="G957" s="16"/>
    </row>
    <row r="958" ht="15.75" customHeight="1">
      <c r="G958" s="16"/>
    </row>
    <row r="959" ht="15.75" customHeight="1">
      <c r="G959" s="16"/>
    </row>
    <row r="960" ht="15.75" customHeight="1">
      <c r="G960" s="16"/>
    </row>
    <row r="961" ht="15.75" customHeight="1">
      <c r="G961" s="16"/>
    </row>
    <row r="962" ht="15.75" customHeight="1">
      <c r="G962" s="16"/>
    </row>
    <row r="963" ht="15.75" customHeight="1">
      <c r="G963" s="16"/>
    </row>
    <row r="964" ht="15.75" customHeight="1">
      <c r="G964" s="16"/>
    </row>
    <row r="965" ht="15.75" customHeight="1">
      <c r="G965" s="16"/>
    </row>
    <row r="966" ht="15.75" customHeight="1">
      <c r="G966" s="16"/>
    </row>
    <row r="967" ht="15.75" customHeight="1">
      <c r="G967" s="16"/>
    </row>
    <row r="968" ht="15.75" customHeight="1">
      <c r="G968" s="16"/>
    </row>
    <row r="969" ht="15.75" customHeight="1">
      <c r="G969" s="16"/>
    </row>
    <row r="970" ht="15.75" customHeight="1">
      <c r="G970" s="16"/>
    </row>
    <row r="971" ht="15.75" customHeight="1">
      <c r="G971" s="16"/>
    </row>
    <row r="972" ht="15.75" customHeight="1">
      <c r="G972" s="16"/>
    </row>
    <row r="973" ht="15.75" customHeight="1">
      <c r="G973" s="16"/>
    </row>
    <row r="974" ht="15.75" customHeight="1">
      <c r="G974" s="16"/>
    </row>
    <row r="975" ht="15.75" customHeight="1">
      <c r="G975" s="16"/>
    </row>
    <row r="976" ht="15.75" customHeight="1">
      <c r="G976" s="16"/>
    </row>
    <row r="977" ht="15.75" customHeight="1">
      <c r="G977" s="16"/>
    </row>
    <row r="978" ht="15.75" customHeight="1">
      <c r="G978" s="16"/>
    </row>
    <row r="979" ht="15.75" customHeight="1">
      <c r="G979" s="16"/>
    </row>
    <row r="980" ht="15.75" customHeight="1">
      <c r="G980" s="16"/>
    </row>
    <row r="981" ht="15.75" customHeight="1">
      <c r="G981" s="16"/>
    </row>
    <row r="982" ht="15.75" customHeight="1">
      <c r="G982" s="16"/>
    </row>
    <row r="983" ht="15.75" customHeight="1">
      <c r="G983" s="16"/>
    </row>
    <row r="984" ht="15.75" customHeight="1">
      <c r="G984" s="16"/>
    </row>
    <row r="985" ht="15.75" customHeight="1">
      <c r="G985" s="16"/>
    </row>
    <row r="986" ht="15.75" customHeight="1">
      <c r="G986" s="16"/>
    </row>
    <row r="987" ht="15.75" customHeight="1">
      <c r="G987" s="16"/>
    </row>
    <row r="988" ht="15.75" customHeight="1">
      <c r="G988" s="16"/>
    </row>
    <row r="989" ht="15.75" customHeight="1">
      <c r="G989" s="16"/>
    </row>
    <row r="990" ht="15.75" customHeight="1">
      <c r="G990" s="16"/>
    </row>
    <row r="991" ht="15.75" customHeight="1">
      <c r="G991" s="16"/>
    </row>
    <row r="992" ht="15.75" customHeight="1">
      <c r="G992" s="16"/>
    </row>
    <row r="993" ht="15.75" customHeight="1">
      <c r="G993" s="16"/>
    </row>
    <row r="994" ht="15.75" customHeight="1">
      <c r="G994" s="16"/>
    </row>
    <row r="995" ht="15.75" customHeight="1">
      <c r="G995" s="16"/>
    </row>
    <row r="996" ht="15.75" customHeight="1">
      <c r="G996" s="16"/>
    </row>
    <row r="997" ht="15.75" customHeight="1">
      <c r="G997" s="16"/>
    </row>
    <row r="998" ht="15.75" customHeight="1">
      <c r="G998" s="16"/>
    </row>
    <row r="999" ht="15.75" customHeight="1">
      <c r="G999" s="16"/>
    </row>
    <row r="1000" ht="15.75" customHeight="1">
      <c r="G1000" s="16"/>
    </row>
  </sheetData>
  <mergeCells count="12">
    <mergeCell ref="A3:A19"/>
    <mergeCell ref="A20:A34"/>
    <mergeCell ref="A35:A41"/>
    <mergeCell ref="A42:A53"/>
    <mergeCell ref="A54:A60"/>
    <mergeCell ref="G1:N1"/>
    <mergeCell ref="P1:U1"/>
    <mergeCell ref="W1:AC1"/>
    <mergeCell ref="AD1:AJ1"/>
    <mergeCell ref="AK1:AQ1"/>
    <mergeCell ref="AR1:AT1"/>
    <mergeCell ref="AU1:AW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6.0"/>
    <col customWidth="1" min="6" max="6" width="8.38"/>
    <col customWidth="1" min="7" max="7" width="41.88"/>
    <col customWidth="1" min="8" max="8" width="15.88"/>
    <col customWidth="1" min="9" max="9" width="21.75"/>
    <col customWidth="1" min="10" max="10" width="22.63"/>
    <col customWidth="1" min="11" max="11" width="22.75"/>
    <col customWidth="1" min="12" max="12" width="22.38"/>
    <col customWidth="1" min="13" max="13" width="23.88"/>
    <col customWidth="1" min="14" max="14" width="24.5"/>
    <col customWidth="1" min="16" max="16" width="14.25"/>
    <col customWidth="1" min="17" max="17" width="17.63"/>
    <col customWidth="1" min="18" max="18" width="17.38"/>
    <col customWidth="1" min="19" max="19" width="23.75"/>
    <col customWidth="1" min="20" max="20" width="19.63"/>
    <col customWidth="1" min="21" max="21" width="24.25"/>
    <col customWidth="1" min="22" max="22" width="28.75"/>
    <col customWidth="1" min="23" max="23" width="19.25"/>
    <col customWidth="1" min="24" max="24" width="25.13"/>
    <col customWidth="1" min="25" max="25" width="24.75"/>
    <col customWidth="1" min="26" max="26" width="26.13"/>
    <col customWidth="1" min="27" max="27" width="26.63"/>
    <col customWidth="1" min="28" max="28" width="22.38"/>
    <col customWidth="1" min="29" max="29" width="28.63"/>
    <col customWidth="1" min="30" max="30" width="14.25"/>
    <col customWidth="1" min="31" max="31" width="23.13"/>
    <col customWidth="1" min="32" max="32" width="20.75"/>
    <col customWidth="1" min="33" max="33" width="23.63"/>
    <col customWidth="1" min="34" max="34" width="23.38"/>
    <col customWidth="1" min="35" max="35" width="21.75"/>
    <col customWidth="1" min="36" max="36" width="25.38"/>
    <col customWidth="1" min="37" max="37" width="16.88"/>
    <col customWidth="1" min="38" max="38" width="27.75"/>
    <col customWidth="1" min="39" max="39" width="26.25"/>
    <col customWidth="1" min="40" max="40" width="23.13"/>
    <col customWidth="1" min="41" max="41" width="29.38"/>
    <col customWidth="1" min="42" max="42" width="22.63"/>
    <col customWidth="1" min="43" max="43" width="27.25"/>
    <col customWidth="1" min="44" max="44" width="13.88"/>
    <col customWidth="1" min="45" max="45" width="24.75"/>
    <col customWidth="1" min="46" max="46" width="25.25"/>
    <col customWidth="1" min="48" max="48" width="24.38"/>
    <col customWidth="1" min="49" max="49" width="23.75"/>
    <col customWidth="1" min="50" max="50" width="32.63"/>
    <col customWidth="1" min="51" max="51" width="37.75"/>
    <col customWidth="1" min="52" max="52" width="27.75"/>
    <col customWidth="1" min="53" max="53" width="18.75"/>
  </cols>
  <sheetData>
    <row r="1" ht="15.75" customHeight="1">
      <c r="A1" s="163" t="s">
        <v>0</v>
      </c>
      <c r="B1" s="164" t="s">
        <v>405</v>
      </c>
      <c r="C1" s="165" t="s">
        <v>406</v>
      </c>
      <c r="D1" s="166" t="s">
        <v>3</v>
      </c>
      <c r="E1" s="166" t="s">
        <v>4</v>
      </c>
      <c r="F1" s="166" t="s">
        <v>8</v>
      </c>
      <c r="G1" s="37" t="s">
        <v>407</v>
      </c>
      <c r="H1" s="38"/>
      <c r="I1" s="38"/>
      <c r="J1" s="38"/>
      <c r="K1" s="38"/>
      <c r="L1" s="38"/>
      <c r="M1" s="38"/>
      <c r="N1" s="39"/>
      <c r="O1" s="40" t="s">
        <v>408</v>
      </c>
      <c r="P1" s="41" t="s">
        <v>409</v>
      </c>
      <c r="Q1" s="38"/>
      <c r="R1" s="38"/>
      <c r="S1" s="38"/>
      <c r="T1" s="38"/>
      <c r="U1" s="39"/>
      <c r="V1" s="42" t="s">
        <v>410</v>
      </c>
      <c r="W1" s="41" t="s">
        <v>411</v>
      </c>
      <c r="X1" s="38"/>
      <c r="Y1" s="38"/>
      <c r="Z1" s="38"/>
      <c r="AA1" s="38"/>
      <c r="AB1" s="38"/>
      <c r="AC1" s="39"/>
      <c r="AD1" s="43" t="s">
        <v>412</v>
      </c>
      <c r="AE1" s="44"/>
      <c r="AF1" s="44"/>
      <c r="AG1" s="44"/>
      <c r="AH1" s="44"/>
      <c r="AI1" s="44"/>
      <c r="AJ1" s="45"/>
      <c r="AK1" s="46" t="s">
        <v>413</v>
      </c>
      <c r="AL1" s="44"/>
      <c r="AM1" s="44"/>
      <c r="AN1" s="44"/>
      <c r="AO1" s="44"/>
      <c r="AP1" s="44"/>
      <c r="AQ1" s="45"/>
      <c r="AR1" s="43" t="s">
        <v>414</v>
      </c>
      <c r="AS1" s="44"/>
      <c r="AT1" s="45"/>
      <c r="AU1" s="43" t="s">
        <v>415</v>
      </c>
      <c r="AV1" s="44"/>
      <c r="AW1" s="45"/>
      <c r="AX1" s="47" t="s">
        <v>416</v>
      </c>
      <c r="AY1" s="48" t="s">
        <v>417</v>
      </c>
      <c r="AZ1" s="48" t="s">
        <v>418</v>
      </c>
      <c r="BA1" s="49" t="s">
        <v>463</v>
      </c>
    </row>
    <row r="2" ht="15.75" customHeight="1">
      <c r="A2" s="167"/>
      <c r="B2" s="31"/>
      <c r="C2" s="31"/>
      <c r="D2" s="32"/>
      <c r="E2" s="32"/>
      <c r="F2" s="32"/>
      <c r="G2" s="147" t="s">
        <v>419</v>
      </c>
      <c r="H2" s="52" t="s">
        <v>420</v>
      </c>
      <c r="I2" s="53" t="s">
        <v>597</v>
      </c>
      <c r="J2" s="53" t="s">
        <v>422</v>
      </c>
      <c r="K2" s="54" t="s">
        <v>423</v>
      </c>
      <c r="L2" s="7" t="s">
        <v>424</v>
      </c>
      <c r="M2" s="55" t="s">
        <v>425</v>
      </c>
      <c r="N2" s="56" t="s">
        <v>426</v>
      </c>
      <c r="O2" s="57"/>
      <c r="P2" s="58" t="s">
        <v>427</v>
      </c>
      <c r="Q2" s="55" t="s">
        <v>428</v>
      </c>
      <c r="R2" s="55" t="s">
        <v>429</v>
      </c>
      <c r="S2" s="59" t="s">
        <v>430</v>
      </c>
      <c r="T2" s="7" t="s">
        <v>431</v>
      </c>
      <c r="U2" s="60" t="s">
        <v>432</v>
      </c>
      <c r="V2" s="61" t="s">
        <v>433</v>
      </c>
      <c r="W2" s="58" t="s">
        <v>434</v>
      </c>
      <c r="X2" s="62" t="s">
        <v>435</v>
      </c>
      <c r="Y2" s="55" t="s">
        <v>436</v>
      </c>
      <c r="Z2" s="59" t="s">
        <v>437</v>
      </c>
      <c r="AA2" s="54" t="s">
        <v>438</v>
      </c>
      <c r="AB2" s="54" t="s">
        <v>439</v>
      </c>
      <c r="AC2" s="63" t="s">
        <v>440</v>
      </c>
      <c r="AD2" s="58" t="s">
        <v>441</v>
      </c>
      <c r="AE2" s="62" t="s">
        <v>442</v>
      </c>
      <c r="AF2" s="64" t="s">
        <v>443</v>
      </c>
      <c r="AG2" s="65" t="s">
        <v>444</v>
      </c>
      <c r="AH2" s="13" t="s">
        <v>445</v>
      </c>
      <c r="AI2" s="13" t="s">
        <v>446</v>
      </c>
      <c r="AJ2" s="66" t="s">
        <v>447</v>
      </c>
      <c r="AK2" s="67" t="s">
        <v>448</v>
      </c>
      <c r="AL2" s="64" t="s">
        <v>449</v>
      </c>
      <c r="AM2" s="64" t="s">
        <v>450</v>
      </c>
      <c r="AN2" s="65" t="s">
        <v>451</v>
      </c>
      <c r="AO2" s="13" t="s">
        <v>452</v>
      </c>
      <c r="AP2" s="13" t="s">
        <v>453</v>
      </c>
      <c r="AQ2" s="66" t="s">
        <v>454</v>
      </c>
      <c r="AR2" s="67" t="s">
        <v>455</v>
      </c>
      <c r="AS2" s="64" t="s">
        <v>456</v>
      </c>
      <c r="AT2" s="66" t="s">
        <v>457</v>
      </c>
      <c r="AU2" s="67" t="s">
        <v>458</v>
      </c>
      <c r="AV2" s="64" t="s">
        <v>459</v>
      </c>
      <c r="AW2" s="66" t="s">
        <v>460</v>
      </c>
      <c r="AX2" s="68" t="s">
        <v>461</v>
      </c>
      <c r="AY2" s="68" t="s">
        <v>462</v>
      </c>
      <c r="AZ2" s="98"/>
    </row>
    <row r="3" ht="15.75" customHeight="1">
      <c r="A3" s="8" t="s">
        <v>13</v>
      </c>
      <c r="B3" s="168" t="s">
        <v>14</v>
      </c>
      <c r="C3" s="168" t="s">
        <v>15</v>
      </c>
      <c r="D3" s="169" t="s">
        <v>22</v>
      </c>
      <c r="E3" s="169" t="s">
        <v>598</v>
      </c>
      <c r="F3" s="169" t="s">
        <v>26</v>
      </c>
      <c r="G3" s="145" t="s">
        <v>27</v>
      </c>
      <c r="H3" s="76">
        <v>5.0</v>
      </c>
      <c r="I3" s="74"/>
      <c r="J3" s="74"/>
      <c r="K3" s="77"/>
      <c r="L3" s="74">
        <v>25.0</v>
      </c>
      <c r="M3" s="74">
        <v>1.0</v>
      </c>
      <c r="N3" s="78">
        <f t="shared" ref="N3:N58" si="1">(I3*M3)+(L3*M3*H3)+(J3*O3)</f>
        <v>125</v>
      </c>
      <c r="O3" s="121">
        <v>12.0</v>
      </c>
      <c r="P3" s="151">
        <v>11.0</v>
      </c>
      <c r="Q3" s="76">
        <v>6.0</v>
      </c>
      <c r="R3" s="76">
        <v>700.0</v>
      </c>
      <c r="S3" s="74">
        <f t="shared" ref="S3:S58" si="2">Q3*R3*O3</f>
        <v>50400</v>
      </c>
      <c r="T3" s="74">
        <f t="shared" ref="T3:T58" si="3">Q3*(1+P3%)</f>
        <v>6.66</v>
      </c>
      <c r="U3" s="78">
        <f t="shared" ref="U3:U58" si="4">T3*R3</f>
        <v>4662</v>
      </c>
      <c r="V3" s="80">
        <f t="shared" ref="V3:V58" si="5">(U3*O3)-S3</f>
        <v>5544</v>
      </c>
      <c r="W3" s="170">
        <v>0.0</v>
      </c>
      <c r="X3" s="76">
        <v>400.0</v>
      </c>
      <c r="Y3" s="76">
        <v>1.6</v>
      </c>
      <c r="Z3" s="9">
        <f t="shared" ref="Z3:Z58" si="6">Y3*X3</f>
        <v>640</v>
      </c>
      <c r="AA3" s="9">
        <f t="shared" ref="AA3:AA58" si="7">X3*(1-W3%)</f>
        <v>400</v>
      </c>
      <c r="AB3" s="74">
        <f t="shared" ref="AB3:AB58" si="8"> Z3-(AA3*Y3)</f>
        <v>0</v>
      </c>
      <c r="AC3" s="81">
        <f t="shared" ref="AC3:AC58" si="9">AB3*O3</f>
        <v>0</v>
      </c>
      <c r="AD3" s="84">
        <v>17.0</v>
      </c>
      <c r="AE3" s="76">
        <v>750.0</v>
      </c>
      <c r="AF3" s="83">
        <v>0.55</v>
      </c>
      <c r="AG3" s="9">
        <f t="shared" ref="AG3:AG58" si="10">AF3*AE3</f>
        <v>412.5</v>
      </c>
      <c r="AH3" s="9">
        <f t="shared" ref="AH3:AH58" si="11">AE3*(1-AD3%)</f>
        <v>622.5</v>
      </c>
      <c r="AI3" s="9">
        <f t="shared" ref="AI3:AI58" si="12">AG3-(AH3*AF3)</f>
        <v>70.125</v>
      </c>
      <c r="AJ3" s="12">
        <f t="shared" ref="AJ3:AJ58" si="13">AI3*O3</f>
        <v>841.5</v>
      </c>
      <c r="AK3" s="85">
        <v>0.0</v>
      </c>
      <c r="AL3" s="83">
        <v>1.8</v>
      </c>
      <c r="AM3" s="83">
        <v>25.0</v>
      </c>
      <c r="AN3" s="9">
        <f t="shared" ref="AN3:AN58" si="14">AM3*AL3</f>
        <v>45</v>
      </c>
      <c r="AO3" s="9">
        <f t="shared" ref="AO3:AO58" si="15">AL3*(1-AK3%)</f>
        <v>1.8</v>
      </c>
      <c r="AP3" s="9">
        <f t="shared" ref="AP3:AP58" si="16">AN3-(AO3*AM3)</f>
        <v>0</v>
      </c>
      <c r="AQ3" s="12">
        <f t="shared" ref="AQ3:AQ58" si="17">AP3*O3</f>
        <v>0</v>
      </c>
      <c r="AR3" s="85">
        <v>0.0</v>
      </c>
      <c r="AS3" s="83">
        <v>16000.0</v>
      </c>
      <c r="AT3" s="12">
        <f t="shared" ref="AT3:AT58" si="18">AS3-(AS3*(1-AR3%))</f>
        <v>0</v>
      </c>
      <c r="AU3" s="85">
        <v>0.0</v>
      </c>
      <c r="AV3" s="83">
        <v>5500.0</v>
      </c>
      <c r="AW3" s="12">
        <f t="shared" ref="AW3:AW58" si="19">AV3-(AV3*(1-AU3%))</f>
        <v>0</v>
      </c>
      <c r="AX3" s="86">
        <f t="shared" ref="AX3:AX58" si="20">(AW3+AT3+AQ3+AJ3+AC3+V3)*H3</f>
        <v>31927.5</v>
      </c>
      <c r="AY3" s="87">
        <f t="shared" ref="AY3:AY50" si="21">(AW3+AT3+AQ3+AJ3+AC3+V3)/(N3)*100</f>
        <v>5108.4</v>
      </c>
      <c r="AZ3" s="86">
        <f t="shared" ref="AZ3:AZ58" si="22">AX3-N3</f>
        <v>31802.5</v>
      </c>
      <c r="BA3" s="171"/>
    </row>
    <row r="4" ht="15.75" customHeight="1">
      <c r="A4" s="14"/>
      <c r="B4" s="31" t="s">
        <v>14</v>
      </c>
      <c r="C4" s="31" t="s">
        <v>15</v>
      </c>
      <c r="D4" s="32" t="s">
        <v>29</v>
      </c>
      <c r="E4" s="32" t="s">
        <v>598</v>
      </c>
      <c r="F4" s="32" t="s">
        <v>26</v>
      </c>
      <c r="G4" s="147" t="s">
        <v>27</v>
      </c>
      <c r="H4" s="88">
        <v>5.0</v>
      </c>
      <c r="I4" s="7"/>
      <c r="J4" s="7"/>
      <c r="L4" s="7">
        <v>25.0</v>
      </c>
      <c r="M4" s="7">
        <v>1.0</v>
      </c>
      <c r="N4" s="60">
        <f t="shared" si="1"/>
        <v>125</v>
      </c>
      <c r="O4" s="89">
        <v>12.0</v>
      </c>
      <c r="P4" s="51">
        <v>11.0</v>
      </c>
      <c r="Q4" s="88">
        <v>6.0</v>
      </c>
      <c r="R4" s="88">
        <v>700.0</v>
      </c>
      <c r="S4" s="7">
        <f t="shared" si="2"/>
        <v>50400</v>
      </c>
      <c r="T4" s="7">
        <f t="shared" si="3"/>
        <v>6.66</v>
      </c>
      <c r="U4" s="60">
        <f t="shared" si="4"/>
        <v>4662</v>
      </c>
      <c r="V4" s="125">
        <f t="shared" si="5"/>
        <v>5544</v>
      </c>
      <c r="W4" s="92">
        <v>0.0</v>
      </c>
      <c r="X4" s="88">
        <v>400.0</v>
      </c>
      <c r="Y4" s="88">
        <v>1.6</v>
      </c>
      <c r="Z4" s="13">
        <f t="shared" si="6"/>
        <v>640</v>
      </c>
      <c r="AA4" s="13">
        <f t="shared" si="7"/>
        <v>400</v>
      </c>
      <c r="AB4" s="7">
        <f t="shared" si="8"/>
        <v>0</v>
      </c>
      <c r="AC4" s="93">
        <f t="shared" si="9"/>
        <v>0</v>
      </c>
      <c r="AD4" s="96">
        <v>17.0</v>
      </c>
      <c r="AE4" s="88">
        <v>750.0</v>
      </c>
      <c r="AF4" s="95">
        <v>0.55</v>
      </c>
      <c r="AG4" s="13">
        <f t="shared" si="10"/>
        <v>412.5</v>
      </c>
      <c r="AH4" s="13">
        <f t="shared" si="11"/>
        <v>622.5</v>
      </c>
      <c r="AI4" s="13">
        <f t="shared" si="12"/>
        <v>70.125</v>
      </c>
      <c r="AJ4" s="17">
        <f t="shared" si="13"/>
        <v>841.5</v>
      </c>
      <c r="AK4" s="97">
        <v>0.0</v>
      </c>
      <c r="AL4" s="95">
        <v>1.8</v>
      </c>
      <c r="AM4" s="95">
        <v>25.0</v>
      </c>
      <c r="AN4" s="13">
        <f t="shared" si="14"/>
        <v>45</v>
      </c>
      <c r="AO4" s="13">
        <f t="shared" si="15"/>
        <v>1.8</v>
      </c>
      <c r="AP4" s="13">
        <f t="shared" si="16"/>
        <v>0</v>
      </c>
      <c r="AQ4" s="17">
        <f t="shared" si="17"/>
        <v>0</v>
      </c>
      <c r="AR4" s="97">
        <v>0.0</v>
      </c>
      <c r="AS4" s="95">
        <v>16000.0</v>
      </c>
      <c r="AT4" s="17">
        <f t="shared" si="18"/>
        <v>0</v>
      </c>
      <c r="AU4" s="97">
        <v>0.0</v>
      </c>
      <c r="AV4" s="95">
        <v>5500.0</v>
      </c>
      <c r="AW4" s="17">
        <f t="shared" si="19"/>
        <v>0</v>
      </c>
      <c r="AX4" s="98">
        <f t="shared" si="20"/>
        <v>31927.5</v>
      </c>
      <c r="AY4" s="99">
        <f t="shared" si="21"/>
        <v>5108.4</v>
      </c>
      <c r="AZ4" s="98">
        <f t="shared" si="22"/>
        <v>31802.5</v>
      </c>
      <c r="BA4" s="172"/>
    </row>
    <row r="5" ht="15.75" customHeight="1">
      <c r="A5" s="14"/>
      <c r="B5" s="31" t="s">
        <v>14</v>
      </c>
      <c r="C5" s="31" t="s">
        <v>15</v>
      </c>
      <c r="D5" s="32" t="s">
        <v>85</v>
      </c>
      <c r="E5" s="32" t="s">
        <v>86</v>
      </c>
      <c r="F5" s="32" t="s">
        <v>89</v>
      </c>
      <c r="G5" s="147" t="s">
        <v>471</v>
      </c>
      <c r="H5" s="88">
        <v>5.0</v>
      </c>
      <c r="I5" s="7">
        <v>200.0</v>
      </c>
      <c r="J5" s="7"/>
      <c r="K5" s="54"/>
      <c r="L5" s="7"/>
      <c r="M5" s="7">
        <v>1.0</v>
      </c>
      <c r="N5" s="60">
        <f t="shared" si="1"/>
        <v>200</v>
      </c>
      <c r="O5" s="89">
        <v>12.0</v>
      </c>
      <c r="P5" s="51">
        <v>11.0</v>
      </c>
      <c r="Q5" s="88">
        <v>6.0</v>
      </c>
      <c r="R5" s="88">
        <v>700.0</v>
      </c>
      <c r="S5" s="7">
        <f t="shared" si="2"/>
        <v>50400</v>
      </c>
      <c r="T5" s="7">
        <f t="shared" si="3"/>
        <v>6.66</v>
      </c>
      <c r="U5" s="60">
        <f t="shared" si="4"/>
        <v>4662</v>
      </c>
      <c r="V5" s="125">
        <f t="shared" si="5"/>
        <v>5544</v>
      </c>
      <c r="W5" s="92">
        <v>0.0</v>
      </c>
      <c r="X5" s="88">
        <v>400.0</v>
      </c>
      <c r="Y5" s="88">
        <v>1.6</v>
      </c>
      <c r="Z5" s="13">
        <f t="shared" si="6"/>
        <v>640</v>
      </c>
      <c r="AA5" s="13">
        <f t="shared" si="7"/>
        <v>400</v>
      </c>
      <c r="AB5" s="7">
        <f t="shared" si="8"/>
        <v>0</v>
      </c>
      <c r="AC5" s="93">
        <f t="shared" si="9"/>
        <v>0</v>
      </c>
      <c r="AD5" s="96">
        <v>17.0</v>
      </c>
      <c r="AE5" s="88">
        <v>750.0</v>
      </c>
      <c r="AF5" s="95">
        <v>0.55</v>
      </c>
      <c r="AG5" s="13">
        <f t="shared" si="10"/>
        <v>412.5</v>
      </c>
      <c r="AH5" s="13">
        <f t="shared" si="11"/>
        <v>622.5</v>
      </c>
      <c r="AI5" s="13">
        <f t="shared" si="12"/>
        <v>70.125</v>
      </c>
      <c r="AJ5" s="17">
        <f t="shared" si="13"/>
        <v>841.5</v>
      </c>
      <c r="AK5" s="97">
        <v>0.0</v>
      </c>
      <c r="AL5" s="95">
        <v>1.8</v>
      </c>
      <c r="AM5" s="95">
        <v>25.0</v>
      </c>
      <c r="AN5" s="13">
        <f t="shared" si="14"/>
        <v>45</v>
      </c>
      <c r="AO5" s="13">
        <f t="shared" si="15"/>
        <v>1.8</v>
      </c>
      <c r="AP5" s="13">
        <f t="shared" si="16"/>
        <v>0</v>
      </c>
      <c r="AQ5" s="17">
        <f t="shared" si="17"/>
        <v>0</v>
      </c>
      <c r="AR5" s="97">
        <v>0.0</v>
      </c>
      <c r="AS5" s="95">
        <v>16000.0</v>
      </c>
      <c r="AT5" s="17">
        <f t="shared" si="18"/>
        <v>0</v>
      </c>
      <c r="AU5" s="97">
        <v>0.0</v>
      </c>
      <c r="AV5" s="95">
        <v>5500.0</v>
      </c>
      <c r="AW5" s="17">
        <f t="shared" si="19"/>
        <v>0</v>
      </c>
      <c r="AX5" s="98">
        <f t="shared" si="20"/>
        <v>31927.5</v>
      </c>
      <c r="AY5" s="99">
        <f t="shared" si="21"/>
        <v>3192.75</v>
      </c>
      <c r="AZ5" s="98">
        <f t="shared" si="22"/>
        <v>31727.5</v>
      </c>
      <c r="BA5" s="172"/>
    </row>
    <row r="6" ht="15.75" customHeight="1">
      <c r="A6" s="14"/>
      <c r="B6" s="31" t="s">
        <v>14</v>
      </c>
      <c r="C6" s="31" t="s">
        <v>599</v>
      </c>
      <c r="D6" s="32" t="s">
        <v>130</v>
      </c>
      <c r="E6" s="32" t="s">
        <v>130</v>
      </c>
      <c r="F6" s="32" t="s">
        <v>51</v>
      </c>
      <c r="G6" s="147" t="s">
        <v>493</v>
      </c>
      <c r="H6" s="88">
        <v>5.0</v>
      </c>
      <c r="I6" s="7"/>
      <c r="J6" s="7"/>
      <c r="L6" s="7">
        <v>500.0</v>
      </c>
      <c r="M6" s="7">
        <v>1.0</v>
      </c>
      <c r="N6" s="60">
        <f t="shared" si="1"/>
        <v>2500</v>
      </c>
      <c r="O6" s="89">
        <v>12.0</v>
      </c>
      <c r="P6" s="51">
        <v>11.0</v>
      </c>
      <c r="Q6" s="88">
        <v>6.0</v>
      </c>
      <c r="R6" s="88">
        <v>700.0</v>
      </c>
      <c r="S6" s="7">
        <f t="shared" si="2"/>
        <v>50400</v>
      </c>
      <c r="T6" s="7">
        <f t="shared" si="3"/>
        <v>6.66</v>
      </c>
      <c r="U6" s="60">
        <f t="shared" si="4"/>
        <v>4662</v>
      </c>
      <c r="V6" s="125">
        <f t="shared" si="5"/>
        <v>5544</v>
      </c>
      <c r="W6" s="92">
        <v>0.0</v>
      </c>
      <c r="X6" s="88">
        <v>400.0</v>
      </c>
      <c r="Y6" s="88">
        <v>1.6</v>
      </c>
      <c r="Z6" s="13">
        <f t="shared" si="6"/>
        <v>640</v>
      </c>
      <c r="AA6" s="13">
        <f t="shared" si="7"/>
        <v>400</v>
      </c>
      <c r="AB6" s="7">
        <f t="shared" si="8"/>
        <v>0</v>
      </c>
      <c r="AC6" s="93">
        <f t="shared" si="9"/>
        <v>0</v>
      </c>
      <c r="AD6" s="96">
        <v>17.0</v>
      </c>
      <c r="AE6" s="88">
        <v>750.0</v>
      </c>
      <c r="AF6" s="95">
        <v>0.55</v>
      </c>
      <c r="AG6" s="13">
        <f t="shared" si="10"/>
        <v>412.5</v>
      </c>
      <c r="AH6" s="13">
        <f t="shared" si="11"/>
        <v>622.5</v>
      </c>
      <c r="AI6" s="13">
        <f t="shared" si="12"/>
        <v>70.125</v>
      </c>
      <c r="AJ6" s="17">
        <f t="shared" si="13"/>
        <v>841.5</v>
      </c>
      <c r="AK6" s="96">
        <v>35.0</v>
      </c>
      <c r="AL6" s="95">
        <v>1.8</v>
      </c>
      <c r="AM6" s="95">
        <v>25.0</v>
      </c>
      <c r="AN6" s="13">
        <f t="shared" si="14"/>
        <v>45</v>
      </c>
      <c r="AO6" s="13">
        <f t="shared" si="15"/>
        <v>1.17</v>
      </c>
      <c r="AP6" s="13">
        <f t="shared" si="16"/>
        <v>15.75</v>
      </c>
      <c r="AQ6" s="17">
        <f t="shared" si="17"/>
        <v>189</v>
      </c>
      <c r="AR6" s="97">
        <v>0.0</v>
      </c>
      <c r="AS6" s="95">
        <v>16000.0</v>
      </c>
      <c r="AT6" s="17">
        <f t="shared" si="18"/>
        <v>0</v>
      </c>
      <c r="AU6" s="97">
        <v>0.0</v>
      </c>
      <c r="AV6" s="95">
        <v>5500.0</v>
      </c>
      <c r="AW6" s="17">
        <f t="shared" si="19"/>
        <v>0</v>
      </c>
      <c r="AX6" s="98">
        <f t="shared" si="20"/>
        <v>32872.5</v>
      </c>
      <c r="AY6" s="99">
        <f t="shared" si="21"/>
        <v>262.98</v>
      </c>
      <c r="AZ6" s="98">
        <f t="shared" si="22"/>
        <v>30372.5</v>
      </c>
      <c r="BA6" s="172"/>
    </row>
    <row r="7" ht="15.75" customHeight="1">
      <c r="A7" s="14"/>
      <c r="B7" s="31" t="s">
        <v>36</v>
      </c>
      <c r="C7" s="31" t="s">
        <v>91</v>
      </c>
      <c r="D7" s="32" t="s">
        <v>46</v>
      </c>
      <c r="E7" s="32" t="s">
        <v>47</v>
      </c>
      <c r="F7" s="32" t="s">
        <v>51</v>
      </c>
      <c r="G7" s="147" t="s">
        <v>52</v>
      </c>
      <c r="H7" s="88">
        <v>5.0</v>
      </c>
      <c r="I7" s="7">
        <v>4900.0</v>
      </c>
      <c r="J7" s="7"/>
      <c r="K7" s="13">
        <v>150.0</v>
      </c>
      <c r="L7" s="7">
        <f>K7*12</f>
        <v>1800</v>
      </c>
      <c r="M7" s="7">
        <v>1.0</v>
      </c>
      <c r="N7" s="60">
        <f t="shared" si="1"/>
        <v>13900</v>
      </c>
      <c r="O7" s="89">
        <v>12.0</v>
      </c>
      <c r="P7" s="51">
        <v>11.0</v>
      </c>
      <c r="Q7" s="88">
        <v>6.0</v>
      </c>
      <c r="R7" s="88">
        <v>700.0</v>
      </c>
      <c r="S7" s="7">
        <f t="shared" si="2"/>
        <v>50400</v>
      </c>
      <c r="T7" s="7">
        <f t="shared" si="3"/>
        <v>6.66</v>
      </c>
      <c r="U7" s="60">
        <f t="shared" si="4"/>
        <v>4662</v>
      </c>
      <c r="V7" s="125">
        <f t="shared" si="5"/>
        <v>5544</v>
      </c>
      <c r="W7" s="92">
        <v>0.0</v>
      </c>
      <c r="X7" s="88">
        <v>400.0</v>
      </c>
      <c r="Y7" s="88">
        <v>1.6</v>
      </c>
      <c r="Z7" s="13">
        <f t="shared" si="6"/>
        <v>640</v>
      </c>
      <c r="AA7" s="13">
        <f t="shared" si="7"/>
        <v>400</v>
      </c>
      <c r="AB7" s="7">
        <f t="shared" si="8"/>
        <v>0</v>
      </c>
      <c r="AC7" s="93">
        <f t="shared" si="9"/>
        <v>0</v>
      </c>
      <c r="AD7" s="97">
        <v>0.0</v>
      </c>
      <c r="AE7" s="88">
        <v>750.0</v>
      </c>
      <c r="AF7" s="95">
        <v>0.55</v>
      </c>
      <c r="AG7" s="13">
        <f t="shared" si="10"/>
        <v>412.5</v>
      </c>
      <c r="AH7" s="13">
        <f t="shared" si="11"/>
        <v>750</v>
      </c>
      <c r="AI7" s="13">
        <f t="shared" si="12"/>
        <v>0</v>
      </c>
      <c r="AJ7" s="17">
        <f t="shared" si="13"/>
        <v>0</v>
      </c>
      <c r="AK7" s="96">
        <v>35.0</v>
      </c>
      <c r="AL7" s="95">
        <v>1.8</v>
      </c>
      <c r="AM7" s="95">
        <v>25.0</v>
      </c>
      <c r="AN7" s="13">
        <f t="shared" si="14"/>
        <v>45</v>
      </c>
      <c r="AO7" s="13">
        <f t="shared" si="15"/>
        <v>1.17</v>
      </c>
      <c r="AP7" s="13">
        <f t="shared" si="16"/>
        <v>15.75</v>
      </c>
      <c r="AQ7" s="17">
        <f t="shared" si="17"/>
        <v>189</v>
      </c>
      <c r="AR7" s="97">
        <v>0.0</v>
      </c>
      <c r="AS7" s="95">
        <v>16000.0</v>
      </c>
      <c r="AT7" s="17">
        <f t="shared" si="18"/>
        <v>0</v>
      </c>
      <c r="AU7" s="97">
        <v>0.0</v>
      </c>
      <c r="AV7" s="95">
        <v>5500.0</v>
      </c>
      <c r="AW7" s="17">
        <f t="shared" si="19"/>
        <v>0</v>
      </c>
      <c r="AX7" s="98">
        <f t="shared" si="20"/>
        <v>28665</v>
      </c>
      <c r="AY7" s="99">
        <f t="shared" si="21"/>
        <v>41.24460432</v>
      </c>
      <c r="AZ7" s="98">
        <f t="shared" si="22"/>
        <v>14765</v>
      </c>
      <c r="BA7" s="172"/>
    </row>
    <row r="8" ht="15.75" customHeight="1">
      <c r="A8" s="14"/>
      <c r="B8" s="31" t="s">
        <v>36</v>
      </c>
      <c r="C8" s="31" t="s">
        <v>91</v>
      </c>
      <c r="D8" s="32" t="s">
        <v>53</v>
      </c>
      <c r="E8" s="32" t="s">
        <v>54</v>
      </c>
      <c r="F8" s="32" t="s">
        <v>51</v>
      </c>
      <c r="G8" s="147" t="s">
        <v>484</v>
      </c>
      <c r="H8" s="88">
        <v>5.0</v>
      </c>
      <c r="I8" s="7"/>
      <c r="J8" s="7"/>
      <c r="L8" s="7">
        <v>30.0</v>
      </c>
      <c r="M8" s="7">
        <v>1.0</v>
      </c>
      <c r="N8" s="60">
        <f t="shared" si="1"/>
        <v>150</v>
      </c>
      <c r="O8" s="89">
        <v>12.0</v>
      </c>
      <c r="P8" s="51">
        <v>11.0</v>
      </c>
      <c r="Q8" s="88">
        <v>6.0</v>
      </c>
      <c r="R8" s="88">
        <v>700.0</v>
      </c>
      <c r="S8" s="7">
        <f t="shared" si="2"/>
        <v>50400</v>
      </c>
      <c r="T8" s="7">
        <f t="shared" si="3"/>
        <v>6.66</v>
      </c>
      <c r="U8" s="60">
        <f t="shared" si="4"/>
        <v>4662</v>
      </c>
      <c r="V8" s="125">
        <f t="shared" si="5"/>
        <v>5544</v>
      </c>
      <c r="W8" s="92">
        <v>0.0</v>
      </c>
      <c r="X8" s="88">
        <v>400.0</v>
      </c>
      <c r="Y8" s="88">
        <v>1.6</v>
      </c>
      <c r="Z8" s="13">
        <f t="shared" si="6"/>
        <v>640</v>
      </c>
      <c r="AA8" s="13">
        <f t="shared" si="7"/>
        <v>400</v>
      </c>
      <c r="AB8" s="7">
        <f t="shared" si="8"/>
        <v>0</v>
      </c>
      <c r="AC8" s="93">
        <f t="shared" si="9"/>
        <v>0</v>
      </c>
      <c r="AD8" s="97">
        <v>0.0</v>
      </c>
      <c r="AE8" s="88">
        <v>750.0</v>
      </c>
      <c r="AF8" s="95">
        <v>0.55</v>
      </c>
      <c r="AG8" s="13">
        <f t="shared" si="10"/>
        <v>412.5</v>
      </c>
      <c r="AH8" s="13">
        <f t="shared" si="11"/>
        <v>750</v>
      </c>
      <c r="AI8" s="13">
        <f t="shared" si="12"/>
        <v>0</v>
      </c>
      <c r="AJ8" s="17">
        <f t="shared" si="13"/>
        <v>0</v>
      </c>
      <c r="AK8" s="96">
        <v>35.0</v>
      </c>
      <c r="AL8" s="95">
        <v>1.8</v>
      </c>
      <c r="AM8" s="95">
        <v>25.0</v>
      </c>
      <c r="AN8" s="13">
        <f t="shared" si="14"/>
        <v>45</v>
      </c>
      <c r="AO8" s="13">
        <f t="shared" si="15"/>
        <v>1.17</v>
      </c>
      <c r="AP8" s="13">
        <f t="shared" si="16"/>
        <v>15.75</v>
      </c>
      <c r="AQ8" s="17">
        <f t="shared" si="17"/>
        <v>189</v>
      </c>
      <c r="AR8" s="97">
        <v>0.0</v>
      </c>
      <c r="AS8" s="95">
        <v>16000.0</v>
      </c>
      <c r="AT8" s="17">
        <f t="shared" si="18"/>
        <v>0</v>
      </c>
      <c r="AU8" s="97">
        <v>0.0</v>
      </c>
      <c r="AV8" s="95">
        <v>5500.0</v>
      </c>
      <c r="AW8" s="17">
        <f t="shared" si="19"/>
        <v>0</v>
      </c>
      <c r="AX8" s="98">
        <f t="shared" si="20"/>
        <v>28665</v>
      </c>
      <c r="AY8" s="99">
        <f t="shared" si="21"/>
        <v>3822</v>
      </c>
      <c r="AZ8" s="98">
        <f t="shared" si="22"/>
        <v>28515</v>
      </c>
      <c r="BA8" s="172"/>
    </row>
    <row r="9" ht="15.75" customHeight="1">
      <c r="A9" s="14"/>
      <c r="B9" s="31" t="s">
        <v>36</v>
      </c>
      <c r="C9" s="31" t="s">
        <v>91</v>
      </c>
      <c r="D9" s="32" t="s">
        <v>485</v>
      </c>
      <c r="E9" s="32" t="s">
        <v>60</v>
      </c>
      <c r="F9" s="32" t="s">
        <v>51</v>
      </c>
      <c r="G9" s="147" t="s">
        <v>486</v>
      </c>
      <c r="H9" s="88">
        <v>5.0</v>
      </c>
      <c r="I9" s="7"/>
      <c r="J9" s="7"/>
      <c r="L9" s="7">
        <v>250.0</v>
      </c>
      <c r="M9" s="7">
        <v>1.0</v>
      </c>
      <c r="N9" s="60">
        <f t="shared" si="1"/>
        <v>1250</v>
      </c>
      <c r="O9" s="89">
        <v>12.0</v>
      </c>
      <c r="P9" s="51">
        <v>11.0</v>
      </c>
      <c r="Q9" s="88">
        <v>6.0</v>
      </c>
      <c r="R9" s="88">
        <v>700.0</v>
      </c>
      <c r="S9" s="7">
        <f t="shared" si="2"/>
        <v>50400</v>
      </c>
      <c r="T9" s="7">
        <f t="shared" si="3"/>
        <v>6.66</v>
      </c>
      <c r="U9" s="60">
        <f t="shared" si="4"/>
        <v>4662</v>
      </c>
      <c r="V9" s="125">
        <f t="shared" si="5"/>
        <v>5544</v>
      </c>
      <c r="W9" s="92">
        <v>0.0</v>
      </c>
      <c r="X9" s="88">
        <v>400.0</v>
      </c>
      <c r="Y9" s="88">
        <v>1.6</v>
      </c>
      <c r="Z9" s="13">
        <f t="shared" si="6"/>
        <v>640</v>
      </c>
      <c r="AA9" s="13">
        <f t="shared" si="7"/>
        <v>400</v>
      </c>
      <c r="AB9" s="7">
        <f t="shared" si="8"/>
        <v>0</v>
      </c>
      <c r="AC9" s="93">
        <f t="shared" si="9"/>
        <v>0</v>
      </c>
      <c r="AD9" s="97">
        <v>0.0</v>
      </c>
      <c r="AE9" s="88">
        <v>750.0</v>
      </c>
      <c r="AF9" s="95">
        <v>0.55</v>
      </c>
      <c r="AG9" s="13">
        <f t="shared" si="10"/>
        <v>412.5</v>
      </c>
      <c r="AH9" s="13">
        <f t="shared" si="11"/>
        <v>750</v>
      </c>
      <c r="AI9" s="13">
        <f t="shared" si="12"/>
        <v>0</v>
      </c>
      <c r="AJ9" s="17">
        <f t="shared" si="13"/>
        <v>0</v>
      </c>
      <c r="AK9" s="96">
        <v>35.0</v>
      </c>
      <c r="AL9" s="95">
        <v>1.8</v>
      </c>
      <c r="AM9" s="95">
        <v>25.0</v>
      </c>
      <c r="AN9" s="13">
        <f t="shared" si="14"/>
        <v>45</v>
      </c>
      <c r="AO9" s="13">
        <f t="shared" si="15"/>
        <v>1.17</v>
      </c>
      <c r="AP9" s="13">
        <f t="shared" si="16"/>
        <v>15.75</v>
      </c>
      <c r="AQ9" s="17">
        <f t="shared" si="17"/>
        <v>189</v>
      </c>
      <c r="AR9" s="97">
        <v>0.0</v>
      </c>
      <c r="AS9" s="95">
        <v>16000.0</v>
      </c>
      <c r="AT9" s="17">
        <f t="shared" si="18"/>
        <v>0</v>
      </c>
      <c r="AU9" s="97">
        <v>0.0</v>
      </c>
      <c r="AV9" s="95">
        <v>5500.0</v>
      </c>
      <c r="AW9" s="17">
        <f t="shared" si="19"/>
        <v>0</v>
      </c>
      <c r="AX9" s="98">
        <f t="shared" si="20"/>
        <v>28665</v>
      </c>
      <c r="AY9" s="99">
        <f t="shared" si="21"/>
        <v>458.64</v>
      </c>
      <c r="AZ9" s="98">
        <f t="shared" si="22"/>
        <v>27415</v>
      </c>
      <c r="BA9" s="172"/>
    </row>
    <row r="10" ht="15.75" customHeight="1">
      <c r="A10" s="14"/>
      <c r="B10" s="31" t="s">
        <v>36</v>
      </c>
      <c r="C10" s="31" t="s">
        <v>91</v>
      </c>
      <c r="D10" s="32" t="s">
        <v>487</v>
      </c>
      <c r="E10" s="32"/>
      <c r="F10" s="32" t="s">
        <v>488</v>
      </c>
      <c r="G10" s="147" t="s">
        <v>489</v>
      </c>
      <c r="H10" s="88">
        <v>5.0</v>
      </c>
      <c r="I10" s="7"/>
      <c r="J10" s="7"/>
      <c r="L10" s="7">
        <v>950.0</v>
      </c>
      <c r="M10" s="7">
        <v>1.0</v>
      </c>
      <c r="N10" s="60">
        <f t="shared" si="1"/>
        <v>4750</v>
      </c>
      <c r="O10" s="89">
        <v>12.0</v>
      </c>
      <c r="P10" s="51">
        <v>11.0</v>
      </c>
      <c r="Q10" s="88">
        <v>6.0</v>
      </c>
      <c r="R10" s="88">
        <v>700.0</v>
      </c>
      <c r="S10" s="7">
        <f t="shared" si="2"/>
        <v>50400</v>
      </c>
      <c r="T10" s="7">
        <f t="shared" si="3"/>
        <v>6.66</v>
      </c>
      <c r="U10" s="60">
        <f t="shared" si="4"/>
        <v>4662</v>
      </c>
      <c r="V10" s="125">
        <f t="shared" si="5"/>
        <v>5544</v>
      </c>
      <c r="W10" s="92">
        <v>0.0</v>
      </c>
      <c r="X10" s="88">
        <v>400.0</v>
      </c>
      <c r="Y10" s="88">
        <v>1.6</v>
      </c>
      <c r="Z10" s="13">
        <f t="shared" si="6"/>
        <v>640</v>
      </c>
      <c r="AA10" s="13">
        <f t="shared" si="7"/>
        <v>400</v>
      </c>
      <c r="AB10" s="7">
        <f t="shared" si="8"/>
        <v>0</v>
      </c>
      <c r="AC10" s="93">
        <f t="shared" si="9"/>
        <v>0</v>
      </c>
      <c r="AD10" s="97">
        <v>0.0</v>
      </c>
      <c r="AE10" s="88">
        <v>750.0</v>
      </c>
      <c r="AF10" s="95">
        <v>0.55</v>
      </c>
      <c r="AG10" s="13">
        <f t="shared" si="10"/>
        <v>412.5</v>
      </c>
      <c r="AH10" s="13">
        <f t="shared" si="11"/>
        <v>750</v>
      </c>
      <c r="AI10" s="13">
        <f t="shared" si="12"/>
        <v>0</v>
      </c>
      <c r="AJ10" s="17">
        <f t="shared" si="13"/>
        <v>0</v>
      </c>
      <c r="AK10" s="96">
        <v>35.0</v>
      </c>
      <c r="AL10" s="95">
        <v>1.8</v>
      </c>
      <c r="AM10" s="95">
        <v>25.0</v>
      </c>
      <c r="AN10" s="13">
        <f t="shared" si="14"/>
        <v>45</v>
      </c>
      <c r="AO10" s="13">
        <f t="shared" si="15"/>
        <v>1.17</v>
      </c>
      <c r="AP10" s="13">
        <f t="shared" si="16"/>
        <v>15.75</v>
      </c>
      <c r="AQ10" s="17">
        <f t="shared" si="17"/>
        <v>189</v>
      </c>
      <c r="AR10" s="97">
        <v>0.0</v>
      </c>
      <c r="AS10" s="95">
        <v>16000.0</v>
      </c>
      <c r="AT10" s="17">
        <f t="shared" si="18"/>
        <v>0</v>
      </c>
      <c r="AU10" s="97">
        <v>0.0</v>
      </c>
      <c r="AV10" s="95">
        <v>5500.0</v>
      </c>
      <c r="AW10" s="17">
        <f t="shared" si="19"/>
        <v>0</v>
      </c>
      <c r="AX10" s="98">
        <f t="shared" si="20"/>
        <v>28665</v>
      </c>
      <c r="AY10" s="99">
        <f t="shared" si="21"/>
        <v>120.6947368</v>
      </c>
      <c r="AZ10" s="98">
        <f t="shared" si="22"/>
        <v>23915</v>
      </c>
      <c r="BA10" s="172"/>
    </row>
    <row r="11" ht="15.75" customHeight="1">
      <c r="A11" s="14"/>
      <c r="B11" s="31" t="s">
        <v>36</v>
      </c>
      <c r="C11" s="31" t="s">
        <v>91</v>
      </c>
      <c r="D11" s="32" t="s">
        <v>490</v>
      </c>
      <c r="E11" s="32" t="s">
        <v>72</v>
      </c>
      <c r="F11" s="32" t="s">
        <v>51</v>
      </c>
      <c r="G11" s="147" t="s">
        <v>491</v>
      </c>
      <c r="H11" s="88">
        <v>5.0</v>
      </c>
      <c r="I11" s="7"/>
      <c r="J11" s="7"/>
      <c r="L11" s="7">
        <v>60.0</v>
      </c>
      <c r="M11" s="7">
        <v>1.0</v>
      </c>
      <c r="N11" s="60">
        <f t="shared" si="1"/>
        <v>300</v>
      </c>
      <c r="O11" s="89">
        <v>12.0</v>
      </c>
      <c r="P11" s="51">
        <v>11.0</v>
      </c>
      <c r="Q11" s="88">
        <v>6.0</v>
      </c>
      <c r="R11" s="88">
        <v>700.0</v>
      </c>
      <c r="S11" s="7">
        <f t="shared" si="2"/>
        <v>50400</v>
      </c>
      <c r="T11" s="7">
        <f t="shared" si="3"/>
        <v>6.66</v>
      </c>
      <c r="U11" s="60">
        <f t="shared" si="4"/>
        <v>4662</v>
      </c>
      <c r="V11" s="125">
        <f t="shared" si="5"/>
        <v>5544</v>
      </c>
      <c r="W11" s="92">
        <v>0.0</v>
      </c>
      <c r="X11" s="88">
        <v>400.0</v>
      </c>
      <c r="Y11" s="88">
        <v>1.6</v>
      </c>
      <c r="Z11" s="13">
        <f t="shared" si="6"/>
        <v>640</v>
      </c>
      <c r="AA11" s="13">
        <f t="shared" si="7"/>
        <v>400</v>
      </c>
      <c r="AB11" s="7">
        <f t="shared" si="8"/>
        <v>0</v>
      </c>
      <c r="AC11" s="93">
        <f t="shared" si="9"/>
        <v>0</v>
      </c>
      <c r="AD11" s="97">
        <v>0.0</v>
      </c>
      <c r="AE11" s="88">
        <v>750.0</v>
      </c>
      <c r="AF11" s="95">
        <v>0.55</v>
      </c>
      <c r="AG11" s="13">
        <f t="shared" si="10"/>
        <v>412.5</v>
      </c>
      <c r="AH11" s="13">
        <f t="shared" si="11"/>
        <v>750</v>
      </c>
      <c r="AI11" s="13">
        <f t="shared" si="12"/>
        <v>0</v>
      </c>
      <c r="AJ11" s="17">
        <f t="shared" si="13"/>
        <v>0</v>
      </c>
      <c r="AK11" s="96">
        <v>35.0</v>
      </c>
      <c r="AL11" s="95">
        <v>1.8</v>
      </c>
      <c r="AM11" s="95">
        <v>25.0</v>
      </c>
      <c r="AN11" s="13">
        <f t="shared" si="14"/>
        <v>45</v>
      </c>
      <c r="AO11" s="13">
        <f t="shared" si="15"/>
        <v>1.17</v>
      </c>
      <c r="AP11" s="13">
        <f t="shared" si="16"/>
        <v>15.75</v>
      </c>
      <c r="AQ11" s="17">
        <f t="shared" si="17"/>
        <v>189</v>
      </c>
      <c r="AR11" s="97">
        <v>0.0</v>
      </c>
      <c r="AS11" s="95">
        <v>16000.0</v>
      </c>
      <c r="AT11" s="17">
        <f t="shared" si="18"/>
        <v>0</v>
      </c>
      <c r="AU11" s="97">
        <v>0.0</v>
      </c>
      <c r="AV11" s="95">
        <v>5500.0</v>
      </c>
      <c r="AW11" s="17">
        <f t="shared" si="19"/>
        <v>0</v>
      </c>
      <c r="AX11" s="98">
        <f t="shared" si="20"/>
        <v>28665</v>
      </c>
      <c r="AY11" s="99">
        <f t="shared" si="21"/>
        <v>1911</v>
      </c>
      <c r="AZ11" s="98">
        <f t="shared" si="22"/>
        <v>28365</v>
      </c>
      <c r="BA11" s="172"/>
    </row>
    <row r="12" ht="15.75" customHeight="1">
      <c r="A12" s="14"/>
      <c r="B12" s="31" t="s">
        <v>502</v>
      </c>
      <c r="C12" s="31" t="s">
        <v>91</v>
      </c>
      <c r="D12" s="32" t="s">
        <v>79</v>
      </c>
      <c r="E12" s="32" t="s">
        <v>80</v>
      </c>
      <c r="F12" s="32" t="s">
        <v>51</v>
      </c>
      <c r="G12" s="147" t="s">
        <v>492</v>
      </c>
      <c r="H12" s="88">
        <v>5.0</v>
      </c>
      <c r="I12" s="7"/>
      <c r="J12" s="7">
        <v>6.0</v>
      </c>
      <c r="L12" s="7"/>
      <c r="M12" s="7">
        <v>1.0</v>
      </c>
      <c r="N12" s="60">
        <f t="shared" si="1"/>
        <v>72</v>
      </c>
      <c r="O12" s="89">
        <v>12.0</v>
      </c>
      <c r="P12" s="51">
        <v>11.0</v>
      </c>
      <c r="Q12" s="88">
        <v>6.0</v>
      </c>
      <c r="R12" s="88">
        <v>700.0</v>
      </c>
      <c r="S12" s="7">
        <f t="shared" si="2"/>
        <v>50400</v>
      </c>
      <c r="T12" s="7">
        <f t="shared" si="3"/>
        <v>6.66</v>
      </c>
      <c r="U12" s="60">
        <f t="shared" si="4"/>
        <v>4662</v>
      </c>
      <c r="V12" s="125">
        <f t="shared" si="5"/>
        <v>5544</v>
      </c>
      <c r="W12" s="92">
        <v>0.0</v>
      </c>
      <c r="X12" s="88">
        <v>400.0</v>
      </c>
      <c r="Y12" s="88">
        <v>1.6</v>
      </c>
      <c r="Z12" s="13">
        <f t="shared" si="6"/>
        <v>640</v>
      </c>
      <c r="AA12" s="13">
        <f t="shared" si="7"/>
        <v>400</v>
      </c>
      <c r="AB12" s="7">
        <f t="shared" si="8"/>
        <v>0</v>
      </c>
      <c r="AC12" s="93">
        <f t="shared" si="9"/>
        <v>0</v>
      </c>
      <c r="AD12" s="97">
        <v>0.0</v>
      </c>
      <c r="AE12" s="88">
        <v>750.0</v>
      </c>
      <c r="AF12" s="95">
        <v>0.55</v>
      </c>
      <c r="AG12" s="13">
        <f t="shared" si="10"/>
        <v>412.5</v>
      </c>
      <c r="AH12" s="13">
        <f t="shared" si="11"/>
        <v>750</v>
      </c>
      <c r="AI12" s="13">
        <f t="shared" si="12"/>
        <v>0</v>
      </c>
      <c r="AJ12" s="17">
        <f t="shared" si="13"/>
        <v>0</v>
      </c>
      <c r="AK12" s="96">
        <v>35.0</v>
      </c>
      <c r="AL12" s="95">
        <v>1.8</v>
      </c>
      <c r="AM12" s="95">
        <v>25.0</v>
      </c>
      <c r="AN12" s="13">
        <f t="shared" si="14"/>
        <v>45</v>
      </c>
      <c r="AO12" s="13">
        <f t="shared" si="15"/>
        <v>1.17</v>
      </c>
      <c r="AP12" s="13">
        <f t="shared" si="16"/>
        <v>15.75</v>
      </c>
      <c r="AQ12" s="17">
        <f t="shared" si="17"/>
        <v>189</v>
      </c>
      <c r="AR12" s="97">
        <v>0.0</v>
      </c>
      <c r="AS12" s="95">
        <v>16000.0</v>
      </c>
      <c r="AT12" s="17">
        <f t="shared" si="18"/>
        <v>0</v>
      </c>
      <c r="AU12" s="97">
        <v>0.0</v>
      </c>
      <c r="AV12" s="95">
        <v>5500.0</v>
      </c>
      <c r="AW12" s="17">
        <f t="shared" si="19"/>
        <v>0</v>
      </c>
      <c r="AX12" s="98">
        <f t="shared" si="20"/>
        <v>28665</v>
      </c>
      <c r="AY12" s="99">
        <f t="shared" si="21"/>
        <v>7962.5</v>
      </c>
      <c r="AZ12" s="98">
        <f t="shared" si="22"/>
        <v>28593</v>
      </c>
      <c r="BA12" s="172"/>
    </row>
    <row r="13" ht="15.75" customHeight="1">
      <c r="A13" s="14"/>
      <c r="B13" s="31" t="s">
        <v>14</v>
      </c>
      <c r="C13" s="31" t="s">
        <v>91</v>
      </c>
      <c r="D13" s="32" t="s">
        <v>472</v>
      </c>
      <c r="E13" s="32" t="s">
        <v>93</v>
      </c>
      <c r="F13" s="32" t="s">
        <v>51</v>
      </c>
      <c r="G13" s="147" t="s">
        <v>474</v>
      </c>
      <c r="H13" s="88">
        <v>5.0</v>
      </c>
      <c r="I13" s="7"/>
      <c r="J13" s="7"/>
      <c r="L13" s="7">
        <v>180.0</v>
      </c>
      <c r="M13" s="7">
        <v>1.0</v>
      </c>
      <c r="N13" s="60">
        <f t="shared" si="1"/>
        <v>900</v>
      </c>
      <c r="O13" s="89">
        <v>12.0</v>
      </c>
      <c r="P13" s="51">
        <v>11.0</v>
      </c>
      <c r="Q13" s="88">
        <v>6.0</v>
      </c>
      <c r="R13" s="88">
        <v>700.0</v>
      </c>
      <c r="S13" s="7">
        <f t="shared" si="2"/>
        <v>50400</v>
      </c>
      <c r="T13" s="7">
        <f t="shared" si="3"/>
        <v>6.66</v>
      </c>
      <c r="U13" s="60">
        <f t="shared" si="4"/>
        <v>4662</v>
      </c>
      <c r="V13" s="125">
        <f t="shared" si="5"/>
        <v>5544</v>
      </c>
      <c r="W13" s="92">
        <v>0.0</v>
      </c>
      <c r="X13" s="88">
        <v>400.0</v>
      </c>
      <c r="Y13" s="88">
        <v>1.6</v>
      </c>
      <c r="Z13" s="13">
        <f t="shared" si="6"/>
        <v>640</v>
      </c>
      <c r="AA13" s="13">
        <f t="shared" si="7"/>
        <v>400</v>
      </c>
      <c r="AB13" s="7">
        <f t="shared" si="8"/>
        <v>0</v>
      </c>
      <c r="AC13" s="93">
        <f t="shared" si="9"/>
        <v>0</v>
      </c>
      <c r="AD13" s="97">
        <v>0.0</v>
      </c>
      <c r="AE13" s="88">
        <v>750.0</v>
      </c>
      <c r="AF13" s="95">
        <v>0.55</v>
      </c>
      <c r="AG13" s="13">
        <f t="shared" si="10"/>
        <v>412.5</v>
      </c>
      <c r="AH13" s="13">
        <f t="shared" si="11"/>
        <v>750</v>
      </c>
      <c r="AI13" s="13">
        <f t="shared" si="12"/>
        <v>0</v>
      </c>
      <c r="AJ13" s="17">
        <f t="shared" si="13"/>
        <v>0</v>
      </c>
      <c r="AK13" s="96">
        <v>35.0</v>
      </c>
      <c r="AL13" s="95">
        <v>1.8</v>
      </c>
      <c r="AM13" s="95">
        <v>25.0</v>
      </c>
      <c r="AN13" s="13">
        <f t="shared" si="14"/>
        <v>45</v>
      </c>
      <c r="AO13" s="13">
        <f t="shared" si="15"/>
        <v>1.17</v>
      </c>
      <c r="AP13" s="13">
        <f t="shared" si="16"/>
        <v>15.75</v>
      </c>
      <c r="AQ13" s="17">
        <f t="shared" si="17"/>
        <v>189</v>
      </c>
      <c r="AR13" s="97">
        <v>0.0</v>
      </c>
      <c r="AS13" s="95">
        <v>16000.0</v>
      </c>
      <c r="AT13" s="17">
        <f t="shared" si="18"/>
        <v>0</v>
      </c>
      <c r="AU13" s="97">
        <v>0.0</v>
      </c>
      <c r="AV13" s="95">
        <v>5500.0</v>
      </c>
      <c r="AW13" s="17">
        <f t="shared" si="19"/>
        <v>0</v>
      </c>
      <c r="AX13" s="98">
        <f t="shared" si="20"/>
        <v>28665</v>
      </c>
      <c r="AY13" s="99">
        <f t="shared" si="21"/>
        <v>637</v>
      </c>
      <c r="AZ13" s="98">
        <f t="shared" si="22"/>
        <v>27765</v>
      </c>
      <c r="BA13" s="172"/>
    </row>
    <row r="14" ht="15.75" customHeight="1">
      <c r="A14" s="14"/>
      <c r="B14" s="16" t="s">
        <v>14</v>
      </c>
      <c r="C14" s="16" t="s">
        <v>91</v>
      </c>
      <c r="D14" s="173" t="s">
        <v>475</v>
      </c>
      <c r="E14" s="173" t="s">
        <v>93</v>
      </c>
      <c r="F14" s="173" t="s">
        <v>51</v>
      </c>
      <c r="G14" s="174" t="s">
        <v>600</v>
      </c>
      <c r="H14" s="88">
        <v>5.0</v>
      </c>
      <c r="I14" s="175"/>
      <c r="J14" s="175"/>
      <c r="K14" s="175"/>
      <c r="L14" s="175">
        <v>340.0</v>
      </c>
      <c r="M14" s="176">
        <v>1.0</v>
      </c>
      <c r="N14" s="60">
        <f t="shared" si="1"/>
        <v>1700</v>
      </c>
      <c r="O14" s="89">
        <v>12.0</v>
      </c>
      <c r="P14" s="51">
        <v>11.0</v>
      </c>
      <c r="Q14" s="88">
        <v>6.0</v>
      </c>
      <c r="R14" s="88">
        <v>700.0</v>
      </c>
      <c r="S14" s="176">
        <f t="shared" si="2"/>
        <v>50400</v>
      </c>
      <c r="T14" s="176">
        <f t="shared" si="3"/>
        <v>6.66</v>
      </c>
      <c r="U14" s="177">
        <f t="shared" si="4"/>
        <v>4662</v>
      </c>
      <c r="V14" s="178">
        <f t="shared" si="5"/>
        <v>5544</v>
      </c>
      <c r="W14" s="92">
        <v>0.0</v>
      </c>
      <c r="X14" s="88">
        <v>400.0</v>
      </c>
      <c r="Y14" s="88">
        <v>1.6</v>
      </c>
      <c r="Z14" s="176">
        <f t="shared" si="6"/>
        <v>640</v>
      </c>
      <c r="AA14" s="176">
        <f t="shared" si="7"/>
        <v>400</v>
      </c>
      <c r="AB14" s="176">
        <f t="shared" si="8"/>
        <v>0</v>
      </c>
      <c r="AC14" s="177">
        <f t="shared" si="9"/>
        <v>0</v>
      </c>
      <c r="AD14" s="97">
        <v>0.0</v>
      </c>
      <c r="AE14" s="88">
        <v>750.0</v>
      </c>
      <c r="AF14" s="95">
        <v>0.55</v>
      </c>
      <c r="AG14" s="176">
        <f t="shared" si="10"/>
        <v>412.5</v>
      </c>
      <c r="AH14" s="176">
        <f t="shared" si="11"/>
        <v>750</v>
      </c>
      <c r="AI14" s="176">
        <f t="shared" si="12"/>
        <v>0</v>
      </c>
      <c r="AJ14" s="177">
        <f t="shared" si="13"/>
        <v>0</v>
      </c>
      <c r="AK14" s="96">
        <v>35.0</v>
      </c>
      <c r="AL14" s="95">
        <v>1.8</v>
      </c>
      <c r="AM14" s="95">
        <v>25.0</v>
      </c>
      <c r="AN14" s="176">
        <f t="shared" si="14"/>
        <v>45</v>
      </c>
      <c r="AO14" s="176">
        <f t="shared" si="15"/>
        <v>1.17</v>
      </c>
      <c r="AP14" s="176">
        <f t="shared" si="16"/>
        <v>15.75</v>
      </c>
      <c r="AQ14" s="177">
        <f t="shared" si="17"/>
        <v>189</v>
      </c>
      <c r="AR14" s="97">
        <v>0.0</v>
      </c>
      <c r="AS14" s="95">
        <v>16000.0</v>
      </c>
      <c r="AT14" s="177">
        <f t="shared" si="18"/>
        <v>0</v>
      </c>
      <c r="AU14" s="97">
        <v>0.0</v>
      </c>
      <c r="AV14" s="95">
        <v>5500.0</v>
      </c>
      <c r="AW14" s="177">
        <f t="shared" si="19"/>
        <v>0</v>
      </c>
      <c r="AX14" s="178">
        <f t="shared" si="20"/>
        <v>28665</v>
      </c>
      <c r="AY14" s="99">
        <f t="shared" si="21"/>
        <v>337.2352941</v>
      </c>
      <c r="AZ14" s="178">
        <f t="shared" si="22"/>
        <v>26965</v>
      </c>
      <c r="BA14" s="179"/>
    </row>
    <row r="15" ht="15.75" customHeight="1">
      <c r="A15" s="14"/>
      <c r="B15" s="31" t="s">
        <v>14</v>
      </c>
      <c r="C15" s="31" t="s">
        <v>91</v>
      </c>
      <c r="D15" s="32" t="s">
        <v>97</v>
      </c>
      <c r="E15" s="32" t="s">
        <v>98</v>
      </c>
      <c r="F15" s="32" t="s">
        <v>51</v>
      </c>
      <c r="G15" s="147" t="s">
        <v>479</v>
      </c>
      <c r="H15" s="88">
        <v>5.0</v>
      </c>
      <c r="I15" s="7"/>
      <c r="J15" s="7"/>
      <c r="K15" s="13">
        <v>20.0</v>
      </c>
      <c r="L15" s="7">
        <f>K15*12</f>
        <v>240</v>
      </c>
      <c r="M15" s="7">
        <v>1.0</v>
      </c>
      <c r="N15" s="60">
        <f t="shared" si="1"/>
        <v>1200</v>
      </c>
      <c r="O15" s="89">
        <v>12.0</v>
      </c>
      <c r="P15" s="51">
        <v>11.0</v>
      </c>
      <c r="Q15" s="88">
        <v>6.0</v>
      </c>
      <c r="R15" s="88">
        <v>700.0</v>
      </c>
      <c r="S15" s="7">
        <f t="shared" si="2"/>
        <v>50400</v>
      </c>
      <c r="T15" s="7">
        <f t="shared" si="3"/>
        <v>6.66</v>
      </c>
      <c r="U15" s="60">
        <f t="shared" si="4"/>
        <v>4662</v>
      </c>
      <c r="V15" s="91">
        <f t="shared" si="5"/>
        <v>5544</v>
      </c>
      <c r="W15" s="127">
        <v>12.5</v>
      </c>
      <c r="X15" s="88">
        <v>400.0</v>
      </c>
      <c r="Y15" s="88">
        <v>1.6</v>
      </c>
      <c r="Z15" s="13">
        <f t="shared" si="6"/>
        <v>640</v>
      </c>
      <c r="AA15" s="13">
        <f t="shared" si="7"/>
        <v>350</v>
      </c>
      <c r="AB15" s="7">
        <f t="shared" si="8"/>
        <v>80</v>
      </c>
      <c r="AC15" s="93">
        <f t="shared" si="9"/>
        <v>960</v>
      </c>
      <c r="AD15" s="97">
        <v>0.0</v>
      </c>
      <c r="AE15" s="88">
        <v>750.0</v>
      </c>
      <c r="AF15" s="95">
        <v>0.55</v>
      </c>
      <c r="AG15" s="13">
        <f t="shared" si="10"/>
        <v>412.5</v>
      </c>
      <c r="AH15" s="13">
        <f t="shared" si="11"/>
        <v>750</v>
      </c>
      <c r="AI15" s="13">
        <f t="shared" si="12"/>
        <v>0</v>
      </c>
      <c r="AJ15" s="17">
        <f t="shared" si="13"/>
        <v>0</v>
      </c>
      <c r="AK15" s="96">
        <v>35.0</v>
      </c>
      <c r="AL15" s="95">
        <v>1.8</v>
      </c>
      <c r="AM15" s="95">
        <v>25.0</v>
      </c>
      <c r="AN15" s="13">
        <f t="shared" si="14"/>
        <v>45</v>
      </c>
      <c r="AO15" s="13">
        <f t="shared" si="15"/>
        <v>1.17</v>
      </c>
      <c r="AP15" s="13">
        <f t="shared" si="16"/>
        <v>15.75</v>
      </c>
      <c r="AQ15" s="17">
        <f t="shared" si="17"/>
        <v>189</v>
      </c>
      <c r="AR15" s="97">
        <v>0.0</v>
      </c>
      <c r="AS15" s="95">
        <v>16000.0</v>
      </c>
      <c r="AT15" s="17">
        <f t="shared" si="18"/>
        <v>0</v>
      </c>
      <c r="AU15" s="94">
        <v>10.0</v>
      </c>
      <c r="AV15" s="95">
        <v>5500.0</v>
      </c>
      <c r="AW15" s="17">
        <f t="shared" si="19"/>
        <v>550</v>
      </c>
      <c r="AX15" s="98">
        <f t="shared" si="20"/>
        <v>36215</v>
      </c>
      <c r="AY15" s="99">
        <f t="shared" si="21"/>
        <v>603.5833333</v>
      </c>
      <c r="AZ15" s="98">
        <f t="shared" si="22"/>
        <v>35015</v>
      </c>
      <c r="BA15" s="172"/>
    </row>
    <row r="16" ht="15.75" customHeight="1">
      <c r="A16" s="14"/>
      <c r="B16" s="31" t="s">
        <v>14</v>
      </c>
      <c r="C16" s="31" t="s">
        <v>91</v>
      </c>
      <c r="D16" s="32" t="s">
        <v>108</v>
      </c>
      <c r="E16" s="32" t="s">
        <v>109</v>
      </c>
      <c r="F16" s="32" t="s">
        <v>51</v>
      </c>
      <c r="G16" s="147" t="s">
        <v>576</v>
      </c>
      <c r="H16" s="88">
        <v>5.0</v>
      </c>
      <c r="I16" s="7">
        <v>3300.0</v>
      </c>
      <c r="J16" s="7"/>
      <c r="L16" s="7"/>
      <c r="M16" s="7">
        <v>1.0</v>
      </c>
      <c r="N16" s="60">
        <f t="shared" si="1"/>
        <v>3300</v>
      </c>
      <c r="O16" s="89">
        <v>12.0</v>
      </c>
      <c r="P16" s="51">
        <v>11.0</v>
      </c>
      <c r="Q16" s="88">
        <v>6.0</v>
      </c>
      <c r="R16" s="88">
        <v>700.0</v>
      </c>
      <c r="S16" s="7">
        <f t="shared" si="2"/>
        <v>50400</v>
      </c>
      <c r="T16" s="7">
        <f t="shared" si="3"/>
        <v>6.66</v>
      </c>
      <c r="U16" s="60">
        <f t="shared" si="4"/>
        <v>4662</v>
      </c>
      <c r="V16" s="91">
        <f t="shared" si="5"/>
        <v>5544</v>
      </c>
      <c r="W16" s="127">
        <v>12.5</v>
      </c>
      <c r="X16" s="88">
        <v>400.0</v>
      </c>
      <c r="Y16" s="88">
        <v>1.6</v>
      </c>
      <c r="Z16" s="13">
        <f t="shared" si="6"/>
        <v>640</v>
      </c>
      <c r="AA16" s="13">
        <f t="shared" si="7"/>
        <v>350</v>
      </c>
      <c r="AB16" s="7">
        <f t="shared" si="8"/>
        <v>80</v>
      </c>
      <c r="AC16" s="93">
        <f t="shared" si="9"/>
        <v>960</v>
      </c>
      <c r="AD16" s="97">
        <v>0.0</v>
      </c>
      <c r="AE16" s="88">
        <v>750.0</v>
      </c>
      <c r="AF16" s="95">
        <v>0.55</v>
      </c>
      <c r="AG16" s="13">
        <f t="shared" si="10"/>
        <v>412.5</v>
      </c>
      <c r="AH16" s="13">
        <f t="shared" si="11"/>
        <v>750</v>
      </c>
      <c r="AI16" s="13">
        <f t="shared" si="12"/>
        <v>0</v>
      </c>
      <c r="AJ16" s="17">
        <f t="shared" si="13"/>
        <v>0</v>
      </c>
      <c r="AK16" s="96">
        <v>35.0</v>
      </c>
      <c r="AL16" s="95">
        <v>1.8</v>
      </c>
      <c r="AM16" s="95">
        <v>25.0</v>
      </c>
      <c r="AN16" s="13">
        <f t="shared" si="14"/>
        <v>45</v>
      </c>
      <c r="AO16" s="13">
        <f t="shared" si="15"/>
        <v>1.17</v>
      </c>
      <c r="AP16" s="13">
        <f t="shared" si="16"/>
        <v>15.75</v>
      </c>
      <c r="AQ16" s="17">
        <f t="shared" si="17"/>
        <v>189</v>
      </c>
      <c r="AR16" s="97">
        <v>0.0</v>
      </c>
      <c r="AS16" s="95">
        <v>16000.0</v>
      </c>
      <c r="AT16" s="17">
        <f t="shared" si="18"/>
        <v>0</v>
      </c>
      <c r="AU16" s="94">
        <v>10.0</v>
      </c>
      <c r="AV16" s="95">
        <v>5500.0</v>
      </c>
      <c r="AW16" s="17">
        <f t="shared" si="19"/>
        <v>550</v>
      </c>
      <c r="AX16" s="98">
        <f t="shared" si="20"/>
        <v>36215</v>
      </c>
      <c r="AY16" s="99">
        <f t="shared" si="21"/>
        <v>219.4848485</v>
      </c>
      <c r="AZ16" s="98">
        <f t="shared" si="22"/>
        <v>32915</v>
      </c>
      <c r="BA16" s="172"/>
    </row>
    <row r="17" ht="15.75" customHeight="1">
      <c r="A17" s="14"/>
      <c r="B17" s="31" t="s">
        <v>14</v>
      </c>
      <c r="C17" s="31" t="s">
        <v>91</v>
      </c>
      <c r="D17" s="32" t="s">
        <v>113</v>
      </c>
      <c r="E17" s="32" t="s">
        <v>109</v>
      </c>
      <c r="F17" s="32" t="s">
        <v>51</v>
      </c>
      <c r="G17" s="147" t="s">
        <v>495</v>
      </c>
      <c r="H17" s="88">
        <v>5.0</v>
      </c>
      <c r="I17" s="7">
        <v>6300.0</v>
      </c>
      <c r="J17" s="7"/>
      <c r="L17" s="7"/>
      <c r="M17" s="7">
        <v>1.0</v>
      </c>
      <c r="N17" s="60">
        <f t="shared" si="1"/>
        <v>6300</v>
      </c>
      <c r="O17" s="89">
        <v>12.0</v>
      </c>
      <c r="P17" s="51">
        <v>11.0</v>
      </c>
      <c r="Q17" s="88">
        <v>6.0</v>
      </c>
      <c r="R17" s="88">
        <v>700.0</v>
      </c>
      <c r="S17" s="7">
        <f t="shared" si="2"/>
        <v>50400</v>
      </c>
      <c r="T17" s="7">
        <f t="shared" si="3"/>
        <v>6.66</v>
      </c>
      <c r="U17" s="60">
        <f t="shared" si="4"/>
        <v>4662</v>
      </c>
      <c r="V17" s="91">
        <f t="shared" si="5"/>
        <v>5544</v>
      </c>
      <c r="W17" s="127">
        <v>12.5</v>
      </c>
      <c r="X17" s="88">
        <v>400.0</v>
      </c>
      <c r="Y17" s="88">
        <v>1.6</v>
      </c>
      <c r="Z17" s="13">
        <f t="shared" si="6"/>
        <v>640</v>
      </c>
      <c r="AA17" s="13">
        <f t="shared" si="7"/>
        <v>350</v>
      </c>
      <c r="AB17" s="7">
        <f t="shared" si="8"/>
        <v>80</v>
      </c>
      <c r="AC17" s="93">
        <f t="shared" si="9"/>
        <v>960</v>
      </c>
      <c r="AD17" s="97">
        <v>0.0</v>
      </c>
      <c r="AE17" s="88">
        <v>750.0</v>
      </c>
      <c r="AF17" s="95">
        <v>0.55</v>
      </c>
      <c r="AG17" s="13">
        <f t="shared" si="10"/>
        <v>412.5</v>
      </c>
      <c r="AH17" s="13">
        <f t="shared" si="11"/>
        <v>750</v>
      </c>
      <c r="AI17" s="13">
        <f t="shared" si="12"/>
        <v>0</v>
      </c>
      <c r="AJ17" s="17">
        <f t="shared" si="13"/>
        <v>0</v>
      </c>
      <c r="AK17" s="96">
        <v>35.0</v>
      </c>
      <c r="AL17" s="95">
        <v>1.8</v>
      </c>
      <c r="AM17" s="95">
        <v>25.0</v>
      </c>
      <c r="AN17" s="13">
        <f t="shared" si="14"/>
        <v>45</v>
      </c>
      <c r="AO17" s="13">
        <f t="shared" si="15"/>
        <v>1.17</v>
      </c>
      <c r="AP17" s="13">
        <f t="shared" si="16"/>
        <v>15.75</v>
      </c>
      <c r="AQ17" s="17">
        <f t="shared" si="17"/>
        <v>189</v>
      </c>
      <c r="AR17" s="97">
        <v>0.0</v>
      </c>
      <c r="AS17" s="95">
        <v>16000.0</v>
      </c>
      <c r="AT17" s="17">
        <f t="shared" si="18"/>
        <v>0</v>
      </c>
      <c r="AU17" s="94">
        <v>10.0</v>
      </c>
      <c r="AV17" s="95">
        <v>5500.0</v>
      </c>
      <c r="AW17" s="17">
        <f t="shared" si="19"/>
        <v>550</v>
      </c>
      <c r="AX17" s="98">
        <f t="shared" si="20"/>
        <v>36215</v>
      </c>
      <c r="AY17" s="99">
        <f t="shared" si="21"/>
        <v>114.968254</v>
      </c>
      <c r="AZ17" s="98">
        <f t="shared" si="22"/>
        <v>29915</v>
      </c>
      <c r="BA17" s="172"/>
    </row>
    <row r="18" ht="15.75" customHeight="1">
      <c r="A18" s="14"/>
      <c r="B18" s="31" t="s">
        <v>14</v>
      </c>
      <c r="C18" s="31" t="s">
        <v>599</v>
      </c>
      <c r="D18" s="32" t="s">
        <v>135</v>
      </c>
      <c r="E18" s="32" t="s">
        <v>136</v>
      </c>
      <c r="F18" s="32" t="s">
        <v>51</v>
      </c>
      <c r="G18" s="147" t="s">
        <v>139</v>
      </c>
      <c r="H18" s="88">
        <v>5.0</v>
      </c>
      <c r="I18" s="7"/>
      <c r="J18" s="7"/>
      <c r="L18" s="7">
        <v>1000.0</v>
      </c>
      <c r="M18" s="7">
        <v>1.0</v>
      </c>
      <c r="N18" s="60">
        <f t="shared" si="1"/>
        <v>5000</v>
      </c>
      <c r="O18" s="89">
        <v>12.0</v>
      </c>
      <c r="P18" s="51">
        <v>11.0</v>
      </c>
      <c r="Q18" s="88">
        <v>6.0</v>
      </c>
      <c r="R18" s="88">
        <v>700.0</v>
      </c>
      <c r="S18" s="7">
        <f t="shared" si="2"/>
        <v>50400</v>
      </c>
      <c r="T18" s="7">
        <f t="shared" si="3"/>
        <v>6.66</v>
      </c>
      <c r="U18" s="60">
        <f t="shared" si="4"/>
        <v>4662</v>
      </c>
      <c r="V18" s="91">
        <f t="shared" si="5"/>
        <v>5544</v>
      </c>
      <c r="W18" s="127">
        <v>12.5</v>
      </c>
      <c r="X18" s="88">
        <v>400.0</v>
      </c>
      <c r="Y18" s="88">
        <v>1.6</v>
      </c>
      <c r="Z18" s="13">
        <f t="shared" si="6"/>
        <v>640</v>
      </c>
      <c r="AA18" s="13">
        <f t="shared" si="7"/>
        <v>350</v>
      </c>
      <c r="AB18" s="7">
        <f t="shared" si="8"/>
        <v>80</v>
      </c>
      <c r="AC18" s="93">
        <f t="shared" si="9"/>
        <v>960</v>
      </c>
      <c r="AD18" s="97">
        <v>0.0</v>
      </c>
      <c r="AE18" s="88">
        <v>750.0</v>
      </c>
      <c r="AF18" s="95">
        <v>0.55</v>
      </c>
      <c r="AG18" s="13">
        <f t="shared" si="10"/>
        <v>412.5</v>
      </c>
      <c r="AH18" s="13">
        <f t="shared" si="11"/>
        <v>750</v>
      </c>
      <c r="AI18" s="13">
        <f t="shared" si="12"/>
        <v>0</v>
      </c>
      <c r="AJ18" s="17">
        <f t="shared" si="13"/>
        <v>0</v>
      </c>
      <c r="AK18" s="51">
        <v>35.0</v>
      </c>
      <c r="AL18" s="95">
        <v>1.8</v>
      </c>
      <c r="AM18" s="95">
        <v>25.0</v>
      </c>
      <c r="AN18" s="13">
        <f t="shared" si="14"/>
        <v>45</v>
      </c>
      <c r="AO18" s="13">
        <f t="shared" si="15"/>
        <v>1.17</v>
      </c>
      <c r="AP18" s="13">
        <f t="shared" si="16"/>
        <v>15.75</v>
      </c>
      <c r="AQ18" s="17">
        <f t="shared" si="17"/>
        <v>189</v>
      </c>
      <c r="AR18" s="97">
        <v>0.0</v>
      </c>
      <c r="AS18" s="95">
        <v>16000.0</v>
      </c>
      <c r="AT18" s="17">
        <f t="shared" si="18"/>
        <v>0</v>
      </c>
      <c r="AU18" s="94">
        <v>10.0</v>
      </c>
      <c r="AV18" s="95">
        <v>5500.0</v>
      </c>
      <c r="AW18" s="17">
        <f t="shared" si="19"/>
        <v>550</v>
      </c>
      <c r="AX18" s="98">
        <f t="shared" si="20"/>
        <v>36215</v>
      </c>
      <c r="AY18" s="99">
        <f t="shared" si="21"/>
        <v>144.86</v>
      </c>
      <c r="AZ18" s="98">
        <f t="shared" si="22"/>
        <v>31215</v>
      </c>
      <c r="BA18" s="172"/>
    </row>
    <row r="19" ht="15.75" customHeight="1">
      <c r="A19" s="21"/>
      <c r="B19" s="180" t="s">
        <v>14</v>
      </c>
      <c r="C19" s="180" t="s">
        <v>15</v>
      </c>
      <c r="D19" s="181" t="s">
        <v>124</v>
      </c>
      <c r="E19" s="181" t="s">
        <v>125</v>
      </c>
      <c r="F19" s="181" t="s">
        <v>51</v>
      </c>
      <c r="G19" s="148" t="s">
        <v>128</v>
      </c>
      <c r="H19" s="108">
        <v>5.0</v>
      </c>
      <c r="I19" s="106"/>
      <c r="J19" s="106"/>
      <c r="K19" s="109"/>
      <c r="L19" s="106">
        <v>400.0</v>
      </c>
      <c r="M19" s="106">
        <v>1.0</v>
      </c>
      <c r="N19" s="110">
        <f t="shared" si="1"/>
        <v>2000</v>
      </c>
      <c r="O19" s="111">
        <v>12.0</v>
      </c>
      <c r="P19" s="112">
        <v>11.0</v>
      </c>
      <c r="Q19" s="108">
        <v>6.0</v>
      </c>
      <c r="R19" s="108">
        <v>700.0</v>
      </c>
      <c r="S19" s="106">
        <f t="shared" si="2"/>
        <v>50400</v>
      </c>
      <c r="T19" s="106">
        <f t="shared" si="3"/>
        <v>6.66</v>
      </c>
      <c r="U19" s="110">
        <f t="shared" si="4"/>
        <v>4662</v>
      </c>
      <c r="V19" s="113">
        <f t="shared" si="5"/>
        <v>5544</v>
      </c>
      <c r="W19" s="150">
        <v>0.0</v>
      </c>
      <c r="X19" s="108">
        <v>400.0</v>
      </c>
      <c r="Y19" s="108">
        <v>1.6</v>
      </c>
      <c r="Z19" s="22">
        <f t="shared" si="6"/>
        <v>640</v>
      </c>
      <c r="AA19" s="22">
        <f t="shared" si="7"/>
        <v>400</v>
      </c>
      <c r="AB19" s="106">
        <f t="shared" si="8"/>
        <v>0</v>
      </c>
      <c r="AC19" s="115">
        <f t="shared" si="9"/>
        <v>0</v>
      </c>
      <c r="AD19" s="112">
        <v>17.0</v>
      </c>
      <c r="AE19" s="108">
        <v>750.0</v>
      </c>
      <c r="AF19" s="117">
        <v>0.55</v>
      </c>
      <c r="AG19" s="22">
        <f t="shared" si="10"/>
        <v>412.5</v>
      </c>
      <c r="AH19" s="22">
        <f t="shared" si="11"/>
        <v>622.5</v>
      </c>
      <c r="AI19" s="22">
        <f t="shared" si="12"/>
        <v>70.125</v>
      </c>
      <c r="AJ19" s="25">
        <f t="shared" si="13"/>
        <v>841.5</v>
      </c>
      <c r="AK19" s="150">
        <v>0.0</v>
      </c>
      <c r="AL19" s="117">
        <v>1.8</v>
      </c>
      <c r="AM19" s="117">
        <v>25.0</v>
      </c>
      <c r="AN19" s="22">
        <f t="shared" si="14"/>
        <v>45</v>
      </c>
      <c r="AO19" s="22">
        <f t="shared" si="15"/>
        <v>1.8</v>
      </c>
      <c r="AP19" s="22">
        <f t="shared" si="16"/>
        <v>0</v>
      </c>
      <c r="AQ19" s="25">
        <f t="shared" si="17"/>
        <v>0</v>
      </c>
      <c r="AR19" s="116">
        <v>0.0</v>
      </c>
      <c r="AS19" s="117">
        <v>16000.0</v>
      </c>
      <c r="AT19" s="25">
        <f t="shared" si="18"/>
        <v>0</v>
      </c>
      <c r="AU19" s="116">
        <v>0.0</v>
      </c>
      <c r="AV19" s="117">
        <v>5500.0</v>
      </c>
      <c r="AW19" s="25">
        <f t="shared" si="19"/>
        <v>0</v>
      </c>
      <c r="AX19" s="119">
        <f t="shared" si="20"/>
        <v>31927.5</v>
      </c>
      <c r="AY19" s="120">
        <f t="shared" si="21"/>
        <v>319.275</v>
      </c>
      <c r="AZ19" s="119">
        <f t="shared" si="22"/>
        <v>29927.5</v>
      </c>
      <c r="BA19" s="182"/>
    </row>
    <row r="20" ht="15.75" customHeight="1">
      <c r="A20" s="8" t="s">
        <v>140</v>
      </c>
      <c r="B20" s="168" t="s">
        <v>14</v>
      </c>
      <c r="C20" s="168" t="s">
        <v>508</v>
      </c>
      <c r="D20" s="169" t="s">
        <v>142</v>
      </c>
      <c r="E20" s="169" t="s">
        <v>143</v>
      </c>
      <c r="F20" s="169" t="s">
        <v>51</v>
      </c>
      <c r="G20" s="145" t="s">
        <v>497</v>
      </c>
      <c r="H20" s="76">
        <v>5.0</v>
      </c>
      <c r="I20" s="74">
        <v>6290.0</v>
      </c>
      <c r="J20" s="74"/>
      <c r="K20" s="77"/>
      <c r="L20" s="74"/>
      <c r="M20" s="74">
        <v>1.0</v>
      </c>
      <c r="N20" s="78">
        <f t="shared" si="1"/>
        <v>6290</v>
      </c>
      <c r="O20" s="121">
        <v>12.0</v>
      </c>
      <c r="P20" s="183">
        <v>12.5</v>
      </c>
      <c r="Q20" s="76">
        <v>6.0</v>
      </c>
      <c r="R20" s="76">
        <v>700.0</v>
      </c>
      <c r="S20" s="74">
        <f t="shared" si="2"/>
        <v>50400</v>
      </c>
      <c r="T20" s="74">
        <f t="shared" si="3"/>
        <v>6.75</v>
      </c>
      <c r="U20" s="78">
        <f t="shared" si="4"/>
        <v>4725</v>
      </c>
      <c r="V20" s="80">
        <f t="shared" si="5"/>
        <v>6300</v>
      </c>
      <c r="W20" s="122">
        <v>12.5</v>
      </c>
      <c r="X20" s="76">
        <v>400.0</v>
      </c>
      <c r="Y20" s="76">
        <v>1.6</v>
      </c>
      <c r="Z20" s="9">
        <f t="shared" si="6"/>
        <v>640</v>
      </c>
      <c r="AA20" s="9">
        <f t="shared" si="7"/>
        <v>350</v>
      </c>
      <c r="AB20" s="74">
        <f t="shared" si="8"/>
        <v>80</v>
      </c>
      <c r="AC20" s="81">
        <f t="shared" si="9"/>
        <v>960</v>
      </c>
      <c r="AD20" s="122">
        <v>34.5</v>
      </c>
      <c r="AE20" s="76">
        <v>750.0</v>
      </c>
      <c r="AF20" s="83">
        <v>0.55</v>
      </c>
      <c r="AG20" s="9">
        <f t="shared" si="10"/>
        <v>412.5</v>
      </c>
      <c r="AH20" s="9">
        <f t="shared" si="11"/>
        <v>491.25</v>
      </c>
      <c r="AI20" s="9">
        <f t="shared" si="12"/>
        <v>142.3125</v>
      </c>
      <c r="AJ20" s="12">
        <f t="shared" si="13"/>
        <v>1707.75</v>
      </c>
      <c r="AK20" s="153">
        <v>4.0</v>
      </c>
      <c r="AL20" s="83">
        <v>1.8</v>
      </c>
      <c r="AM20" s="83">
        <v>25.0</v>
      </c>
      <c r="AN20" s="9">
        <f t="shared" si="14"/>
        <v>45</v>
      </c>
      <c r="AO20" s="9">
        <f t="shared" si="15"/>
        <v>1.728</v>
      </c>
      <c r="AP20" s="9">
        <f t="shared" si="16"/>
        <v>1.8</v>
      </c>
      <c r="AQ20" s="12">
        <f t="shared" si="17"/>
        <v>21.6</v>
      </c>
      <c r="AR20" s="153">
        <v>13.0</v>
      </c>
      <c r="AS20" s="83">
        <v>16000.0</v>
      </c>
      <c r="AT20" s="12">
        <f t="shared" si="18"/>
        <v>2080</v>
      </c>
      <c r="AU20" s="153">
        <v>26.0</v>
      </c>
      <c r="AV20" s="83">
        <v>5500.0</v>
      </c>
      <c r="AW20" s="12">
        <f t="shared" si="19"/>
        <v>1430</v>
      </c>
      <c r="AX20" s="86">
        <f t="shared" si="20"/>
        <v>62496.75</v>
      </c>
      <c r="AY20" s="87">
        <f t="shared" si="21"/>
        <v>198.717806</v>
      </c>
      <c r="AZ20" s="86">
        <f t="shared" si="22"/>
        <v>56206.75</v>
      </c>
      <c r="BA20" s="171"/>
    </row>
    <row r="21" ht="15.75" customHeight="1">
      <c r="A21" s="14"/>
      <c r="B21" s="31" t="s">
        <v>14</v>
      </c>
      <c r="C21" s="31" t="s">
        <v>508</v>
      </c>
      <c r="D21" s="32" t="s">
        <v>147</v>
      </c>
      <c r="E21" s="32" t="s">
        <v>148</v>
      </c>
      <c r="F21" s="32" t="s">
        <v>51</v>
      </c>
      <c r="G21" s="147" t="s">
        <v>498</v>
      </c>
      <c r="H21" s="88">
        <v>5.0</v>
      </c>
      <c r="I21" s="7">
        <v>5100.0</v>
      </c>
      <c r="J21" s="7"/>
      <c r="L21" s="7"/>
      <c r="M21" s="7">
        <v>1.0</v>
      </c>
      <c r="N21" s="60">
        <f t="shared" si="1"/>
        <v>5100</v>
      </c>
      <c r="O21" s="89">
        <v>12.0</v>
      </c>
      <c r="P21" s="184">
        <v>12.5</v>
      </c>
      <c r="Q21" s="88">
        <v>6.0</v>
      </c>
      <c r="R21" s="88">
        <v>700.0</v>
      </c>
      <c r="S21" s="7">
        <f t="shared" si="2"/>
        <v>50400</v>
      </c>
      <c r="T21" s="7">
        <f t="shared" si="3"/>
        <v>6.75</v>
      </c>
      <c r="U21" s="60">
        <f t="shared" si="4"/>
        <v>4725</v>
      </c>
      <c r="V21" s="125">
        <f t="shared" si="5"/>
        <v>6300</v>
      </c>
      <c r="W21" s="101">
        <v>12.5</v>
      </c>
      <c r="X21" s="88">
        <v>400.0</v>
      </c>
      <c r="Y21" s="88">
        <v>1.6</v>
      </c>
      <c r="Z21" s="13">
        <f t="shared" si="6"/>
        <v>640</v>
      </c>
      <c r="AA21" s="13">
        <f t="shared" si="7"/>
        <v>350</v>
      </c>
      <c r="AB21" s="7">
        <f t="shared" si="8"/>
        <v>80</v>
      </c>
      <c r="AC21" s="93">
        <f t="shared" si="9"/>
        <v>960</v>
      </c>
      <c r="AD21" s="101">
        <v>34.5</v>
      </c>
      <c r="AE21" s="88">
        <v>750.0</v>
      </c>
      <c r="AF21" s="95">
        <v>0.55</v>
      </c>
      <c r="AG21" s="13">
        <f t="shared" si="10"/>
        <v>412.5</v>
      </c>
      <c r="AH21" s="13">
        <f t="shared" si="11"/>
        <v>491.25</v>
      </c>
      <c r="AI21" s="13">
        <f t="shared" si="12"/>
        <v>142.3125</v>
      </c>
      <c r="AJ21" s="17">
        <f t="shared" si="13"/>
        <v>1707.75</v>
      </c>
      <c r="AK21" s="91">
        <v>4.0</v>
      </c>
      <c r="AL21" s="95">
        <v>1.8</v>
      </c>
      <c r="AM21" s="95">
        <v>25.0</v>
      </c>
      <c r="AN21" s="13">
        <f t="shared" si="14"/>
        <v>45</v>
      </c>
      <c r="AO21" s="13">
        <f t="shared" si="15"/>
        <v>1.728</v>
      </c>
      <c r="AP21" s="13">
        <f t="shared" si="16"/>
        <v>1.8</v>
      </c>
      <c r="AQ21" s="17">
        <f t="shared" si="17"/>
        <v>21.6</v>
      </c>
      <c r="AR21" s="91">
        <v>13.0</v>
      </c>
      <c r="AS21" s="95">
        <v>16000.0</v>
      </c>
      <c r="AT21" s="17">
        <f t="shared" si="18"/>
        <v>2080</v>
      </c>
      <c r="AU21" s="91">
        <v>26.0</v>
      </c>
      <c r="AV21" s="95">
        <v>5500.0</v>
      </c>
      <c r="AW21" s="17">
        <f t="shared" si="19"/>
        <v>1430</v>
      </c>
      <c r="AX21" s="98">
        <f t="shared" si="20"/>
        <v>62496.75</v>
      </c>
      <c r="AY21" s="99">
        <f t="shared" si="21"/>
        <v>245.0852941</v>
      </c>
      <c r="AZ21" s="98">
        <f t="shared" si="22"/>
        <v>57396.75</v>
      </c>
      <c r="BA21" s="172"/>
    </row>
    <row r="22" ht="15.75" customHeight="1">
      <c r="A22" s="14"/>
      <c r="B22" s="31" t="s">
        <v>14</v>
      </c>
      <c r="C22" s="31" t="s">
        <v>601</v>
      </c>
      <c r="D22" s="32" t="s">
        <v>160</v>
      </c>
      <c r="E22" s="32" t="s">
        <v>161</v>
      </c>
      <c r="F22" s="32" t="s">
        <v>51</v>
      </c>
      <c r="G22" s="147" t="s">
        <v>501</v>
      </c>
      <c r="H22" s="88">
        <v>5.0</v>
      </c>
      <c r="I22" s="7">
        <v>1500.0</v>
      </c>
      <c r="J22" s="7"/>
      <c r="L22" s="7"/>
      <c r="M22" s="7">
        <v>1.0</v>
      </c>
      <c r="N22" s="60">
        <f t="shared" si="1"/>
        <v>1500</v>
      </c>
      <c r="O22" s="89">
        <v>12.0</v>
      </c>
      <c r="P22" s="184">
        <v>12.5</v>
      </c>
      <c r="Q22" s="88">
        <v>6.0</v>
      </c>
      <c r="R22" s="88">
        <v>700.0</v>
      </c>
      <c r="S22" s="7">
        <f t="shared" si="2"/>
        <v>50400</v>
      </c>
      <c r="T22" s="7">
        <f t="shared" si="3"/>
        <v>6.75</v>
      </c>
      <c r="U22" s="60">
        <f t="shared" si="4"/>
        <v>4725</v>
      </c>
      <c r="V22" s="125">
        <f t="shared" si="5"/>
        <v>6300</v>
      </c>
      <c r="W22" s="101">
        <v>12.5</v>
      </c>
      <c r="X22" s="88">
        <v>400.0</v>
      </c>
      <c r="Y22" s="88">
        <v>1.6</v>
      </c>
      <c r="Z22" s="13">
        <f t="shared" si="6"/>
        <v>640</v>
      </c>
      <c r="AA22" s="13">
        <f t="shared" si="7"/>
        <v>350</v>
      </c>
      <c r="AB22" s="7">
        <f t="shared" si="8"/>
        <v>80</v>
      </c>
      <c r="AC22" s="93">
        <f t="shared" si="9"/>
        <v>960</v>
      </c>
      <c r="AD22" s="101">
        <v>34.5</v>
      </c>
      <c r="AE22" s="88">
        <v>750.0</v>
      </c>
      <c r="AF22" s="95">
        <v>0.55</v>
      </c>
      <c r="AG22" s="13">
        <f t="shared" si="10"/>
        <v>412.5</v>
      </c>
      <c r="AH22" s="13">
        <f t="shared" si="11"/>
        <v>491.25</v>
      </c>
      <c r="AI22" s="13">
        <f t="shared" si="12"/>
        <v>142.3125</v>
      </c>
      <c r="AJ22" s="17">
        <f t="shared" si="13"/>
        <v>1707.75</v>
      </c>
      <c r="AK22" s="91">
        <v>4.0</v>
      </c>
      <c r="AL22" s="95">
        <v>1.8</v>
      </c>
      <c r="AM22" s="95">
        <v>25.0</v>
      </c>
      <c r="AN22" s="13">
        <f t="shared" si="14"/>
        <v>45</v>
      </c>
      <c r="AO22" s="13">
        <f t="shared" si="15"/>
        <v>1.728</v>
      </c>
      <c r="AP22" s="13">
        <f t="shared" si="16"/>
        <v>1.8</v>
      </c>
      <c r="AQ22" s="17">
        <f t="shared" si="17"/>
        <v>21.6</v>
      </c>
      <c r="AR22" s="91">
        <v>13.0</v>
      </c>
      <c r="AS22" s="95">
        <v>16000.0</v>
      </c>
      <c r="AT22" s="17">
        <f t="shared" si="18"/>
        <v>2080</v>
      </c>
      <c r="AU22" s="91">
        <v>26.0</v>
      </c>
      <c r="AV22" s="95">
        <v>5500.0</v>
      </c>
      <c r="AW22" s="17">
        <f t="shared" si="19"/>
        <v>1430</v>
      </c>
      <c r="AX22" s="98">
        <f t="shared" si="20"/>
        <v>62496.75</v>
      </c>
      <c r="AY22" s="99">
        <f t="shared" si="21"/>
        <v>833.29</v>
      </c>
      <c r="AZ22" s="98">
        <f t="shared" si="22"/>
        <v>60996.75</v>
      </c>
      <c r="BA22" s="172"/>
    </row>
    <row r="23" ht="15.75" customHeight="1">
      <c r="A23" s="14"/>
      <c r="B23" s="31" t="s">
        <v>14</v>
      </c>
      <c r="C23" s="31" t="s">
        <v>505</v>
      </c>
      <c r="D23" s="32" t="s">
        <v>166</v>
      </c>
      <c r="E23" s="32" t="s">
        <v>167</v>
      </c>
      <c r="F23" s="32" t="s">
        <v>51</v>
      </c>
      <c r="G23" s="147" t="s">
        <v>507</v>
      </c>
      <c r="H23" s="88">
        <v>5.0</v>
      </c>
      <c r="I23" s="7">
        <v>1100.0</v>
      </c>
      <c r="J23" s="7"/>
      <c r="L23" s="7"/>
      <c r="M23" s="7">
        <v>1.0</v>
      </c>
      <c r="N23" s="60">
        <f t="shared" si="1"/>
        <v>1100</v>
      </c>
      <c r="O23" s="89">
        <v>12.0</v>
      </c>
      <c r="P23" s="184">
        <v>12.5</v>
      </c>
      <c r="Q23" s="88">
        <v>6.0</v>
      </c>
      <c r="R23" s="88">
        <v>700.0</v>
      </c>
      <c r="S23" s="7">
        <f t="shared" si="2"/>
        <v>50400</v>
      </c>
      <c r="T23" s="7">
        <f t="shared" si="3"/>
        <v>6.75</v>
      </c>
      <c r="U23" s="60">
        <f t="shared" si="4"/>
        <v>4725</v>
      </c>
      <c r="V23" s="125">
        <f t="shared" si="5"/>
        <v>6300</v>
      </c>
      <c r="W23" s="101">
        <v>12.5</v>
      </c>
      <c r="X23" s="88">
        <v>400.0</v>
      </c>
      <c r="Y23" s="88">
        <v>1.6</v>
      </c>
      <c r="Z23" s="13">
        <f t="shared" si="6"/>
        <v>640</v>
      </c>
      <c r="AA23" s="13">
        <f t="shared" si="7"/>
        <v>350</v>
      </c>
      <c r="AB23" s="7">
        <f t="shared" si="8"/>
        <v>80</v>
      </c>
      <c r="AC23" s="93">
        <f t="shared" si="9"/>
        <v>960</v>
      </c>
      <c r="AD23" s="101">
        <v>34.5</v>
      </c>
      <c r="AE23" s="88">
        <v>750.0</v>
      </c>
      <c r="AF23" s="95">
        <v>0.55</v>
      </c>
      <c r="AG23" s="13">
        <f t="shared" si="10"/>
        <v>412.5</v>
      </c>
      <c r="AH23" s="13">
        <f t="shared" si="11"/>
        <v>491.25</v>
      </c>
      <c r="AI23" s="13">
        <f t="shared" si="12"/>
        <v>142.3125</v>
      </c>
      <c r="AJ23" s="17">
        <f t="shared" si="13"/>
        <v>1707.75</v>
      </c>
      <c r="AK23" s="91">
        <v>4.0</v>
      </c>
      <c r="AL23" s="95">
        <v>1.8</v>
      </c>
      <c r="AM23" s="95">
        <v>25.0</v>
      </c>
      <c r="AN23" s="13">
        <f t="shared" si="14"/>
        <v>45</v>
      </c>
      <c r="AO23" s="13">
        <f t="shared" si="15"/>
        <v>1.728</v>
      </c>
      <c r="AP23" s="13">
        <f t="shared" si="16"/>
        <v>1.8</v>
      </c>
      <c r="AQ23" s="17">
        <f t="shared" si="17"/>
        <v>21.6</v>
      </c>
      <c r="AR23" s="91">
        <v>13.0</v>
      </c>
      <c r="AS23" s="95">
        <v>16000.0</v>
      </c>
      <c r="AT23" s="17">
        <f t="shared" si="18"/>
        <v>2080</v>
      </c>
      <c r="AU23" s="91">
        <v>26.0</v>
      </c>
      <c r="AV23" s="95">
        <v>5500.0</v>
      </c>
      <c r="AW23" s="17">
        <f t="shared" si="19"/>
        <v>1430</v>
      </c>
      <c r="AX23" s="98">
        <f t="shared" si="20"/>
        <v>62496.75</v>
      </c>
      <c r="AY23" s="99">
        <f t="shared" si="21"/>
        <v>1136.304545</v>
      </c>
      <c r="AZ23" s="98">
        <f t="shared" si="22"/>
        <v>61396.75</v>
      </c>
      <c r="BA23" s="172"/>
    </row>
    <row r="24" ht="15.75" customHeight="1">
      <c r="A24" s="14"/>
      <c r="B24" s="31" t="s">
        <v>14</v>
      </c>
      <c r="C24" s="31" t="s">
        <v>508</v>
      </c>
      <c r="D24" s="32" t="s">
        <v>182</v>
      </c>
      <c r="E24" s="32" t="s">
        <v>581</v>
      </c>
      <c r="F24" s="32" t="s">
        <v>51</v>
      </c>
      <c r="G24" s="147" t="s">
        <v>509</v>
      </c>
      <c r="H24" s="88">
        <v>5.0</v>
      </c>
      <c r="I24" s="7">
        <v>4320.0</v>
      </c>
      <c r="J24" s="7"/>
      <c r="L24" s="7"/>
      <c r="M24" s="7">
        <v>1.0</v>
      </c>
      <c r="N24" s="60">
        <f t="shared" si="1"/>
        <v>4320</v>
      </c>
      <c r="O24" s="89">
        <v>12.0</v>
      </c>
      <c r="P24" s="184">
        <v>12.5</v>
      </c>
      <c r="Q24" s="88">
        <v>6.0</v>
      </c>
      <c r="R24" s="88">
        <v>700.0</v>
      </c>
      <c r="S24" s="7">
        <f t="shared" si="2"/>
        <v>50400</v>
      </c>
      <c r="T24" s="7">
        <f t="shared" si="3"/>
        <v>6.75</v>
      </c>
      <c r="U24" s="60">
        <f t="shared" si="4"/>
        <v>4725</v>
      </c>
      <c r="V24" s="125">
        <f t="shared" si="5"/>
        <v>6300</v>
      </c>
      <c r="W24" s="101">
        <v>12.5</v>
      </c>
      <c r="X24" s="88">
        <v>400.0</v>
      </c>
      <c r="Y24" s="88">
        <v>1.6</v>
      </c>
      <c r="Z24" s="13">
        <f t="shared" si="6"/>
        <v>640</v>
      </c>
      <c r="AA24" s="13">
        <f t="shared" si="7"/>
        <v>350</v>
      </c>
      <c r="AB24" s="7">
        <f t="shared" si="8"/>
        <v>80</v>
      </c>
      <c r="AC24" s="93">
        <f t="shared" si="9"/>
        <v>960</v>
      </c>
      <c r="AD24" s="101">
        <v>34.5</v>
      </c>
      <c r="AE24" s="88">
        <v>750.0</v>
      </c>
      <c r="AF24" s="95">
        <v>0.55</v>
      </c>
      <c r="AG24" s="13">
        <f t="shared" si="10"/>
        <v>412.5</v>
      </c>
      <c r="AH24" s="13">
        <f t="shared" si="11"/>
        <v>491.25</v>
      </c>
      <c r="AI24" s="13">
        <f t="shared" si="12"/>
        <v>142.3125</v>
      </c>
      <c r="AJ24" s="17">
        <f t="shared" si="13"/>
        <v>1707.75</v>
      </c>
      <c r="AK24" s="91">
        <v>4.0</v>
      </c>
      <c r="AL24" s="95">
        <v>1.8</v>
      </c>
      <c r="AM24" s="95">
        <v>25.0</v>
      </c>
      <c r="AN24" s="13">
        <f t="shared" si="14"/>
        <v>45</v>
      </c>
      <c r="AO24" s="13">
        <f t="shared" si="15"/>
        <v>1.728</v>
      </c>
      <c r="AP24" s="13">
        <f t="shared" si="16"/>
        <v>1.8</v>
      </c>
      <c r="AQ24" s="17">
        <f t="shared" si="17"/>
        <v>21.6</v>
      </c>
      <c r="AR24" s="91">
        <v>13.0</v>
      </c>
      <c r="AS24" s="95">
        <v>16000.0</v>
      </c>
      <c r="AT24" s="17">
        <f t="shared" si="18"/>
        <v>2080</v>
      </c>
      <c r="AU24" s="91">
        <v>26.0</v>
      </c>
      <c r="AV24" s="95">
        <v>5500.0</v>
      </c>
      <c r="AW24" s="17">
        <f t="shared" si="19"/>
        <v>1430</v>
      </c>
      <c r="AX24" s="98">
        <f t="shared" si="20"/>
        <v>62496.75</v>
      </c>
      <c r="AY24" s="99">
        <f t="shared" si="21"/>
        <v>289.3368056</v>
      </c>
      <c r="AZ24" s="98">
        <f t="shared" si="22"/>
        <v>58176.75</v>
      </c>
      <c r="BA24" s="172"/>
    </row>
    <row r="25" ht="15.75" customHeight="1">
      <c r="A25" s="14"/>
      <c r="B25" s="31" t="s">
        <v>14</v>
      </c>
      <c r="C25" s="31" t="s">
        <v>141</v>
      </c>
      <c r="D25" s="32" t="s">
        <v>198</v>
      </c>
      <c r="E25" s="32" t="s">
        <v>602</v>
      </c>
      <c r="F25" s="32" t="s">
        <v>51</v>
      </c>
      <c r="G25" s="147" t="s">
        <v>516</v>
      </c>
      <c r="H25" s="88">
        <v>5.0</v>
      </c>
      <c r="I25" s="7">
        <v>7000.0</v>
      </c>
      <c r="J25" s="7"/>
      <c r="L25" s="7"/>
      <c r="M25" s="7">
        <v>1.0</v>
      </c>
      <c r="N25" s="60">
        <f t="shared" si="1"/>
        <v>7000</v>
      </c>
      <c r="O25" s="89">
        <v>12.0</v>
      </c>
      <c r="P25" s="184">
        <v>12.5</v>
      </c>
      <c r="Q25" s="88">
        <v>6.0</v>
      </c>
      <c r="R25" s="88">
        <v>700.0</v>
      </c>
      <c r="S25" s="7">
        <f t="shared" si="2"/>
        <v>50400</v>
      </c>
      <c r="T25" s="7">
        <f t="shared" si="3"/>
        <v>6.75</v>
      </c>
      <c r="U25" s="60">
        <f t="shared" si="4"/>
        <v>4725</v>
      </c>
      <c r="V25" s="125">
        <f t="shared" si="5"/>
        <v>6300</v>
      </c>
      <c r="W25" s="101">
        <v>12.5</v>
      </c>
      <c r="X25" s="88">
        <v>400.0</v>
      </c>
      <c r="Y25" s="88">
        <v>1.6</v>
      </c>
      <c r="Z25" s="13">
        <f t="shared" si="6"/>
        <v>640</v>
      </c>
      <c r="AA25" s="13">
        <f t="shared" si="7"/>
        <v>350</v>
      </c>
      <c r="AB25" s="7">
        <f t="shared" si="8"/>
        <v>80</v>
      </c>
      <c r="AC25" s="93">
        <f t="shared" si="9"/>
        <v>960</v>
      </c>
      <c r="AD25" s="101">
        <v>34.5</v>
      </c>
      <c r="AE25" s="88">
        <v>750.0</v>
      </c>
      <c r="AF25" s="95">
        <v>0.55</v>
      </c>
      <c r="AG25" s="13">
        <f t="shared" si="10"/>
        <v>412.5</v>
      </c>
      <c r="AH25" s="13">
        <f t="shared" si="11"/>
        <v>491.25</v>
      </c>
      <c r="AI25" s="13">
        <f t="shared" si="12"/>
        <v>142.3125</v>
      </c>
      <c r="AJ25" s="17">
        <f t="shared" si="13"/>
        <v>1707.75</v>
      </c>
      <c r="AK25" s="91">
        <v>4.0</v>
      </c>
      <c r="AL25" s="95">
        <v>1.8</v>
      </c>
      <c r="AM25" s="95">
        <v>25.0</v>
      </c>
      <c r="AN25" s="13">
        <f t="shared" si="14"/>
        <v>45</v>
      </c>
      <c r="AO25" s="13">
        <f t="shared" si="15"/>
        <v>1.728</v>
      </c>
      <c r="AP25" s="13">
        <f t="shared" si="16"/>
        <v>1.8</v>
      </c>
      <c r="AQ25" s="17">
        <f t="shared" si="17"/>
        <v>21.6</v>
      </c>
      <c r="AR25" s="91">
        <v>13.0</v>
      </c>
      <c r="AS25" s="95">
        <v>16000.0</v>
      </c>
      <c r="AT25" s="17">
        <f t="shared" si="18"/>
        <v>2080</v>
      </c>
      <c r="AU25" s="91">
        <v>26.0</v>
      </c>
      <c r="AV25" s="95">
        <v>5500.0</v>
      </c>
      <c r="AW25" s="17">
        <f t="shared" si="19"/>
        <v>1430</v>
      </c>
      <c r="AX25" s="98">
        <f t="shared" si="20"/>
        <v>62496.75</v>
      </c>
      <c r="AY25" s="99">
        <f t="shared" si="21"/>
        <v>178.5621429</v>
      </c>
      <c r="AZ25" s="98">
        <f t="shared" si="22"/>
        <v>55496.75</v>
      </c>
      <c r="BA25" s="172"/>
    </row>
    <row r="26" ht="15.75" customHeight="1">
      <c r="A26" s="14"/>
      <c r="B26" s="31" t="s">
        <v>14</v>
      </c>
      <c r="C26" s="31" t="s">
        <v>141</v>
      </c>
      <c r="D26" s="32" t="s">
        <v>201</v>
      </c>
      <c r="E26" s="32" t="s">
        <v>515</v>
      </c>
      <c r="F26" s="32" t="s">
        <v>51</v>
      </c>
      <c r="G26" s="147" t="s">
        <v>580</v>
      </c>
      <c r="H26" s="88">
        <v>5.0</v>
      </c>
      <c r="I26" s="7">
        <v>10000.0</v>
      </c>
      <c r="J26" s="7"/>
      <c r="L26" s="7"/>
      <c r="M26" s="7">
        <v>1.0</v>
      </c>
      <c r="N26" s="60">
        <f t="shared" si="1"/>
        <v>10000</v>
      </c>
      <c r="O26" s="89">
        <v>12.0</v>
      </c>
      <c r="P26" s="184">
        <v>12.5</v>
      </c>
      <c r="Q26" s="88">
        <v>6.0</v>
      </c>
      <c r="R26" s="88">
        <v>700.0</v>
      </c>
      <c r="S26" s="7">
        <f t="shared" si="2"/>
        <v>50400</v>
      </c>
      <c r="T26" s="7">
        <f t="shared" si="3"/>
        <v>6.75</v>
      </c>
      <c r="U26" s="60">
        <f t="shared" si="4"/>
        <v>4725</v>
      </c>
      <c r="V26" s="125">
        <f t="shared" si="5"/>
        <v>6300</v>
      </c>
      <c r="W26" s="101">
        <v>12.5</v>
      </c>
      <c r="X26" s="88">
        <v>400.0</v>
      </c>
      <c r="Y26" s="88">
        <v>1.6</v>
      </c>
      <c r="Z26" s="13">
        <f t="shared" si="6"/>
        <v>640</v>
      </c>
      <c r="AA26" s="13">
        <f t="shared" si="7"/>
        <v>350</v>
      </c>
      <c r="AB26" s="7">
        <f t="shared" si="8"/>
        <v>80</v>
      </c>
      <c r="AC26" s="93">
        <f t="shared" si="9"/>
        <v>960</v>
      </c>
      <c r="AD26" s="101">
        <v>34.5</v>
      </c>
      <c r="AE26" s="88">
        <v>750.0</v>
      </c>
      <c r="AF26" s="95">
        <v>0.55</v>
      </c>
      <c r="AG26" s="13">
        <f t="shared" si="10"/>
        <v>412.5</v>
      </c>
      <c r="AH26" s="13">
        <f t="shared" si="11"/>
        <v>491.25</v>
      </c>
      <c r="AI26" s="13">
        <f t="shared" si="12"/>
        <v>142.3125</v>
      </c>
      <c r="AJ26" s="17">
        <f t="shared" si="13"/>
        <v>1707.75</v>
      </c>
      <c r="AK26" s="91">
        <v>4.0</v>
      </c>
      <c r="AL26" s="95">
        <v>1.8</v>
      </c>
      <c r="AM26" s="95">
        <v>25.0</v>
      </c>
      <c r="AN26" s="13">
        <f t="shared" si="14"/>
        <v>45</v>
      </c>
      <c r="AO26" s="13">
        <f t="shared" si="15"/>
        <v>1.728</v>
      </c>
      <c r="AP26" s="13">
        <f t="shared" si="16"/>
        <v>1.8</v>
      </c>
      <c r="AQ26" s="17">
        <f t="shared" si="17"/>
        <v>21.6</v>
      </c>
      <c r="AR26" s="91">
        <v>13.0</v>
      </c>
      <c r="AS26" s="95">
        <v>16000.0</v>
      </c>
      <c r="AT26" s="17">
        <f t="shared" si="18"/>
        <v>2080</v>
      </c>
      <c r="AU26" s="91">
        <v>26.0</v>
      </c>
      <c r="AV26" s="95">
        <v>5500.0</v>
      </c>
      <c r="AW26" s="17">
        <f t="shared" si="19"/>
        <v>1430</v>
      </c>
      <c r="AX26" s="98">
        <f t="shared" si="20"/>
        <v>62496.75</v>
      </c>
      <c r="AY26" s="99">
        <f t="shared" si="21"/>
        <v>124.9935</v>
      </c>
      <c r="AZ26" s="98">
        <f t="shared" si="22"/>
        <v>52496.75</v>
      </c>
      <c r="BA26" s="172"/>
    </row>
    <row r="27" ht="15.75" customHeight="1">
      <c r="A27" s="14"/>
      <c r="B27" s="31" t="s">
        <v>14</v>
      </c>
      <c r="C27" s="31" t="s">
        <v>582</v>
      </c>
      <c r="D27" s="32" t="s">
        <v>583</v>
      </c>
      <c r="E27" s="32" t="s">
        <v>512</v>
      </c>
      <c r="F27" s="32" t="s">
        <v>51</v>
      </c>
      <c r="G27" s="147" t="s">
        <v>513</v>
      </c>
      <c r="H27" s="88">
        <v>5.0</v>
      </c>
      <c r="I27" s="7">
        <v>17500.0</v>
      </c>
      <c r="J27" s="7"/>
      <c r="L27" s="7"/>
      <c r="M27" s="7">
        <v>1.0</v>
      </c>
      <c r="N27" s="60">
        <f t="shared" si="1"/>
        <v>17500</v>
      </c>
      <c r="O27" s="89">
        <v>12.0</v>
      </c>
      <c r="P27" s="184">
        <v>12.5</v>
      </c>
      <c r="Q27" s="88">
        <v>6.0</v>
      </c>
      <c r="R27" s="88">
        <v>700.0</v>
      </c>
      <c r="S27" s="7">
        <f t="shared" si="2"/>
        <v>50400</v>
      </c>
      <c r="T27" s="7">
        <f t="shared" si="3"/>
        <v>6.75</v>
      </c>
      <c r="U27" s="60">
        <f t="shared" si="4"/>
        <v>4725</v>
      </c>
      <c r="V27" s="125">
        <f t="shared" si="5"/>
        <v>6300</v>
      </c>
      <c r="W27" s="101">
        <v>12.5</v>
      </c>
      <c r="X27" s="88">
        <v>400.0</v>
      </c>
      <c r="Y27" s="88">
        <v>1.6</v>
      </c>
      <c r="Z27" s="13">
        <f t="shared" si="6"/>
        <v>640</v>
      </c>
      <c r="AA27" s="13">
        <f t="shared" si="7"/>
        <v>350</v>
      </c>
      <c r="AB27" s="7">
        <f t="shared" si="8"/>
        <v>80</v>
      </c>
      <c r="AC27" s="93">
        <f t="shared" si="9"/>
        <v>960</v>
      </c>
      <c r="AD27" s="101">
        <v>34.5</v>
      </c>
      <c r="AE27" s="88">
        <v>750.0</v>
      </c>
      <c r="AF27" s="95">
        <v>0.55</v>
      </c>
      <c r="AG27" s="13">
        <f t="shared" si="10"/>
        <v>412.5</v>
      </c>
      <c r="AH27" s="13">
        <f t="shared" si="11"/>
        <v>491.25</v>
      </c>
      <c r="AI27" s="13">
        <f t="shared" si="12"/>
        <v>142.3125</v>
      </c>
      <c r="AJ27" s="17">
        <f t="shared" si="13"/>
        <v>1707.75</v>
      </c>
      <c r="AK27" s="91">
        <v>4.0</v>
      </c>
      <c r="AL27" s="95">
        <v>1.8</v>
      </c>
      <c r="AM27" s="95">
        <v>25.0</v>
      </c>
      <c r="AN27" s="13">
        <f t="shared" si="14"/>
        <v>45</v>
      </c>
      <c r="AO27" s="13">
        <f t="shared" si="15"/>
        <v>1.728</v>
      </c>
      <c r="AP27" s="13">
        <f t="shared" si="16"/>
        <v>1.8</v>
      </c>
      <c r="AQ27" s="17">
        <f t="shared" si="17"/>
        <v>21.6</v>
      </c>
      <c r="AR27" s="91">
        <v>13.0</v>
      </c>
      <c r="AS27" s="95">
        <v>16000.0</v>
      </c>
      <c r="AT27" s="17">
        <f t="shared" si="18"/>
        <v>2080</v>
      </c>
      <c r="AU27" s="91">
        <v>26.0</v>
      </c>
      <c r="AV27" s="95">
        <v>5500.0</v>
      </c>
      <c r="AW27" s="17">
        <f t="shared" si="19"/>
        <v>1430</v>
      </c>
      <c r="AX27" s="98">
        <f t="shared" si="20"/>
        <v>62496.75</v>
      </c>
      <c r="AY27" s="99">
        <f t="shared" si="21"/>
        <v>71.42485714</v>
      </c>
      <c r="AZ27" s="98">
        <f t="shared" si="22"/>
        <v>44996.75</v>
      </c>
      <c r="BA27" s="172"/>
    </row>
    <row r="28" ht="15.75" customHeight="1">
      <c r="A28" s="14"/>
      <c r="B28" s="31" t="s">
        <v>502</v>
      </c>
      <c r="C28" s="31" t="s">
        <v>601</v>
      </c>
      <c r="D28" s="32" t="s">
        <v>171</v>
      </c>
      <c r="E28" s="32" t="s">
        <v>172</v>
      </c>
      <c r="F28" s="32" t="s">
        <v>51</v>
      </c>
      <c r="G28" s="147" t="s">
        <v>176</v>
      </c>
      <c r="H28" s="88">
        <v>5.0</v>
      </c>
      <c r="I28" s="7">
        <v>12500.0</v>
      </c>
      <c r="J28" s="7"/>
      <c r="L28" s="7"/>
      <c r="M28" s="7">
        <v>1.0</v>
      </c>
      <c r="N28" s="60">
        <f t="shared" si="1"/>
        <v>12500</v>
      </c>
      <c r="O28" s="89">
        <v>12.0</v>
      </c>
      <c r="P28" s="184">
        <v>12.5</v>
      </c>
      <c r="Q28" s="88">
        <v>6.0</v>
      </c>
      <c r="R28" s="88">
        <v>700.0</v>
      </c>
      <c r="S28" s="7">
        <f t="shared" si="2"/>
        <v>50400</v>
      </c>
      <c r="T28" s="7">
        <f t="shared" si="3"/>
        <v>6.75</v>
      </c>
      <c r="U28" s="60">
        <f t="shared" si="4"/>
        <v>4725</v>
      </c>
      <c r="V28" s="125">
        <f t="shared" si="5"/>
        <v>6300</v>
      </c>
      <c r="W28" s="101">
        <v>12.5</v>
      </c>
      <c r="X28" s="88">
        <v>400.0</v>
      </c>
      <c r="Y28" s="88">
        <v>1.6</v>
      </c>
      <c r="Z28" s="13">
        <f t="shared" si="6"/>
        <v>640</v>
      </c>
      <c r="AA28" s="13">
        <f t="shared" si="7"/>
        <v>350</v>
      </c>
      <c r="AB28" s="7">
        <f t="shared" si="8"/>
        <v>80</v>
      </c>
      <c r="AC28" s="93">
        <f t="shared" si="9"/>
        <v>960</v>
      </c>
      <c r="AD28" s="101">
        <v>34.5</v>
      </c>
      <c r="AE28" s="88">
        <v>750.0</v>
      </c>
      <c r="AF28" s="95">
        <v>0.55</v>
      </c>
      <c r="AG28" s="13">
        <f t="shared" si="10"/>
        <v>412.5</v>
      </c>
      <c r="AH28" s="13">
        <f t="shared" si="11"/>
        <v>491.25</v>
      </c>
      <c r="AI28" s="13">
        <f t="shared" si="12"/>
        <v>142.3125</v>
      </c>
      <c r="AJ28" s="17">
        <f t="shared" si="13"/>
        <v>1707.75</v>
      </c>
      <c r="AK28" s="91">
        <v>4.0</v>
      </c>
      <c r="AL28" s="95">
        <v>1.8</v>
      </c>
      <c r="AM28" s="95">
        <v>25.0</v>
      </c>
      <c r="AN28" s="13">
        <f t="shared" si="14"/>
        <v>45</v>
      </c>
      <c r="AO28" s="13">
        <f t="shared" si="15"/>
        <v>1.728</v>
      </c>
      <c r="AP28" s="13">
        <f t="shared" si="16"/>
        <v>1.8</v>
      </c>
      <c r="AQ28" s="17">
        <f t="shared" si="17"/>
        <v>21.6</v>
      </c>
      <c r="AR28" s="91">
        <v>13.0</v>
      </c>
      <c r="AS28" s="95">
        <v>16000.0</v>
      </c>
      <c r="AT28" s="17">
        <f t="shared" si="18"/>
        <v>2080</v>
      </c>
      <c r="AU28" s="91">
        <v>26.0</v>
      </c>
      <c r="AV28" s="95">
        <v>5500.0</v>
      </c>
      <c r="AW28" s="17">
        <f t="shared" si="19"/>
        <v>1430</v>
      </c>
      <c r="AX28" s="98">
        <f t="shared" si="20"/>
        <v>62496.75</v>
      </c>
      <c r="AY28" s="99">
        <f t="shared" si="21"/>
        <v>99.9948</v>
      </c>
      <c r="AZ28" s="98">
        <f t="shared" si="22"/>
        <v>49996.75</v>
      </c>
      <c r="BA28" s="172"/>
    </row>
    <row r="29" ht="15.75" customHeight="1">
      <c r="A29" s="14"/>
      <c r="B29" s="31" t="s">
        <v>502</v>
      </c>
      <c r="C29" s="31" t="s">
        <v>177</v>
      </c>
      <c r="D29" s="32" t="s">
        <v>504</v>
      </c>
      <c r="E29" s="32" t="s">
        <v>172</v>
      </c>
      <c r="F29" s="32" t="s">
        <v>51</v>
      </c>
      <c r="G29" s="147"/>
      <c r="H29" s="88">
        <v>5.0</v>
      </c>
      <c r="I29" s="88">
        <v>17500.0</v>
      </c>
      <c r="J29" s="7"/>
      <c r="L29" s="7"/>
      <c r="M29" s="7">
        <v>1.0</v>
      </c>
      <c r="N29" s="60">
        <f t="shared" si="1"/>
        <v>17500</v>
      </c>
      <c r="O29" s="89">
        <v>12.0</v>
      </c>
      <c r="P29" s="184">
        <v>12.5</v>
      </c>
      <c r="Q29" s="88">
        <v>6.0</v>
      </c>
      <c r="R29" s="88">
        <v>700.0</v>
      </c>
      <c r="S29" s="7">
        <f t="shared" si="2"/>
        <v>50400</v>
      </c>
      <c r="T29" s="7">
        <f t="shared" si="3"/>
        <v>6.75</v>
      </c>
      <c r="U29" s="60">
        <f t="shared" si="4"/>
        <v>4725</v>
      </c>
      <c r="V29" s="125">
        <f t="shared" si="5"/>
        <v>6300</v>
      </c>
      <c r="W29" s="101">
        <v>12.5</v>
      </c>
      <c r="X29" s="88">
        <v>400.0</v>
      </c>
      <c r="Y29" s="88">
        <v>1.6</v>
      </c>
      <c r="Z29" s="13">
        <f t="shared" si="6"/>
        <v>640</v>
      </c>
      <c r="AA29" s="13">
        <f t="shared" si="7"/>
        <v>350</v>
      </c>
      <c r="AB29" s="7">
        <f t="shared" si="8"/>
        <v>80</v>
      </c>
      <c r="AC29" s="93">
        <f t="shared" si="9"/>
        <v>960</v>
      </c>
      <c r="AD29" s="101">
        <v>34.5</v>
      </c>
      <c r="AE29" s="88">
        <v>750.0</v>
      </c>
      <c r="AF29" s="95">
        <v>0.55</v>
      </c>
      <c r="AG29" s="13">
        <f t="shared" si="10"/>
        <v>412.5</v>
      </c>
      <c r="AH29" s="13">
        <f t="shared" si="11"/>
        <v>491.25</v>
      </c>
      <c r="AI29" s="13">
        <f t="shared" si="12"/>
        <v>142.3125</v>
      </c>
      <c r="AJ29" s="17">
        <f t="shared" si="13"/>
        <v>1707.75</v>
      </c>
      <c r="AK29" s="91">
        <v>4.0</v>
      </c>
      <c r="AL29" s="95">
        <v>1.8</v>
      </c>
      <c r="AM29" s="95">
        <v>25.0</v>
      </c>
      <c r="AN29" s="13">
        <f t="shared" si="14"/>
        <v>45</v>
      </c>
      <c r="AO29" s="13">
        <f t="shared" si="15"/>
        <v>1.728</v>
      </c>
      <c r="AP29" s="13">
        <f t="shared" si="16"/>
        <v>1.8</v>
      </c>
      <c r="AQ29" s="17">
        <f t="shared" si="17"/>
        <v>21.6</v>
      </c>
      <c r="AR29" s="91">
        <v>13.0</v>
      </c>
      <c r="AS29" s="95">
        <v>16000.0</v>
      </c>
      <c r="AT29" s="17">
        <f t="shared" si="18"/>
        <v>2080</v>
      </c>
      <c r="AU29" s="91">
        <v>26.0</v>
      </c>
      <c r="AV29" s="95">
        <v>5500.0</v>
      </c>
      <c r="AW29" s="17">
        <f t="shared" si="19"/>
        <v>1430</v>
      </c>
      <c r="AX29" s="98">
        <f t="shared" si="20"/>
        <v>62496.75</v>
      </c>
      <c r="AY29" s="99">
        <f t="shared" si="21"/>
        <v>71.42485714</v>
      </c>
      <c r="AZ29" s="98">
        <f t="shared" si="22"/>
        <v>44996.75</v>
      </c>
      <c r="BA29" s="172"/>
    </row>
    <row r="30" ht="15.75" customHeight="1">
      <c r="A30" s="14"/>
      <c r="B30" s="31" t="s">
        <v>14</v>
      </c>
      <c r="C30" s="31" t="s">
        <v>508</v>
      </c>
      <c r="D30" s="32" t="s">
        <v>212</v>
      </c>
      <c r="E30" s="32" t="s">
        <v>136</v>
      </c>
      <c r="F30" s="32" t="s">
        <v>51</v>
      </c>
      <c r="G30" s="147" t="s">
        <v>503</v>
      </c>
      <c r="H30" s="88">
        <v>5.0</v>
      </c>
      <c r="I30" s="7">
        <v>20000.0</v>
      </c>
      <c r="J30" s="7"/>
      <c r="L30" s="7"/>
      <c r="M30" s="7">
        <v>1.0</v>
      </c>
      <c r="N30" s="60">
        <f t="shared" si="1"/>
        <v>20000</v>
      </c>
      <c r="O30" s="89">
        <v>12.0</v>
      </c>
      <c r="P30" s="184">
        <v>12.5</v>
      </c>
      <c r="Q30" s="88">
        <v>6.0</v>
      </c>
      <c r="R30" s="88">
        <v>700.0</v>
      </c>
      <c r="S30" s="7">
        <f t="shared" si="2"/>
        <v>50400</v>
      </c>
      <c r="T30" s="7">
        <f t="shared" si="3"/>
        <v>6.75</v>
      </c>
      <c r="U30" s="60">
        <f t="shared" si="4"/>
        <v>4725</v>
      </c>
      <c r="V30" s="125">
        <f t="shared" si="5"/>
        <v>6300</v>
      </c>
      <c r="W30" s="101">
        <v>12.5</v>
      </c>
      <c r="X30" s="88">
        <v>400.0</v>
      </c>
      <c r="Y30" s="88">
        <v>1.6</v>
      </c>
      <c r="Z30" s="13">
        <f t="shared" si="6"/>
        <v>640</v>
      </c>
      <c r="AA30" s="13">
        <f t="shared" si="7"/>
        <v>350</v>
      </c>
      <c r="AB30" s="7">
        <f t="shared" si="8"/>
        <v>80</v>
      </c>
      <c r="AC30" s="93">
        <f t="shared" si="9"/>
        <v>960</v>
      </c>
      <c r="AD30" s="101">
        <v>34.5</v>
      </c>
      <c r="AE30" s="88">
        <v>750.0</v>
      </c>
      <c r="AF30" s="95">
        <v>0.55</v>
      </c>
      <c r="AG30" s="13">
        <f t="shared" si="10"/>
        <v>412.5</v>
      </c>
      <c r="AH30" s="13">
        <f t="shared" si="11"/>
        <v>491.25</v>
      </c>
      <c r="AI30" s="13">
        <f t="shared" si="12"/>
        <v>142.3125</v>
      </c>
      <c r="AJ30" s="17">
        <f t="shared" si="13"/>
        <v>1707.75</v>
      </c>
      <c r="AK30" s="91">
        <v>4.0</v>
      </c>
      <c r="AL30" s="95">
        <v>1.8</v>
      </c>
      <c r="AM30" s="95">
        <v>25.0</v>
      </c>
      <c r="AN30" s="13">
        <f t="shared" si="14"/>
        <v>45</v>
      </c>
      <c r="AO30" s="13">
        <f t="shared" si="15"/>
        <v>1.728</v>
      </c>
      <c r="AP30" s="13">
        <f t="shared" si="16"/>
        <v>1.8</v>
      </c>
      <c r="AQ30" s="17">
        <f t="shared" si="17"/>
        <v>21.6</v>
      </c>
      <c r="AR30" s="91">
        <v>13.0</v>
      </c>
      <c r="AS30" s="95">
        <v>16000.0</v>
      </c>
      <c r="AT30" s="17">
        <f t="shared" si="18"/>
        <v>2080</v>
      </c>
      <c r="AU30" s="91">
        <v>26.0</v>
      </c>
      <c r="AV30" s="95">
        <v>5500.0</v>
      </c>
      <c r="AW30" s="17">
        <f t="shared" si="19"/>
        <v>1430</v>
      </c>
      <c r="AX30" s="98">
        <f t="shared" si="20"/>
        <v>62496.75</v>
      </c>
      <c r="AY30" s="99">
        <f t="shared" si="21"/>
        <v>62.49675</v>
      </c>
      <c r="AZ30" s="98">
        <f t="shared" si="22"/>
        <v>42496.75</v>
      </c>
      <c r="BA30" s="172"/>
    </row>
    <row r="31" ht="15.75" customHeight="1">
      <c r="A31" s="14"/>
      <c r="B31" s="31" t="s">
        <v>14</v>
      </c>
      <c r="C31" s="31" t="s">
        <v>141</v>
      </c>
      <c r="D31" s="32" t="s">
        <v>216</v>
      </c>
      <c r="E31" s="32" t="s">
        <v>172</v>
      </c>
      <c r="F31" s="32" t="s">
        <v>51</v>
      </c>
      <c r="G31" s="147" t="s">
        <v>503</v>
      </c>
      <c r="H31" s="88">
        <v>5.0</v>
      </c>
      <c r="I31" s="7">
        <v>20000.0</v>
      </c>
      <c r="J31" s="7"/>
      <c r="L31" s="7"/>
      <c r="M31" s="7">
        <v>1.0</v>
      </c>
      <c r="N31" s="60">
        <f t="shared" si="1"/>
        <v>20000</v>
      </c>
      <c r="O31" s="89">
        <v>12.0</v>
      </c>
      <c r="P31" s="184">
        <v>12.5</v>
      </c>
      <c r="Q31" s="88">
        <v>6.0</v>
      </c>
      <c r="R31" s="88">
        <v>700.0</v>
      </c>
      <c r="S31" s="7">
        <f t="shared" si="2"/>
        <v>50400</v>
      </c>
      <c r="T31" s="7">
        <f t="shared" si="3"/>
        <v>6.75</v>
      </c>
      <c r="U31" s="60">
        <f t="shared" si="4"/>
        <v>4725</v>
      </c>
      <c r="V31" s="125">
        <f t="shared" si="5"/>
        <v>6300</v>
      </c>
      <c r="W31" s="101">
        <v>12.5</v>
      </c>
      <c r="X31" s="88">
        <v>400.0</v>
      </c>
      <c r="Y31" s="88">
        <v>1.6</v>
      </c>
      <c r="Z31" s="13">
        <f t="shared" si="6"/>
        <v>640</v>
      </c>
      <c r="AA31" s="13">
        <f t="shared" si="7"/>
        <v>350</v>
      </c>
      <c r="AB31" s="7">
        <f t="shared" si="8"/>
        <v>80</v>
      </c>
      <c r="AC31" s="93">
        <f t="shared" si="9"/>
        <v>960</v>
      </c>
      <c r="AD31" s="101">
        <v>34.5</v>
      </c>
      <c r="AE31" s="88">
        <v>750.0</v>
      </c>
      <c r="AF31" s="95">
        <v>0.55</v>
      </c>
      <c r="AG31" s="13">
        <f t="shared" si="10"/>
        <v>412.5</v>
      </c>
      <c r="AH31" s="13">
        <f t="shared" si="11"/>
        <v>491.25</v>
      </c>
      <c r="AI31" s="13">
        <f t="shared" si="12"/>
        <v>142.3125</v>
      </c>
      <c r="AJ31" s="17">
        <f t="shared" si="13"/>
        <v>1707.75</v>
      </c>
      <c r="AK31" s="91">
        <v>4.0</v>
      </c>
      <c r="AL31" s="95">
        <v>1.8</v>
      </c>
      <c r="AM31" s="95">
        <v>25.0</v>
      </c>
      <c r="AN31" s="13">
        <f t="shared" si="14"/>
        <v>45</v>
      </c>
      <c r="AO31" s="13">
        <f t="shared" si="15"/>
        <v>1.728</v>
      </c>
      <c r="AP31" s="13">
        <f t="shared" si="16"/>
        <v>1.8</v>
      </c>
      <c r="AQ31" s="17">
        <f t="shared" si="17"/>
        <v>21.6</v>
      </c>
      <c r="AR31" s="91">
        <v>13.0</v>
      </c>
      <c r="AS31" s="95">
        <v>16000.0</v>
      </c>
      <c r="AT31" s="17">
        <f t="shared" si="18"/>
        <v>2080</v>
      </c>
      <c r="AU31" s="91">
        <v>26.0</v>
      </c>
      <c r="AV31" s="95">
        <v>5500.0</v>
      </c>
      <c r="AW31" s="17">
        <f t="shared" si="19"/>
        <v>1430</v>
      </c>
      <c r="AX31" s="98">
        <f t="shared" si="20"/>
        <v>62496.75</v>
      </c>
      <c r="AY31" s="99">
        <f t="shared" si="21"/>
        <v>62.49675</v>
      </c>
      <c r="AZ31" s="98">
        <f t="shared" si="22"/>
        <v>42496.75</v>
      </c>
      <c r="BA31" s="172"/>
    </row>
    <row r="32" ht="15.75" customHeight="1">
      <c r="A32" s="14"/>
      <c r="B32" s="31" t="s">
        <v>14</v>
      </c>
      <c r="C32" s="31" t="s">
        <v>177</v>
      </c>
      <c r="D32" s="32" t="s">
        <v>186</v>
      </c>
      <c r="E32" s="32" t="s">
        <v>187</v>
      </c>
      <c r="F32" s="32" t="s">
        <v>51</v>
      </c>
      <c r="G32" s="147" t="s">
        <v>510</v>
      </c>
      <c r="H32" s="88">
        <v>5.0</v>
      </c>
      <c r="I32" s="7">
        <v>4100.0</v>
      </c>
      <c r="J32" s="7"/>
      <c r="L32" s="7"/>
      <c r="M32" s="7">
        <v>1.0</v>
      </c>
      <c r="N32" s="60">
        <f t="shared" si="1"/>
        <v>4100</v>
      </c>
      <c r="O32" s="89">
        <v>12.0</v>
      </c>
      <c r="P32" s="184">
        <v>12.5</v>
      </c>
      <c r="Q32" s="88">
        <v>6.0</v>
      </c>
      <c r="R32" s="88">
        <v>700.0</v>
      </c>
      <c r="S32" s="7">
        <f t="shared" si="2"/>
        <v>50400</v>
      </c>
      <c r="T32" s="7">
        <f t="shared" si="3"/>
        <v>6.75</v>
      </c>
      <c r="U32" s="60">
        <f t="shared" si="4"/>
        <v>4725</v>
      </c>
      <c r="V32" s="125">
        <f t="shared" si="5"/>
        <v>6300</v>
      </c>
      <c r="W32" s="101">
        <v>12.5</v>
      </c>
      <c r="X32" s="88">
        <v>400.0</v>
      </c>
      <c r="Y32" s="88">
        <v>1.6</v>
      </c>
      <c r="Z32" s="13">
        <f t="shared" si="6"/>
        <v>640</v>
      </c>
      <c r="AA32" s="13">
        <f t="shared" si="7"/>
        <v>350</v>
      </c>
      <c r="AB32" s="7">
        <f t="shared" si="8"/>
        <v>80</v>
      </c>
      <c r="AC32" s="93">
        <f t="shared" si="9"/>
        <v>960</v>
      </c>
      <c r="AD32" s="101">
        <v>34.5</v>
      </c>
      <c r="AE32" s="88">
        <v>750.0</v>
      </c>
      <c r="AF32" s="95">
        <v>0.55</v>
      </c>
      <c r="AG32" s="13">
        <f t="shared" si="10"/>
        <v>412.5</v>
      </c>
      <c r="AH32" s="13">
        <f t="shared" si="11"/>
        <v>491.25</v>
      </c>
      <c r="AI32" s="13">
        <f t="shared" si="12"/>
        <v>142.3125</v>
      </c>
      <c r="AJ32" s="17">
        <f t="shared" si="13"/>
        <v>1707.75</v>
      </c>
      <c r="AK32" s="91">
        <v>4.0</v>
      </c>
      <c r="AL32" s="95">
        <v>1.8</v>
      </c>
      <c r="AM32" s="95">
        <v>25.0</v>
      </c>
      <c r="AN32" s="13">
        <f t="shared" si="14"/>
        <v>45</v>
      </c>
      <c r="AO32" s="13">
        <f t="shared" si="15"/>
        <v>1.728</v>
      </c>
      <c r="AP32" s="13">
        <f t="shared" si="16"/>
        <v>1.8</v>
      </c>
      <c r="AQ32" s="17">
        <f t="shared" si="17"/>
        <v>21.6</v>
      </c>
      <c r="AR32" s="91">
        <v>13.0</v>
      </c>
      <c r="AS32" s="95">
        <v>16000.0</v>
      </c>
      <c r="AT32" s="17">
        <f t="shared" si="18"/>
        <v>2080</v>
      </c>
      <c r="AU32" s="91">
        <v>26.0</v>
      </c>
      <c r="AV32" s="95">
        <v>5500.0</v>
      </c>
      <c r="AW32" s="17">
        <f t="shared" si="19"/>
        <v>1430</v>
      </c>
      <c r="AX32" s="98">
        <f t="shared" si="20"/>
        <v>62496.75</v>
      </c>
      <c r="AY32" s="99">
        <f t="shared" si="21"/>
        <v>304.8621951</v>
      </c>
      <c r="AZ32" s="98">
        <f t="shared" si="22"/>
        <v>58396.75</v>
      </c>
      <c r="BA32" s="172"/>
    </row>
    <row r="33" ht="15.75" customHeight="1">
      <c r="A33" s="14"/>
      <c r="B33" s="31" t="s">
        <v>14</v>
      </c>
      <c r="C33" s="31" t="s">
        <v>141</v>
      </c>
      <c r="D33" s="32" t="s">
        <v>191</v>
      </c>
      <c r="E33" s="32" t="s">
        <v>187</v>
      </c>
      <c r="F33" s="32" t="s">
        <v>51</v>
      </c>
      <c r="G33" s="147" t="s">
        <v>514</v>
      </c>
      <c r="H33" s="88">
        <v>5.0</v>
      </c>
      <c r="I33" s="7">
        <v>15000.0</v>
      </c>
      <c r="J33" s="7"/>
      <c r="L33" s="7"/>
      <c r="M33" s="7">
        <v>1.0</v>
      </c>
      <c r="N33" s="60">
        <f t="shared" si="1"/>
        <v>15000</v>
      </c>
      <c r="O33" s="89">
        <v>12.0</v>
      </c>
      <c r="P33" s="184">
        <v>12.5</v>
      </c>
      <c r="Q33" s="88">
        <v>6.0</v>
      </c>
      <c r="R33" s="88">
        <v>700.0</v>
      </c>
      <c r="S33" s="7">
        <f t="shared" si="2"/>
        <v>50400</v>
      </c>
      <c r="T33" s="7">
        <f t="shared" si="3"/>
        <v>6.75</v>
      </c>
      <c r="U33" s="60">
        <f t="shared" si="4"/>
        <v>4725</v>
      </c>
      <c r="V33" s="125">
        <f t="shared" si="5"/>
        <v>6300</v>
      </c>
      <c r="W33" s="101">
        <v>12.5</v>
      </c>
      <c r="X33" s="88">
        <v>400.0</v>
      </c>
      <c r="Y33" s="88">
        <v>1.6</v>
      </c>
      <c r="Z33" s="13">
        <f t="shared" si="6"/>
        <v>640</v>
      </c>
      <c r="AA33" s="13">
        <f t="shared" si="7"/>
        <v>350</v>
      </c>
      <c r="AB33" s="7">
        <f t="shared" si="8"/>
        <v>80</v>
      </c>
      <c r="AC33" s="93">
        <f t="shared" si="9"/>
        <v>960</v>
      </c>
      <c r="AD33" s="101">
        <v>34.5</v>
      </c>
      <c r="AE33" s="88">
        <v>750.0</v>
      </c>
      <c r="AF33" s="95">
        <v>0.55</v>
      </c>
      <c r="AG33" s="13">
        <f t="shared" si="10"/>
        <v>412.5</v>
      </c>
      <c r="AH33" s="13">
        <f t="shared" si="11"/>
        <v>491.25</v>
      </c>
      <c r="AI33" s="13">
        <f t="shared" si="12"/>
        <v>142.3125</v>
      </c>
      <c r="AJ33" s="17">
        <f t="shared" si="13"/>
        <v>1707.75</v>
      </c>
      <c r="AK33" s="91">
        <v>4.0</v>
      </c>
      <c r="AL33" s="95">
        <v>1.8</v>
      </c>
      <c r="AM33" s="95">
        <v>25.0</v>
      </c>
      <c r="AN33" s="13">
        <f t="shared" si="14"/>
        <v>45</v>
      </c>
      <c r="AO33" s="13">
        <f t="shared" si="15"/>
        <v>1.728</v>
      </c>
      <c r="AP33" s="13">
        <f t="shared" si="16"/>
        <v>1.8</v>
      </c>
      <c r="AQ33" s="17">
        <f t="shared" si="17"/>
        <v>21.6</v>
      </c>
      <c r="AR33" s="91">
        <v>13.0</v>
      </c>
      <c r="AS33" s="95">
        <v>16000.0</v>
      </c>
      <c r="AT33" s="17">
        <f t="shared" si="18"/>
        <v>2080</v>
      </c>
      <c r="AU33" s="91">
        <v>26.0</v>
      </c>
      <c r="AV33" s="95">
        <v>5500.0</v>
      </c>
      <c r="AW33" s="17">
        <f t="shared" si="19"/>
        <v>1430</v>
      </c>
      <c r="AX33" s="98">
        <f t="shared" si="20"/>
        <v>62496.75</v>
      </c>
      <c r="AY33" s="99">
        <f t="shared" si="21"/>
        <v>83.329</v>
      </c>
      <c r="AZ33" s="98">
        <f t="shared" si="22"/>
        <v>47496.75</v>
      </c>
      <c r="BA33" s="172"/>
    </row>
    <row r="34" ht="15.75" customHeight="1">
      <c r="A34" s="21"/>
      <c r="B34" s="180" t="s">
        <v>14</v>
      </c>
      <c r="C34" s="180" t="s">
        <v>141</v>
      </c>
      <c r="D34" s="181" t="s">
        <v>194</v>
      </c>
      <c r="E34" s="181" t="s">
        <v>579</v>
      </c>
      <c r="F34" s="181" t="s">
        <v>51</v>
      </c>
      <c r="G34" s="148" t="s">
        <v>517</v>
      </c>
      <c r="H34" s="108">
        <v>5.0</v>
      </c>
      <c r="I34" s="106">
        <v>6000.0</v>
      </c>
      <c r="J34" s="106"/>
      <c r="K34" s="109"/>
      <c r="L34" s="106"/>
      <c r="M34" s="106">
        <v>1.0</v>
      </c>
      <c r="N34" s="110">
        <f t="shared" si="1"/>
        <v>6000</v>
      </c>
      <c r="O34" s="111">
        <v>12.0</v>
      </c>
      <c r="P34" s="185">
        <v>12.5</v>
      </c>
      <c r="Q34" s="108">
        <v>6.0</v>
      </c>
      <c r="R34" s="108">
        <v>700.0</v>
      </c>
      <c r="S34" s="106">
        <f t="shared" si="2"/>
        <v>50400</v>
      </c>
      <c r="T34" s="106">
        <f t="shared" si="3"/>
        <v>6.75</v>
      </c>
      <c r="U34" s="110">
        <f t="shared" si="4"/>
        <v>4725</v>
      </c>
      <c r="V34" s="113">
        <f t="shared" si="5"/>
        <v>6300</v>
      </c>
      <c r="W34" s="128">
        <v>12.5</v>
      </c>
      <c r="X34" s="108">
        <v>400.0</v>
      </c>
      <c r="Y34" s="108">
        <v>1.6</v>
      </c>
      <c r="Z34" s="22">
        <f t="shared" si="6"/>
        <v>640</v>
      </c>
      <c r="AA34" s="22">
        <f t="shared" si="7"/>
        <v>350</v>
      </c>
      <c r="AB34" s="106">
        <f t="shared" si="8"/>
        <v>80</v>
      </c>
      <c r="AC34" s="115">
        <f t="shared" si="9"/>
        <v>960</v>
      </c>
      <c r="AD34" s="128">
        <v>34.5</v>
      </c>
      <c r="AE34" s="108">
        <v>750.0</v>
      </c>
      <c r="AF34" s="117">
        <v>0.55</v>
      </c>
      <c r="AG34" s="22">
        <f t="shared" si="10"/>
        <v>412.5</v>
      </c>
      <c r="AH34" s="22">
        <f t="shared" si="11"/>
        <v>491.25</v>
      </c>
      <c r="AI34" s="22">
        <f t="shared" si="12"/>
        <v>142.3125</v>
      </c>
      <c r="AJ34" s="25">
        <f t="shared" si="13"/>
        <v>1707.75</v>
      </c>
      <c r="AK34" s="156">
        <v>4.0</v>
      </c>
      <c r="AL34" s="117">
        <v>1.8</v>
      </c>
      <c r="AM34" s="117">
        <v>25.0</v>
      </c>
      <c r="AN34" s="22">
        <f t="shared" si="14"/>
        <v>45</v>
      </c>
      <c r="AO34" s="22">
        <f t="shared" si="15"/>
        <v>1.728</v>
      </c>
      <c r="AP34" s="22">
        <f t="shared" si="16"/>
        <v>1.8</v>
      </c>
      <c r="AQ34" s="25">
        <f t="shared" si="17"/>
        <v>21.6</v>
      </c>
      <c r="AR34" s="156">
        <v>13.0</v>
      </c>
      <c r="AS34" s="117">
        <v>16000.0</v>
      </c>
      <c r="AT34" s="25">
        <f t="shared" si="18"/>
        <v>2080</v>
      </c>
      <c r="AU34" s="156">
        <v>26.0</v>
      </c>
      <c r="AV34" s="117">
        <v>5500.0</v>
      </c>
      <c r="AW34" s="25">
        <f t="shared" si="19"/>
        <v>1430</v>
      </c>
      <c r="AX34" s="119">
        <f t="shared" si="20"/>
        <v>62496.75</v>
      </c>
      <c r="AY34" s="120">
        <f t="shared" si="21"/>
        <v>208.3225</v>
      </c>
      <c r="AZ34" s="119">
        <f t="shared" si="22"/>
        <v>56496.75</v>
      </c>
      <c r="BA34" s="182"/>
    </row>
    <row r="35" ht="15.75" customHeight="1">
      <c r="A35" s="8" t="s">
        <v>603</v>
      </c>
      <c r="B35" s="168" t="s">
        <v>14</v>
      </c>
      <c r="C35" s="168" t="s">
        <v>604</v>
      </c>
      <c r="D35" s="169" t="s">
        <v>220</v>
      </c>
      <c r="E35" s="169" t="s">
        <v>221</v>
      </c>
      <c r="F35" s="169" t="s">
        <v>51</v>
      </c>
      <c r="G35" s="145" t="s">
        <v>519</v>
      </c>
      <c r="H35" s="76">
        <v>5.0</v>
      </c>
      <c r="I35" s="74"/>
      <c r="J35" s="74"/>
      <c r="K35" s="77"/>
      <c r="L35" s="74">
        <v>260.0</v>
      </c>
      <c r="M35" s="74">
        <v>1.0</v>
      </c>
      <c r="N35" s="78">
        <f t="shared" si="1"/>
        <v>1300</v>
      </c>
      <c r="O35" s="121">
        <v>12.0</v>
      </c>
      <c r="P35" s="151">
        <v>17.0</v>
      </c>
      <c r="Q35" s="76">
        <v>6.0</v>
      </c>
      <c r="R35" s="76">
        <v>700.0</v>
      </c>
      <c r="S35" s="74">
        <f t="shared" si="2"/>
        <v>50400</v>
      </c>
      <c r="T35" s="74">
        <f t="shared" si="3"/>
        <v>7.02</v>
      </c>
      <c r="U35" s="78">
        <f t="shared" si="4"/>
        <v>4914</v>
      </c>
      <c r="V35" s="80">
        <f t="shared" si="5"/>
        <v>8568</v>
      </c>
      <c r="W35" s="123">
        <v>8.0</v>
      </c>
      <c r="X35" s="76">
        <v>400.0</v>
      </c>
      <c r="Y35" s="76">
        <v>1.6</v>
      </c>
      <c r="Z35" s="9">
        <f t="shared" si="6"/>
        <v>640</v>
      </c>
      <c r="AA35" s="9">
        <f t="shared" si="7"/>
        <v>368</v>
      </c>
      <c r="AB35" s="74">
        <f t="shared" si="8"/>
        <v>51.2</v>
      </c>
      <c r="AC35" s="81">
        <f t="shared" si="9"/>
        <v>614.4</v>
      </c>
      <c r="AD35" s="84">
        <v>20.0</v>
      </c>
      <c r="AE35" s="76">
        <v>750.0</v>
      </c>
      <c r="AF35" s="83">
        <v>0.55</v>
      </c>
      <c r="AG35" s="9">
        <f t="shared" si="10"/>
        <v>412.5</v>
      </c>
      <c r="AH35" s="9">
        <f t="shared" si="11"/>
        <v>600</v>
      </c>
      <c r="AI35" s="9">
        <f t="shared" si="12"/>
        <v>82.5</v>
      </c>
      <c r="AJ35" s="12">
        <f t="shared" si="13"/>
        <v>990</v>
      </c>
      <c r="AK35" s="84">
        <v>25.0</v>
      </c>
      <c r="AL35" s="83">
        <v>1.8</v>
      </c>
      <c r="AM35" s="83">
        <v>25.0</v>
      </c>
      <c r="AN35" s="9">
        <f t="shared" si="14"/>
        <v>45</v>
      </c>
      <c r="AO35" s="9">
        <f t="shared" si="15"/>
        <v>1.35</v>
      </c>
      <c r="AP35" s="9">
        <f t="shared" si="16"/>
        <v>11.25</v>
      </c>
      <c r="AQ35" s="12">
        <f t="shared" si="17"/>
        <v>135</v>
      </c>
      <c r="AR35" s="123">
        <v>2.8</v>
      </c>
      <c r="AS35" s="83">
        <v>16000.0</v>
      </c>
      <c r="AT35" s="12">
        <f t="shared" si="18"/>
        <v>448</v>
      </c>
      <c r="AU35" s="85">
        <v>0.0</v>
      </c>
      <c r="AV35" s="83">
        <v>5500.0</v>
      </c>
      <c r="AW35" s="12">
        <f t="shared" si="19"/>
        <v>0</v>
      </c>
      <c r="AX35" s="86">
        <f t="shared" si="20"/>
        <v>53777</v>
      </c>
      <c r="AY35" s="87">
        <f t="shared" si="21"/>
        <v>827.3384615</v>
      </c>
      <c r="AZ35" s="86">
        <f t="shared" si="22"/>
        <v>52477</v>
      </c>
      <c r="BA35" s="171"/>
    </row>
    <row r="36" ht="15.75" customHeight="1">
      <c r="A36" s="14"/>
      <c r="B36" s="31" t="s">
        <v>14</v>
      </c>
      <c r="C36" s="31" t="s">
        <v>225</v>
      </c>
      <c r="D36" s="32" t="s">
        <v>226</v>
      </c>
      <c r="E36" s="32" t="s">
        <v>584</v>
      </c>
      <c r="F36" s="32" t="s">
        <v>51</v>
      </c>
      <c r="G36" s="147" t="s">
        <v>520</v>
      </c>
      <c r="H36" s="88">
        <v>5.0</v>
      </c>
      <c r="I36" s="7">
        <v>22300.0</v>
      </c>
      <c r="J36" s="7"/>
      <c r="L36" s="7"/>
      <c r="M36" s="7">
        <v>1.0</v>
      </c>
      <c r="N36" s="60">
        <f t="shared" si="1"/>
        <v>22300</v>
      </c>
      <c r="O36" s="89">
        <v>12.0</v>
      </c>
      <c r="P36" s="51">
        <v>17.0</v>
      </c>
      <c r="Q36" s="88">
        <v>6.0</v>
      </c>
      <c r="R36" s="88">
        <v>700.0</v>
      </c>
      <c r="S36" s="7">
        <f t="shared" si="2"/>
        <v>50400</v>
      </c>
      <c r="T36" s="7">
        <f t="shared" si="3"/>
        <v>7.02</v>
      </c>
      <c r="U36" s="60">
        <f t="shared" si="4"/>
        <v>4914</v>
      </c>
      <c r="V36" s="125">
        <f t="shared" si="5"/>
        <v>8568</v>
      </c>
      <c r="W36" s="94">
        <v>8.0</v>
      </c>
      <c r="X36" s="88">
        <v>400.0</v>
      </c>
      <c r="Y36" s="88">
        <v>1.6</v>
      </c>
      <c r="Z36" s="13">
        <f t="shared" si="6"/>
        <v>640</v>
      </c>
      <c r="AA36" s="13">
        <f t="shared" si="7"/>
        <v>368</v>
      </c>
      <c r="AB36" s="7">
        <f t="shared" si="8"/>
        <v>51.2</v>
      </c>
      <c r="AC36" s="93">
        <f t="shared" si="9"/>
        <v>614.4</v>
      </c>
      <c r="AD36" s="97">
        <v>0.0</v>
      </c>
      <c r="AE36" s="88">
        <v>750.0</v>
      </c>
      <c r="AF36" s="95">
        <v>0.55</v>
      </c>
      <c r="AG36" s="13">
        <f t="shared" si="10"/>
        <v>412.5</v>
      </c>
      <c r="AH36" s="13">
        <f t="shared" si="11"/>
        <v>750</v>
      </c>
      <c r="AI36" s="13">
        <f t="shared" si="12"/>
        <v>0</v>
      </c>
      <c r="AJ36" s="17">
        <f t="shared" si="13"/>
        <v>0</v>
      </c>
      <c r="AK36" s="97">
        <v>0.0</v>
      </c>
      <c r="AL36" s="95">
        <v>1.8</v>
      </c>
      <c r="AM36" s="95">
        <v>25.0</v>
      </c>
      <c r="AN36" s="13">
        <f t="shared" si="14"/>
        <v>45</v>
      </c>
      <c r="AO36" s="13">
        <f t="shared" si="15"/>
        <v>1.8</v>
      </c>
      <c r="AP36" s="13">
        <f t="shared" si="16"/>
        <v>0</v>
      </c>
      <c r="AQ36" s="17">
        <f t="shared" si="17"/>
        <v>0</v>
      </c>
      <c r="AR36" s="94">
        <v>2.8</v>
      </c>
      <c r="AS36" s="95">
        <v>16000.0</v>
      </c>
      <c r="AT36" s="17">
        <f t="shared" si="18"/>
        <v>448</v>
      </c>
      <c r="AU36" s="97">
        <v>0.0</v>
      </c>
      <c r="AV36" s="95">
        <v>5500.0</v>
      </c>
      <c r="AW36" s="17">
        <f t="shared" si="19"/>
        <v>0</v>
      </c>
      <c r="AX36" s="98">
        <f t="shared" si="20"/>
        <v>48152</v>
      </c>
      <c r="AY36" s="99">
        <f t="shared" si="21"/>
        <v>43.18565022</v>
      </c>
      <c r="AZ36" s="98">
        <f t="shared" si="22"/>
        <v>25852</v>
      </c>
      <c r="BA36" s="172"/>
    </row>
    <row r="37" ht="15.75" customHeight="1">
      <c r="A37" s="14"/>
      <c r="B37" s="31" t="s">
        <v>14</v>
      </c>
      <c r="C37" s="31" t="s">
        <v>238</v>
      </c>
      <c r="D37" s="32" t="s">
        <v>239</v>
      </c>
      <c r="E37" s="32" t="s">
        <v>187</v>
      </c>
      <c r="F37" s="32" t="s">
        <v>51</v>
      </c>
      <c r="G37" s="147" t="s">
        <v>522</v>
      </c>
      <c r="H37" s="88">
        <v>5.0</v>
      </c>
      <c r="I37" s="7">
        <v>3000.0</v>
      </c>
      <c r="J37" s="7"/>
      <c r="L37" s="7"/>
      <c r="M37" s="7">
        <v>1.0</v>
      </c>
      <c r="N37" s="60">
        <f t="shared" si="1"/>
        <v>3000</v>
      </c>
      <c r="O37" s="89">
        <v>12.0</v>
      </c>
      <c r="P37" s="51">
        <v>17.0</v>
      </c>
      <c r="Q37" s="88">
        <v>6.0</v>
      </c>
      <c r="R37" s="88">
        <v>700.0</v>
      </c>
      <c r="S37" s="7">
        <f t="shared" si="2"/>
        <v>50400</v>
      </c>
      <c r="T37" s="7">
        <f t="shared" si="3"/>
        <v>7.02</v>
      </c>
      <c r="U37" s="60">
        <f t="shared" si="4"/>
        <v>4914</v>
      </c>
      <c r="V37" s="125">
        <f t="shared" si="5"/>
        <v>8568</v>
      </c>
      <c r="W37" s="97">
        <v>0.0</v>
      </c>
      <c r="X37" s="88">
        <v>400.0</v>
      </c>
      <c r="Y37" s="88">
        <v>1.6</v>
      </c>
      <c r="Z37" s="13">
        <f t="shared" si="6"/>
        <v>640</v>
      </c>
      <c r="AA37" s="13">
        <f t="shared" si="7"/>
        <v>400</v>
      </c>
      <c r="AB37" s="7">
        <f t="shared" si="8"/>
        <v>0</v>
      </c>
      <c r="AC37" s="93">
        <f t="shared" si="9"/>
        <v>0</v>
      </c>
      <c r="AD37" s="97">
        <v>0.0</v>
      </c>
      <c r="AE37" s="88">
        <v>750.0</v>
      </c>
      <c r="AF37" s="95">
        <v>0.55</v>
      </c>
      <c r="AG37" s="13">
        <f t="shared" si="10"/>
        <v>412.5</v>
      </c>
      <c r="AH37" s="13">
        <f t="shared" si="11"/>
        <v>750</v>
      </c>
      <c r="AI37" s="13">
        <f t="shared" si="12"/>
        <v>0</v>
      </c>
      <c r="AJ37" s="17">
        <f t="shared" si="13"/>
        <v>0</v>
      </c>
      <c r="AK37" s="96">
        <v>25.0</v>
      </c>
      <c r="AL37" s="95">
        <v>1.8</v>
      </c>
      <c r="AM37" s="95">
        <v>25.0</v>
      </c>
      <c r="AN37" s="13">
        <f t="shared" si="14"/>
        <v>45</v>
      </c>
      <c r="AO37" s="13">
        <f t="shared" si="15"/>
        <v>1.35</v>
      </c>
      <c r="AP37" s="13">
        <f t="shared" si="16"/>
        <v>11.25</v>
      </c>
      <c r="AQ37" s="17">
        <f t="shared" si="17"/>
        <v>135</v>
      </c>
      <c r="AR37" s="94">
        <v>2.8</v>
      </c>
      <c r="AS37" s="95">
        <v>16000.0</v>
      </c>
      <c r="AT37" s="17">
        <f t="shared" si="18"/>
        <v>448</v>
      </c>
      <c r="AU37" s="97">
        <v>0.0</v>
      </c>
      <c r="AV37" s="95">
        <v>5500.0</v>
      </c>
      <c r="AW37" s="17">
        <f t="shared" si="19"/>
        <v>0</v>
      </c>
      <c r="AX37" s="98">
        <f t="shared" si="20"/>
        <v>45755</v>
      </c>
      <c r="AY37" s="99">
        <f t="shared" si="21"/>
        <v>305.0333333</v>
      </c>
      <c r="AZ37" s="98">
        <f t="shared" si="22"/>
        <v>42755</v>
      </c>
      <c r="BA37" s="172"/>
    </row>
    <row r="38" ht="15.75" customHeight="1">
      <c r="A38" s="14"/>
      <c r="B38" s="31" t="s">
        <v>14</v>
      </c>
      <c r="C38" s="31" t="s">
        <v>238</v>
      </c>
      <c r="D38" s="32" t="s">
        <v>243</v>
      </c>
      <c r="E38" s="32" t="s">
        <v>244</v>
      </c>
      <c r="F38" s="32" t="s">
        <v>51</v>
      </c>
      <c r="G38" s="147" t="s">
        <v>523</v>
      </c>
      <c r="H38" s="88">
        <v>5.0</v>
      </c>
      <c r="I38" s="13">
        <v>2500.0</v>
      </c>
      <c r="J38" s="13"/>
      <c r="K38" s="13"/>
      <c r="L38" s="13"/>
      <c r="M38" s="7">
        <v>1.0</v>
      </c>
      <c r="N38" s="60">
        <f t="shared" si="1"/>
        <v>2500</v>
      </c>
      <c r="O38" s="89">
        <v>12.0</v>
      </c>
      <c r="P38" s="51">
        <v>17.0</v>
      </c>
      <c r="Q38" s="88">
        <v>6.0</v>
      </c>
      <c r="R38" s="88">
        <v>700.0</v>
      </c>
      <c r="S38" s="7">
        <f t="shared" si="2"/>
        <v>50400</v>
      </c>
      <c r="T38" s="7">
        <f t="shared" si="3"/>
        <v>7.02</v>
      </c>
      <c r="U38" s="60">
        <f t="shared" si="4"/>
        <v>4914</v>
      </c>
      <c r="V38" s="125">
        <f t="shared" si="5"/>
        <v>8568</v>
      </c>
      <c r="W38" s="97">
        <v>0.0</v>
      </c>
      <c r="X38" s="88">
        <v>400.0</v>
      </c>
      <c r="Y38" s="88">
        <v>1.6</v>
      </c>
      <c r="Z38" s="13">
        <f t="shared" si="6"/>
        <v>640</v>
      </c>
      <c r="AA38" s="13">
        <f t="shared" si="7"/>
        <v>400</v>
      </c>
      <c r="AB38" s="7">
        <f t="shared" si="8"/>
        <v>0</v>
      </c>
      <c r="AC38" s="93">
        <f t="shared" si="9"/>
        <v>0</v>
      </c>
      <c r="AD38" s="97">
        <v>0.0</v>
      </c>
      <c r="AE38" s="88">
        <v>750.0</v>
      </c>
      <c r="AF38" s="95">
        <v>0.55</v>
      </c>
      <c r="AG38" s="13">
        <f t="shared" si="10"/>
        <v>412.5</v>
      </c>
      <c r="AH38" s="13">
        <f t="shared" si="11"/>
        <v>750</v>
      </c>
      <c r="AI38" s="13">
        <f t="shared" si="12"/>
        <v>0</v>
      </c>
      <c r="AJ38" s="17">
        <f t="shared" si="13"/>
        <v>0</v>
      </c>
      <c r="AK38" s="96">
        <v>25.0</v>
      </c>
      <c r="AL38" s="95">
        <v>1.8</v>
      </c>
      <c r="AM38" s="95">
        <v>25.0</v>
      </c>
      <c r="AN38" s="13">
        <f t="shared" si="14"/>
        <v>45</v>
      </c>
      <c r="AO38" s="13">
        <f t="shared" si="15"/>
        <v>1.35</v>
      </c>
      <c r="AP38" s="13">
        <f t="shared" si="16"/>
        <v>11.25</v>
      </c>
      <c r="AQ38" s="17">
        <f t="shared" si="17"/>
        <v>135</v>
      </c>
      <c r="AR38" s="94">
        <v>2.8</v>
      </c>
      <c r="AS38" s="95">
        <v>16000.0</v>
      </c>
      <c r="AT38" s="17">
        <f t="shared" si="18"/>
        <v>448</v>
      </c>
      <c r="AU38" s="97">
        <v>0.0</v>
      </c>
      <c r="AV38" s="95">
        <v>5500.0</v>
      </c>
      <c r="AW38" s="17">
        <f t="shared" si="19"/>
        <v>0</v>
      </c>
      <c r="AX38" s="98">
        <f t="shared" si="20"/>
        <v>45755</v>
      </c>
      <c r="AY38" s="99">
        <f t="shared" si="21"/>
        <v>366.04</v>
      </c>
      <c r="AZ38" s="98">
        <f t="shared" si="22"/>
        <v>43255</v>
      </c>
      <c r="BA38" s="172"/>
    </row>
    <row r="39" ht="15.75" customHeight="1">
      <c r="A39" s="14"/>
      <c r="B39" s="31" t="s">
        <v>14</v>
      </c>
      <c r="C39" s="31" t="s">
        <v>585</v>
      </c>
      <c r="D39" s="32" t="s">
        <v>262</v>
      </c>
      <c r="E39" s="32" t="s">
        <v>172</v>
      </c>
      <c r="F39" s="32" t="s">
        <v>51</v>
      </c>
      <c r="G39" s="147" t="s">
        <v>524</v>
      </c>
      <c r="H39" s="88">
        <v>5.0</v>
      </c>
      <c r="I39" s="13">
        <v>9500.0</v>
      </c>
      <c r="M39" s="7">
        <v>1.0</v>
      </c>
      <c r="N39" s="60">
        <f t="shared" si="1"/>
        <v>9500</v>
      </c>
      <c r="O39" s="89">
        <v>12.0</v>
      </c>
      <c r="P39" s="51">
        <v>17.0</v>
      </c>
      <c r="Q39" s="88">
        <v>6.0</v>
      </c>
      <c r="R39" s="88">
        <v>700.0</v>
      </c>
      <c r="S39" s="7">
        <f t="shared" si="2"/>
        <v>50400</v>
      </c>
      <c r="T39" s="7">
        <f t="shared" si="3"/>
        <v>7.02</v>
      </c>
      <c r="U39" s="60">
        <f t="shared" si="4"/>
        <v>4914</v>
      </c>
      <c r="V39" s="125">
        <f t="shared" si="5"/>
        <v>8568</v>
      </c>
      <c r="W39" s="94">
        <v>8.0</v>
      </c>
      <c r="X39" s="88">
        <v>400.0</v>
      </c>
      <c r="Y39" s="88">
        <v>1.6</v>
      </c>
      <c r="Z39" s="13">
        <f t="shared" si="6"/>
        <v>640</v>
      </c>
      <c r="AA39" s="13">
        <f t="shared" si="7"/>
        <v>368</v>
      </c>
      <c r="AB39" s="7">
        <f t="shared" si="8"/>
        <v>51.2</v>
      </c>
      <c r="AC39" s="93">
        <f t="shared" si="9"/>
        <v>614.4</v>
      </c>
      <c r="AD39" s="97">
        <v>0.0</v>
      </c>
      <c r="AE39" s="88">
        <v>750.0</v>
      </c>
      <c r="AF39" s="95">
        <v>0.55</v>
      </c>
      <c r="AG39" s="13">
        <f t="shared" si="10"/>
        <v>412.5</v>
      </c>
      <c r="AH39" s="13">
        <f t="shared" si="11"/>
        <v>750</v>
      </c>
      <c r="AI39" s="13">
        <f t="shared" si="12"/>
        <v>0</v>
      </c>
      <c r="AJ39" s="17">
        <f t="shared" si="13"/>
        <v>0</v>
      </c>
      <c r="AK39" s="96">
        <v>25.0</v>
      </c>
      <c r="AL39" s="95">
        <v>1.8</v>
      </c>
      <c r="AM39" s="95">
        <v>25.0</v>
      </c>
      <c r="AN39" s="13">
        <f t="shared" si="14"/>
        <v>45</v>
      </c>
      <c r="AO39" s="13">
        <f t="shared" si="15"/>
        <v>1.35</v>
      </c>
      <c r="AP39" s="13">
        <f t="shared" si="16"/>
        <v>11.25</v>
      </c>
      <c r="AQ39" s="17">
        <f t="shared" si="17"/>
        <v>135</v>
      </c>
      <c r="AR39" s="94">
        <v>2.8</v>
      </c>
      <c r="AS39" s="95">
        <v>16000.0</v>
      </c>
      <c r="AT39" s="17">
        <f t="shared" si="18"/>
        <v>448</v>
      </c>
      <c r="AU39" s="97">
        <v>0.0</v>
      </c>
      <c r="AV39" s="95">
        <v>5500.0</v>
      </c>
      <c r="AW39" s="17">
        <f t="shared" si="19"/>
        <v>0</v>
      </c>
      <c r="AX39" s="98">
        <f t="shared" si="20"/>
        <v>48827</v>
      </c>
      <c r="AY39" s="99">
        <f t="shared" si="21"/>
        <v>102.7936842</v>
      </c>
      <c r="AZ39" s="98">
        <f t="shared" si="22"/>
        <v>39327</v>
      </c>
      <c r="BA39" s="172"/>
    </row>
    <row r="40" ht="15.75" customHeight="1">
      <c r="A40" s="14"/>
      <c r="B40" s="31" t="s">
        <v>14</v>
      </c>
      <c r="C40" s="31" t="s">
        <v>533</v>
      </c>
      <c r="D40" s="186" t="s">
        <v>587</v>
      </c>
      <c r="E40" s="32" t="s">
        <v>512</v>
      </c>
      <c r="F40" s="32" t="s">
        <v>51</v>
      </c>
      <c r="G40" s="147" t="s">
        <v>535</v>
      </c>
      <c r="H40" s="88">
        <v>5.0</v>
      </c>
      <c r="I40" s="13">
        <v>7500.0</v>
      </c>
      <c r="M40" s="7">
        <v>1.0</v>
      </c>
      <c r="N40" s="60">
        <f t="shared" si="1"/>
        <v>7500</v>
      </c>
      <c r="O40" s="89">
        <v>12.0</v>
      </c>
      <c r="P40" s="51">
        <v>17.0</v>
      </c>
      <c r="Q40" s="88">
        <v>6.0</v>
      </c>
      <c r="R40" s="88">
        <v>700.0</v>
      </c>
      <c r="S40" s="7">
        <f t="shared" si="2"/>
        <v>50400</v>
      </c>
      <c r="T40" s="7">
        <f t="shared" si="3"/>
        <v>7.02</v>
      </c>
      <c r="U40" s="60">
        <f t="shared" si="4"/>
        <v>4914</v>
      </c>
      <c r="V40" s="125">
        <f t="shared" si="5"/>
        <v>8568</v>
      </c>
      <c r="W40" s="94">
        <v>8.0</v>
      </c>
      <c r="X40" s="88">
        <v>400.0</v>
      </c>
      <c r="Y40" s="88">
        <v>1.6</v>
      </c>
      <c r="Z40" s="13">
        <f t="shared" si="6"/>
        <v>640</v>
      </c>
      <c r="AA40" s="13">
        <f t="shared" si="7"/>
        <v>368</v>
      </c>
      <c r="AB40" s="7">
        <f t="shared" si="8"/>
        <v>51.2</v>
      </c>
      <c r="AC40" s="93">
        <f t="shared" si="9"/>
        <v>614.4</v>
      </c>
      <c r="AD40" s="97">
        <v>0.0</v>
      </c>
      <c r="AE40" s="88">
        <v>750.0</v>
      </c>
      <c r="AF40" s="95">
        <v>0.55</v>
      </c>
      <c r="AG40" s="13">
        <f t="shared" si="10"/>
        <v>412.5</v>
      </c>
      <c r="AH40" s="13">
        <f t="shared" si="11"/>
        <v>750</v>
      </c>
      <c r="AI40" s="13">
        <f t="shared" si="12"/>
        <v>0</v>
      </c>
      <c r="AJ40" s="17">
        <f t="shared" si="13"/>
        <v>0</v>
      </c>
      <c r="AK40" s="97">
        <v>0.0</v>
      </c>
      <c r="AL40" s="95">
        <v>1.8</v>
      </c>
      <c r="AM40" s="95">
        <v>25.0</v>
      </c>
      <c r="AN40" s="13">
        <f t="shared" si="14"/>
        <v>45</v>
      </c>
      <c r="AO40" s="13">
        <f t="shared" si="15"/>
        <v>1.8</v>
      </c>
      <c r="AP40" s="13">
        <f t="shared" si="16"/>
        <v>0</v>
      </c>
      <c r="AQ40" s="17">
        <f t="shared" si="17"/>
        <v>0</v>
      </c>
      <c r="AR40" s="94">
        <v>2.8</v>
      </c>
      <c r="AS40" s="95">
        <v>16000.0</v>
      </c>
      <c r="AT40" s="17">
        <f t="shared" si="18"/>
        <v>448</v>
      </c>
      <c r="AU40" s="97">
        <v>0.0</v>
      </c>
      <c r="AV40" s="95">
        <v>5500.0</v>
      </c>
      <c r="AW40" s="17">
        <f t="shared" si="19"/>
        <v>0</v>
      </c>
      <c r="AX40" s="98">
        <f t="shared" si="20"/>
        <v>48152</v>
      </c>
      <c r="AY40" s="99">
        <f t="shared" si="21"/>
        <v>128.4053333</v>
      </c>
      <c r="AZ40" s="98">
        <f t="shared" si="22"/>
        <v>40652</v>
      </c>
      <c r="BA40" s="172"/>
    </row>
    <row r="41" ht="15.75" customHeight="1">
      <c r="A41" s="21"/>
      <c r="B41" s="180" t="s">
        <v>502</v>
      </c>
      <c r="C41" s="180" t="s">
        <v>536</v>
      </c>
      <c r="D41" s="181" t="s">
        <v>537</v>
      </c>
      <c r="E41" s="181" t="s">
        <v>233</v>
      </c>
      <c r="F41" s="181" t="s">
        <v>51</v>
      </c>
      <c r="G41" s="157" t="s">
        <v>237</v>
      </c>
      <c r="H41" s="108">
        <v>5.0</v>
      </c>
      <c r="I41" s="22">
        <v>750.0</v>
      </c>
      <c r="J41" s="109"/>
      <c r="K41" s="109"/>
      <c r="L41" s="109"/>
      <c r="M41" s="106">
        <v>1.0</v>
      </c>
      <c r="N41" s="110">
        <f t="shared" si="1"/>
        <v>750</v>
      </c>
      <c r="O41" s="187">
        <v>12.0</v>
      </c>
      <c r="P41" s="112">
        <v>17.0</v>
      </c>
      <c r="Q41" s="108">
        <v>6.0</v>
      </c>
      <c r="R41" s="108">
        <v>700.0</v>
      </c>
      <c r="S41" s="106">
        <f t="shared" si="2"/>
        <v>50400</v>
      </c>
      <c r="T41" s="106">
        <f t="shared" si="3"/>
        <v>7.02</v>
      </c>
      <c r="U41" s="110">
        <f t="shared" si="4"/>
        <v>4914</v>
      </c>
      <c r="V41" s="113">
        <f t="shared" si="5"/>
        <v>8568</v>
      </c>
      <c r="W41" s="116">
        <v>0.0</v>
      </c>
      <c r="X41" s="108">
        <v>400.0</v>
      </c>
      <c r="Y41" s="108">
        <v>1.6</v>
      </c>
      <c r="Z41" s="22">
        <f t="shared" si="6"/>
        <v>640</v>
      </c>
      <c r="AA41" s="22">
        <f t="shared" si="7"/>
        <v>400</v>
      </c>
      <c r="AB41" s="106">
        <f t="shared" si="8"/>
        <v>0</v>
      </c>
      <c r="AC41" s="115">
        <f t="shared" si="9"/>
        <v>0</v>
      </c>
      <c r="AD41" s="118">
        <v>20.0</v>
      </c>
      <c r="AE41" s="108">
        <v>750.0</v>
      </c>
      <c r="AF41" s="117">
        <v>0.55</v>
      </c>
      <c r="AG41" s="22">
        <f t="shared" si="10"/>
        <v>412.5</v>
      </c>
      <c r="AH41" s="22">
        <f t="shared" si="11"/>
        <v>600</v>
      </c>
      <c r="AI41" s="22">
        <f t="shared" si="12"/>
        <v>82.5</v>
      </c>
      <c r="AJ41" s="25">
        <f t="shared" si="13"/>
        <v>990</v>
      </c>
      <c r="AK41" s="116">
        <v>0.0</v>
      </c>
      <c r="AL41" s="117">
        <v>1.8</v>
      </c>
      <c r="AM41" s="117">
        <v>25.0</v>
      </c>
      <c r="AN41" s="22">
        <f t="shared" si="14"/>
        <v>45</v>
      </c>
      <c r="AO41" s="22">
        <f t="shared" si="15"/>
        <v>1.8</v>
      </c>
      <c r="AP41" s="22">
        <f t="shared" si="16"/>
        <v>0</v>
      </c>
      <c r="AQ41" s="25">
        <f t="shared" si="17"/>
        <v>0</v>
      </c>
      <c r="AR41" s="130">
        <v>2.8</v>
      </c>
      <c r="AS41" s="117">
        <v>16000.0</v>
      </c>
      <c r="AT41" s="25">
        <f t="shared" si="18"/>
        <v>448</v>
      </c>
      <c r="AU41" s="116">
        <v>0.0</v>
      </c>
      <c r="AV41" s="117">
        <v>5500.0</v>
      </c>
      <c r="AW41" s="25">
        <f t="shared" si="19"/>
        <v>0</v>
      </c>
      <c r="AX41" s="119">
        <f t="shared" si="20"/>
        <v>50030</v>
      </c>
      <c r="AY41" s="120">
        <f t="shared" si="21"/>
        <v>1334.133333</v>
      </c>
      <c r="AZ41" s="119">
        <f t="shared" si="22"/>
        <v>49280</v>
      </c>
      <c r="BA41" s="182"/>
    </row>
    <row r="42" ht="15.75" customHeight="1">
      <c r="A42" s="8" t="s">
        <v>270</v>
      </c>
      <c r="B42" s="168" t="s">
        <v>14</v>
      </c>
      <c r="C42" s="169" t="s">
        <v>271</v>
      </c>
      <c r="D42" s="169" t="s">
        <v>272</v>
      </c>
      <c r="E42" s="169" t="s">
        <v>273</v>
      </c>
      <c r="F42" s="169" t="s">
        <v>51</v>
      </c>
      <c r="G42" s="145" t="s">
        <v>539</v>
      </c>
      <c r="H42" s="76">
        <v>5.0</v>
      </c>
      <c r="I42" s="9">
        <v>15750.0</v>
      </c>
      <c r="J42" s="9"/>
      <c r="K42" s="9"/>
      <c r="L42" s="9"/>
      <c r="M42" s="74">
        <v>1.0</v>
      </c>
      <c r="N42" s="78">
        <f t="shared" si="1"/>
        <v>15750</v>
      </c>
      <c r="O42" s="188">
        <v>12.0</v>
      </c>
      <c r="P42" s="84">
        <v>40.0</v>
      </c>
      <c r="Q42" s="76">
        <v>6.0</v>
      </c>
      <c r="R42" s="76">
        <v>700.0</v>
      </c>
      <c r="S42" s="74">
        <f t="shared" si="2"/>
        <v>50400</v>
      </c>
      <c r="T42" s="74">
        <f t="shared" si="3"/>
        <v>8.4</v>
      </c>
      <c r="U42" s="78">
        <f t="shared" si="4"/>
        <v>5880</v>
      </c>
      <c r="V42" s="80">
        <f t="shared" si="5"/>
        <v>20160</v>
      </c>
      <c r="W42" s="84">
        <v>80.0</v>
      </c>
      <c r="X42" s="76">
        <v>400.0</v>
      </c>
      <c r="Y42" s="76">
        <v>1.6</v>
      </c>
      <c r="Z42" s="9">
        <f t="shared" si="6"/>
        <v>640</v>
      </c>
      <c r="AA42" s="9">
        <f t="shared" si="7"/>
        <v>80</v>
      </c>
      <c r="AB42" s="74">
        <f t="shared" si="8"/>
        <v>512</v>
      </c>
      <c r="AC42" s="81">
        <f t="shared" si="9"/>
        <v>6144</v>
      </c>
      <c r="AD42" s="84">
        <v>11.0</v>
      </c>
      <c r="AE42" s="76">
        <v>750.0</v>
      </c>
      <c r="AF42" s="83">
        <v>0.55</v>
      </c>
      <c r="AG42" s="9">
        <f t="shared" si="10"/>
        <v>412.5</v>
      </c>
      <c r="AH42" s="9">
        <f t="shared" si="11"/>
        <v>667.5</v>
      </c>
      <c r="AI42" s="9">
        <f t="shared" si="12"/>
        <v>45.375</v>
      </c>
      <c r="AJ42" s="12">
        <f t="shared" si="13"/>
        <v>544.5</v>
      </c>
      <c r="AK42" s="84">
        <v>22.0</v>
      </c>
      <c r="AL42" s="83">
        <v>1.8</v>
      </c>
      <c r="AM42" s="83">
        <v>25.0</v>
      </c>
      <c r="AN42" s="9">
        <f t="shared" si="14"/>
        <v>45</v>
      </c>
      <c r="AO42" s="9">
        <f t="shared" si="15"/>
        <v>1.404</v>
      </c>
      <c r="AP42" s="9">
        <f t="shared" si="16"/>
        <v>9.9</v>
      </c>
      <c r="AQ42" s="12">
        <f t="shared" si="17"/>
        <v>118.8</v>
      </c>
      <c r="AR42" s="85">
        <v>0.0</v>
      </c>
      <c r="AS42" s="83">
        <v>16000.0</v>
      </c>
      <c r="AT42" s="12">
        <f t="shared" si="18"/>
        <v>0</v>
      </c>
      <c r="AU42" s="85">
        <v>0.0</v>
      </c>
      <c r="AV42" s="83">
        <v>5500.0</v>
      </c>
      <c r="AW42" s="12">
        <f t="shared" si="19"/>
        <v>0</v>
      </c>
      <c r="AX42" s="86">
        <f t="shared" si="20"/>
        <v>134836.5</v>
      </c>
      <c r="AY42" s="87">
        <f t="shared" si="21"/>
        <v>171.2209524</v>
      </c>
      <c r="AZ42" s="86">
        <f t="shared" si="22"/>
        <v>119086.5</v>
      </c>
      <c r="BA42" s="171"/>
    </row>
    <row r="43" ht="15.75" customHeight="1">
      <c r="A43" s="14"/>
      <c r="B43" s="31" t="s">
        <v>14</v>
      </c>
      <c r="C43" s="32" t="s">
        <v>271</v>
      </c>
      <c r="D43" s="32" t="s">
        <v>277</v>
      </c>
      <c r="E43" s="32" t="s">
        <v>273</v>
      </c>
      <c r="F43" s="32" t="s">
        <v>51</v>
      </c>
      <c r="G43" s="147" t="s">
        <v>589</v>
      </c>
      <c r="H43" s="88">
        <v>5.0</v>
      </c>
      <c r="I43" s="13">
        <v>9500.0</v>
      </c>
      <c r="J43" s="13"/>
      <c r="K43" s="13"/>
      <c r="L43" s="13"/>
      <c r="M43" s="7">
        <v>1.0</v>
      </c>
      <c r="N43" s="60">
        <f t="shared" si="1"/>
        <v>9500</v>
      </c>
      <c r="O43" s="189">
        <v>12.0</v>
      </c>
      <c r="P43" s="96">
        <v>40.0</v>
      </c>
      <c r="Q43" s="88">
        <v>6.0</v>
      </c>
      <c r="R43" s="88">
        <v>700.0</v>
      </c>
      <c r="S43" s="7">
        <f t="shared" si="2"/>
        <v>50400</v>
      </c>
      <c r="T43" s="7">
        <f t="shared" si="3"/>
        <v>8.4</v>
      </c>
      <c r="U43" s="60">
        <f t="shared" si="4"/>
        <v>5880</v>
      </c>
      <c r="V43" s="125">
        <f t="shared" si="5"/>
        <v>20160</v>
      </c>
      <c r="W43" s="96">
        <v>80.0</v>
      </c>
      <c r="X43" s="88">
        <v>400.0</v>
      </c>
      <c r="Y43" s="88">
        <v>1.6</v>
      </c>
      <c r="Z43" s="13">
        <f t="shared" si="6"/>
        <v>640</v>
      </c>
      <c r="AA43" s="13">
        <f t="shared" si="7"/>
        <v>80</v>
      </c>
      <c r="AB43" s="7">
        <f t="shared" si="8"/>
        <v>512</v>
      </c>
      <c r="AC43" s="93">
        <f t="shared" si="9"/>
        <v>6144</v>
      </c>
      <c r="AD43" s="96">
        <v>11.0</v>
      </c>
      <c r="AE43" s="88">
        <v>750.0</v>
      </c>
      <c r="AF43" s="95">
        <v>0.55</v>
      </c>
      <c r="AG43" s="13">
        <f t="shared" si="10"/>
        <v>412.5</v>
      </c>
      <c r="AH43" s="13">
        <f t="shared" si="11"/>
        <v>667.5</v>
      </c>
      <c r="AI43" s="13">
        <f t="shared" si="12"/>
        <v>45.375</v>
      </c>
      <c r="AJ43" s="17">
        <f t="shared" si="13"/>
        <v>544.5</v>
      </c>
      <c r="AK43" s="96">
        <v>22.0</v>
      </c>
      <c r="AL43" s="95">
        <v>1.8</v>
      </c>
      <c r="AM43" s="95">
        <v>25.0</v>
      </c>
      <c r="AN43" s="13">
        <f t="shared" si="14"/>
        <v>45</v>
      </c>
      <c r="AO43" s="13">
        <f t="shared" si="15"/>
        <v>1.404</v>
      </c>
      <c r="AP43" s="13">
        <f t="shared" si="16"/>
        <v>9.9</v>
      </c>
      <c r="AQ43" s="17">
        <f t="shared" si="17"/>
        <v>118.8</v>
      </c>
      <c r="AR43" s="97">
        <v>0.0</v>
      </c>
      <c r="AS43" s="95">
        <v>16000.0</v>
      </c>
      <c r="AT43" s="17">
        <f t="shared" si="18"/>
        <v>0</v>
      </c>
      <c r="AU43" s="97">
        <v>0.0</v>
      </c>
      <c r="AV43" s="95">
        <v>5500.0</v>
      </c>
      <c r="AW43" s="17">
        <f t="shared" si="19"/>
        <v>0</v>
      </c>
      <c r="AX43" s="98">
        <f t="shared" si="20"/>
        <v>134836.5</v>
      </c>
      <c r="AY43" s="99">
        <f t="shared" si="21"/>
        <v>283.8663158</v>
      </c>
      <c r="AZ43" s="98">
        <f t="shared" si="22"/>
        <v>125336.5</v>
      </c>
      <c r="BA43" s="172"/>
    </row>
    <row r="44" ht="15.75" customHeight="1">
      <c r="A44" s="14"/>
      <c r="B44" s="31" t="s">
        <v>14</v>
      </c>
      <c r="C44" s="32" t="s">
        <v>541</v>
      </c>
      <c r="D44" s="32" t="s">
        <v>280</v>
      </c>
      <c r="E44" s="32" t="s">
        <v>281</v>
      </c>
      <c r="F44" s="32" t="s">
        <v>51</v>
      </c>
      <c r="G44" s="147" t="s">
        <v>542</v>
      </c>
      <c r="H44" s="88">
        <v>5.0</v>
      </c>
      <c r="I44" s="13">
        <v>1800.0</v>
      </c>
      <c r="J44" s="13"/>
      <c r="K44" s="13"/>
      <c r="L44" s="13"/>
      <c r="M44" s="7">
        <v>1.0</v>
      </c>
      <c r="N44" s="60">
        <f t="shared" si="1"/>
        <v>1800</v>
      </c>
      <c r="O44" s="189">
        <v>12.0</v>
      </c>
      <c r="P44" s="96">
        <v>40.0</v>
      </c>
      <c r="Q44" s="88">
        <v>6.0</v>
      </c>
      <c r="R44" s="88">
        <v>700.0</v>
      </c>
      <c r="S44" s="7">
        <f t="shared" si="2"/>
        <v>50400</v>
      </c>
      <c r="T44" s="7">
        <f t="shared" si="3"/>
        <v>8.4</v>
      </c>
      <c r="U44" s="60">
        <f t="shared" si="4"/>
        <v>5880</v>
      </c>
      <c r="V44" s="125">
        <f t="shared" si="5"/>
        <v>20160</v>
      </c>
      <c r="W44" s="96">
        <v>80.0</v>
      </c>
      <c r="X44" s="88">
        <v>400.0</v>
      </c>
      <c r="Y44" s="88">
        <v>1.6</v>
      </c>
      <c r="Z44" s="13">
        <f t="shared" si="6"/>
        <v>640</v>
      </c>
      <c r="AA44" s="13">
        <f t="shared" si="7"/>
        <v>80</v>
      </c>
      <c r="AB44" s="7">
        <f t="shared" si="8"/>
        <v>512</v>
      </c>
      <c r="AC44" s="93">
        <f t="shared" si="9"/>
        <v>6144</v>
      </c>
      <c r="AD44" s="96">
        <v>11.0</v>
      </c>
      <c r="AE44" s="88">
        <v>750.0</v>
      </c>
      <c r="AF44" s="95">
        <v>0.55</v>
      </c>
      <c r="AG44" s="13">
        <f t="shared" si="10"/>
        <v>412.5</v>
      </c>
      <c r="AH44" s="13">
        <f t="shared" si="11"/>
        <v>667.5</v>
      </c>
      <c r="AI44" s="13">
        <f t="shared" si="12"/>
        <v>45.375</v>
      </c>
      <c r="AJ44" s="17">
        <f t="shared" si="13"/>
        <v>544.5</v>
      </c>
      <c r="AK44" s="96">
        <v>22.0</v>
      </c>
      <c r="AL44" s="95">
        <v>1.8</v>
      </c>
      <c r="AM44" s="95">
        <v>25.0</v>
      </c>
      <c r="AN44" s="13">
        <f t="shared" si="14"/>
        <v>45</v>
      </c>
      <c r="AO44" s="13">
        <f t="shared" si="15"/>
        <v>1.404</v>
      </c>
      <c r="AP44" s="13">
        <f t="shared" si="16"/>
        <v>9.9</v>
      </c>
      <c r="AQ44" s="17">
        <f t="shared" si="17"/>
        <v>118.8</v>
      </c>
      <c r="AR44" s="97">
        <v>0.0</v>
      </c>
      <c r="AS44" s="95">
        <v>16000.0</v>
      </c>
      <c r="AT44" s="17">
        <f t="shared" si="18"/>
        <v>0</v>
      </c>
      <c r="AU44" s="94">
        <v>6.3</v>
      </c>
      <c r="AV44" s="95">
        <v>5500.0</v>
      </c>
      <c r="AW44" s="17">
        <f t="shared" si="19"/>
        <v>346.5</v>
      </c>
      <c r="AX44" s="98">
        <f t="shared" si="20"/>
        <v>136569</v>
      </c>
      <c r="AY44" s="99">
        <f t="shared" si="21"/>
        <v>1517.433333</v>
      </c>
      <c r="AZ44" s="98">
        <f t="shared" si="22"/>
        <v>134769</v>
      </c>
      <c r="BA44" s="172"/>
    </row>
    <row r="45" ht="15.75" customHeight="1">
      <c r="A45" s="14"/>
      <c r="B45" s="31" t="s">
        <v>14</v>
      </c>
      <c r="C45" s="32" t="s">
        <v>271</v>
      </c>
      <c r="D45" s="32" t="s">
        <v>295</v>
      </c>
      <c r="E45" s="32" t="s">
        <v>296</v>
      </c>
      <c r="F45" s="32" t="s">
        <v>51</v>
      </c>
      <c r="G45" s="147" t="s">
        <v>543</v>
      </c>
      <c r="H45" s="88">
        <v>5.0</v>
      </c>
      <c r="I45" s="13">
        <v>6500.0</v>
      </c>
      <c r="J45" s="13"/>
      <c r="K45" s="13"/>
      <c r="L45" s="13"/>
      <c r="M45" s="7">
        <v>1.0</v>
      </c>
      <c r="N45" s="60">
        <f t="shared" si="1"/>
        <v>6500</v>
      </c>
      <c r="O45" s="189">
        <v>12.0</v>
      </c>
      <c r="P45" s="96">
        <v>40.0</v>
      </c>
      <c r="Q45" s="88">
        <v>6.0</v>
      </c>
      <c r="R45" s="88">
        <v>700.0</v>
      </c>
      <c r="S45" s="7">
        <f t="shared" si="2"/>
        <v>50400</v>
      </c>
      <c r="T45" s="7">
        <f t="shared" si="3"/>
        <v>8.4</v>
      </c>
      <c r="U45" s="60">
        <f t="shared" si="4"/>
        <v>5880</v>
      </c>
      <c r="V45" s="125">
        <f t="shared" si="5"/>
        <v>20160</v>
      </c>
      <c r="W45" s="96">
        <v>80.0</v>
      </c>
      <c r="X45" s="88">
        <v>400.0</v>
      </c>
      <c r="Y45" s="88">
        <v>1.6</v>
      </c>
      <c r="Z45" s="13">
        <f t="shared" si="6"/>
        <v>640</v>
      </c>
      <c r="AA45" s="13">
        <f t="shared" si="7"/>
        <v>80</v>
      </c>
      <c r="AB45" s="7">
        <f t="shared" si="8"/>
        <v>512</v>
      </c>
      <c r="AC45" s="93">
        <f t="shared" si="9"/>
        <v>6144</v>
      </c>
      <c r="AD45" s="96">
        <v>11.0</v>
      </c>
      <c r="AE45" s="88">
        <v>750.0</v>
      </c>
      <c r="AF45" s="95">
        <v>0.55</v>
      </c>
      <c r="AG45" s="13">
        <f t="shared" si="10"/>
        <v>412.5</v>
      </c>
      <c r="AH45" s="13">
        <f t="shared" si="11"/>
        <v>667.5</v>
      </c>
      <c r="AI45" s="13">
        <f t="shared" si="12"/>
        <v>45.375</v>
      </c>
      <c r="AJ45" s="17">
        <f t="shared" si="13"/>
        <v>544.5</v>
      </c>
      <c r="AK45" s="96">
        <v>22.0</v>
      </c>
      <c r="AL45" s="95">
        <v>1.8</v>
      </c>
      <c r="AM45" s="95">
        <v>25.0</v>
      </c>
      <c r="AN45" s="13">
        <f t="shared" si="14"/>
        <v>45</v>
      </c>
      <c r="AO45" s="13">
        <f t="shared" si="15"/>
        <v>1.404</v>
      </c>
      <c r="AP45" s="13">
        <f t="shared" si="16"/>
        <v>9.9</v>
      </c>
      <c r="AQ45" s="17">
        <f t="shared" si="17"/>
        <v>118.8</v>
      </c>
      <c r="AR45" s="97">
        <v>0.0</v>
      </c>
      <c r="AS45" s="95">
        <v>16000.0</v>
      </c>
      <c r="AT45" s="17">
        <f t="shared" si="18"/>
        <v>0</v>
      </c>
      <c r="AU45" s="94">
        <v>6.3</v>
      </c>
      <c r="AV45" s="95">
        <v>5500.0</v>
      </c>
      <c r="AW45" s="17">
        <f t="shared" si="19"/>
        <v>346.5</v>
      </c>
      <c r="AX45" s="98">
        <f t="shared" si="20"/>
        <v>136569</v>
      </c>
      <c r="AY45" s="99">
        <f t="shared" si="21"/>
        <v>420.2123077</v>
      </c>
      <c r="AZ45" s="98">
        <f t="shared" si="22"/>
        <v>130069</v>
      </c>
      <c r="BA45" s="172"/>
    </row>
    <row r="46" ht="15.75" customHeight="1">
      <c r="A46" s="14"/>
      <c r="B46" s="31" t="s">
        <v>14</v>
      </c>
      <c r="C46" s="32" t="s">
        <v>300</v>
      </c>
      <c r="D46" s="32" t="s">
        <v>301</v>
      </c>
      <c r="E46" s="32" t="s">
        <v>302</v>
      </c>
      <c r="F46" s="32" t="s">
        <v>51</v>
      </c>
      <c r="G46" s="147" t="s">
        <v>545</v>
      </c>
      <c r="H46" s="88">
        <v>5.0</v>
      </c>
      <c r="I46" s="13">
        <v>12000.0</v>
      </c>
      <c r="J46" s="13"/>
      <c r="K46" s="13"/>
      <c r="L46" s="13"/>
      <c r="M46" s="7">
        <v>1.0</v>
      </c>
      <c r="N46" s="60">
        <f t="shared" si="1"/>
        <v>12000</v>
      </c>
      <c r="O46" s="189">
        <v>12.0</v>
      </c>
      <c r="P46" s="96">
        <v>40.0</v>
      </c>
      <c r="Q46" s="88">
        <v>6.0</v>
      </c>
      <c r="R46" s="88">
        <v>700.0</v>
      </c>
      <c r="S46" s="7">
        <f t="shared" si="2"/>
        <v>50400</v>
      </c>
      <c r="T46" s="7">
        <f t="shared" si="3"/>
        <v>8.4</v>
      </c>
      <c r="U46" s="60">
        <f t="shared" si="4"/>
        <v>5880</v>
      </c>
      <c r="V46" s="125">
        <f t="shared" si="5"/>
        <v>20160</v>
      </c>
      <c r="W46" s="96">
        <v>80.0</v>
      </c>
      <c r="X46" s="88">
        <v>400.0</v>
      </c>
      <c r="Y46" s="88">
        <v>1.6</v>
      </c>
      <c r="Z46" s="13">
        <f t="shared" si="6"/>
        <v>640</v>
      </c>
      <c r="AA46" s="13">
        <f t="shared" si="7"/>
        <v>80</v>
      </c>
      <c r="AB46" s="7">
        <f t="shared" si="8"/>
        <v>512</v>
      </c>
      <c r="AC46" s="93">
        <f t="shared" si="9"/>
        <v>6144</v>
      </c>
      <c r="AD46" s="96">
        <v>11.0</v>
      </c>
      <c r="AE46" s="88">
        <v>750.0</v>
      </c>
      <c r="AF46" s="95">
        <v>0.55</v>
      </c>
      <c r="AG46" s="13">
        <f t="shared" si="10"/>
        <v>412.5</v>
      </c>
      <c r="AH46" s="13">
        <f t="shared" si="11"/>
        <v>667.5</v>
      </c>
      <c r="AI46" s="13">
        <f t="shared" si="12"/>
        <v>45.375</v>
      </c>
      <c r="AJ46" s="17">
        <f t="shared" si="13"/>
        <v>544.5</v>
      </c>
      <c r="AK46" s="96">
        <v>22.0</v>
      </c>
      <c r="AL46" s="95">
        <v>1.8</v>
      </c>
      <c r="AM46" s="95">
        <v>25.0</v>
      </c>
      <c r="AN46" s="13">
        <f t="shared" si="14"/>
        <v>45</v>
      </c>
      <c r="AO46" s="13">
        <f t="shared" si="15"/>
        <v>1.404</v>
      </c>
      <c r="AP46" s="13">
        <f t="shared" si="16"/>
        <v>9.9</v>
      </c>
      <c r="AQ46" s="17">
        <f t="shared" si="17"/>
        <v>118.8</v>
      </c>
      <c r="AR46" s="97">
        <v>0.0</v>
      </c>
      <c r="AS46" s="95">
        <v>16000.0</v>
      </c>
      <c r="AT46" s="17">
        <f t="shared" si="18"/>
        <v>0</v>
      </c>
      <c r="AU46" s="94">
        <v>6.3</v>
      </c>
      <c r="AV46" s="95">
        <v>5500.0</v>
      </c>
      <c r="AW46" s="17">
        <f t="shared" si="19"/>
        <v>346.5</v>
      </c>
      <c r="AX46" s="98">
        <f t="shared" si="20"/>
        <v>136569</v>
      </c>
      <c r="AY46" s="99">
        <f t="shared" si="21"/>
        <v>227.615</v>
      </c>
      <c r="AZ46" s="98">
        <f t="shared" si="22"/>
        <v>124569</v>
      </c>
      <c r="BA46" s="172"/>
    </row>
    <row r="47" ht="15.75" customHeight="1">
      <c r="A47" s="14"/>
      <c r="B47" s="31" t="s">
        <v>14</v>
      </c>
      <c r="C47" s="32" t="s">
        <v>289</v>
      </c>
      <c r="D47" s="32" t="s">
        <v>306</v>
      </c>
      <c r="E47" s="32" t="s">
        <v>605</v>
      </c>
      <c r="F47" s="32" t="s">
        <v>51</v>
      </c>
      <c r="G47" s="147" t="s">
        <v>516</v>
      </c>
      <c r="H47" s="88">
        <v>5.0</v>
      </c>
      <c r="I47" s="13">
        <v>7000.0</v>
      </c>
      <c r="J47" s="13"/>
      <c r="K47" s="13"/>
      <c r="L47" s="13"/>
      <c r="M47" s="7">
        <v>1.0</v>
      </c>
      <c r="N47" s="60">
        <f t="shared" si="1"/>
        <v>7000</v>
      </c>
      <c r="O47" s="189">
        <v>12.0</v>
      </c>
      <c r="P47" s="96">
        <v>40.0</v>
      </c>
      <c r="Q47" s="88">
        <v>6.0</v>
      </c>
      <c r="R47" s="88">
        <v>700.0</v>
      </c>
      <c r="S47" s="7">
        <f t="shared" si="2"/>
        <v>50400</v>
      </c>
      <c r="T47" s="7">
        <f t="shared" si="3"/>
        <v>8.4</v>
      </c>
      <c r="U47" s="60">
        <f t="shared" si="4"/>
        <v>5880</v>
      </c>
      <c r="V47" s="125">
        <f t="shared" si="5"/>
        <v>20160</v>
      </c>
      <c r="W47" s="96">
        <v>80.0</v>
      </c>
      <c r="X47" s="88">
        <v>400.0</v>
      </c>
      <c r="Y47" s="88">
        <v>1.6</v>
      </c>
      <c r="Z47" s="13">
        <f t="shared" si="6"/>
        <v>640</v>
      </c>
      <c r="AA47" s="13">
        <f t="shared" si="7"/>
        <v>80</v>
      </c>
      <c r="AB47" s="7">
        <f t="shared" si="8"/>
        <v>512</v>
      </c>
      <c r="AC47" s="93">
        <f t="shared" si="9"/>
        <v>6144</v>
      </c>
      <c r="AD47" s="96">
        <v>11.0</v>
      </c>
      <c r="AE47" s="88">
        <v>750.0</v>
      </c>
      <c r="AF47" s="95">
        <v>0.55</v>
      </c>
      <c r="AG47" s="13">
        <f t="shared" si="10"/>
        <v>412.5</v>
      </c>
      <c r="AH47" s="13">
        <f t="shared" si="11"/>
        <v>667.5</v>
      </c>
      <c r="AI47" s="13">
        <f t="shared" si="12"/>
        <v>45.375</v>
      </c>
      <c r="AJ47" s="17">
        <f t="shared" si="13"/>
        <v>544.5</v>
      </c>
      <c r="AK47" s="96">
        <v>22.0</v>
      </c>
      <c r="AL47" s="95">
        <v>1.8</v>
      </c>
      <c r="AM47" s="95">
        <v>25.0</v>
      </c>
      <c r="AN47" s="13">
        <f t="shared" si="14"/>
        <v>45</v>
      </c>
      <c r="AO47" s="13">
        <f t="shared" si="15"/>
        <v>1.404</v>
      </c>
      <c r="AP47" s="13">
        <f t="shared" si="16"/>
        <v>9.9</v>
      </c>
      <c r="AQ47" s="17">
        <f t="shared" si="17"/>
        <v>118.8</v>
      </c>
      <c r="AR47" s="97">
        <v>0.0</v>
      </c>
      <c r="AS47" s="95">
        <v>16000.0</v>
      </c>
      <c r="AT47" s="17">
        <f t="shared" si="18"/>
        <v>0</v>
      </c>
      <c r="AU47" s="97">
        <v>0.0</v>
      </c>
      <c r="AV47" s="95">
        <v>5500.0</v>
      </c>
      <c r="AW47" s="17">
        <f t="shared" si="19"/>
        <v>0</v>
      </c>
      <c r="AX47" s="98">
        <f t="shared" si="20"/>
        <v>134836.5</v>
      </c>
      <c r="AY47" s="99">
        <f t="shared" si="21"/>
        <v>385.2471429</v>
      </c>
      <c r="AZ47" s="98">
        <f t="shared" si="22"/>
        <v>127836.5</v>
      </c>
      <c r="BA47" s="172"/>
    </row>
    <row r="48" ht="15.75" customHeight="1">
      <c r="A48" s="14"/>
      <c r="B48" s="31" t="s">
        <v>14</v>
      </c>
      <c r="C48" s="32" t="s">
        <v>289</v>
      </c>
      <c r="D48" s="32" t="s">
        <v>310</v>
      </c>
      <c r="E48" s="32" t="s">
        <v>311</v>
      </c>
      <c r="F48" s="32" t="s">
        <v>51</v>
      </c>
      <c r="G48" s="147" t="s">
        <v>606</v>
      </c>
      <c r="H48" s="88">
        <v>5.0</v>
      </c>
      <c r="I48" s="13">
        <v>2500.0</v>
      </c>
      <c r="J48" s="13"/>
      <c r="K48" s="13"/>
      <c r="L48" s="13"/>
      <c r="M48" s="7">
        <v>1.0</v>
      </c>
      <c r="N48" s="60">
        <f t="shared" si="1"/>
        <v>2500</v>
      </c>
      <c r="O48" s="189">
        <v>12.0</v>
      </c>
      <c r="P48" s="96">
        <v>40.0</v>
      </c>
      <c r="Q48" s="88">
        <v>6.0</v>
      </c>
      <c r="R48" s="88">
        <v>700.0</v>
      </c>
      <c r="S48" s="7">
        <f t="shared" si="2"/>
        <v>50400</v>
      </c>
      <c r="T48" s="7">
        <f t="shared" si="3"/>
        <v>8.4</v>
      </c>
      <c r="U48" s="60">
        <f t="shared" si="4"/>
        <v>5880</v>
      </c>
      <c r="V48" s="125">
        <f t="shared" si="5"/>
        <v>20160</v>
      </c>
      <c r="W48" s="96">
        <v>80.0</v>
      </c>
      <c r="X48" s="88">
        <v>400.0</v>
      </c>
      <c r="Y48" s="88">
        <v>1.6</v>
      </c>
      <c r="Z48" s="13">
        <f t="shared" si="6"/>
        <v>640</v>
      </c>
      <c r="AA48" s="13">
        <f t="shared" si="7"/>
        <v>80</v>
      </c>
      <c r="AB48" s="7">
        <f t="shared" si="8"/>
        <v>512</v>
      </c>
      <c r="AC48" s="93">
        <f t="shared" si="9"/>
        <v>6144</v>
      </c>
      <c r="AD48" s="96">
        <v>11.0</v>
      </c>
      <c r="AE48" s="88">
        <v>750.0</v>
      </c>
      <c r="AF48" s="95">
        <v>0.55</v>
      </c>
      <c r="AG48" s="13">
        <f t="shared" si="10"/>
        <v>412.5</v>
      </c>
      <c r="AH48" s="13">
        <f t="shared" si="11"/>
        <v>667.5</v>
      </c>
      <c r="AI48" s="13">
        <f t="shared" si="12"/>
        <v>45.375</v>
      </c>
      <c r="AJ48" s="17">
        <f t="shared" si="13"/>
        <v>544.5</v>
      </c>
      <c r="AK48" s="96">
        <v>22.0</v>
      </c>
      <c r="AL48" s="95">
        <v>1.8</v>
      </c>
      <c r="AM48" s="95">
        <v>25.0</v>
      </c>
      <c r="AN48" s="13">
        <f t="shared" si="14"/>
        <v>45</v>
      </c>
      <c r="AO48" s="13">
        <f t="shared" si="15"/>
        <v>1.404</v>
      </c>
      <c r="AP48" s="13">
        <f t="shared" si="16"/>
        <v>9.9</v>
      </c>
      <c r="AQ48" s="17">
        <f t="shared" si="17"/>
        <v>118.8</v>
      </c>
      <c r="AR48" s="97">
        <v>0.0</v>
      </c>
      <c r="AS48" s="95">
        <v>16000.0</v>
      </c>
      <c r="AT48" s="17">
        <f t="shared" si="18"/>
        <v>0</v>
      </c>
      <c r="AU48" s="97">
        <v>0.0</v>
      </c>
      <c r="AV48" s="95">
        <v>5500.0</v>
      </c>
      <c r="AW48" s="17">
        <f t="shared" si="19"/>
        <v>0</v>
      </c>
      <c r="AX48" s="98">
        <f t="shared" si="20"/>
        <v>134836.5</v>
      </c>
      <c r="AY48" s="99">
        <f t="shared" si="21"/>
        <v>1078.692</v>
      </c>
      <c r="AZ48" s="98">
        <f t="shared" si="22"/>
        <v>132336.5</v>
      </c>
      <c r="BA48" s="172"/>
    </row>
    <row r="49" ht="15.75" customHeight="1">
      <c r="A49" s="14"/>
      <c r="B49" s="31" t="s">
        <v>14</v>
      </c>
      <c r="C49" s="32" t="s">
        <v>271</v>
      </c>
      <c r="D49" s="32" t="s">
        <v>319</v>
      </c>
      <c r="E49" s="32" t="s">
        <v>590</v>
      </c>
      <c r="F49" s="32" t="s">
        <v>51</v>
      </c>
      <c r="G49" s="147" t="s">
        <v>551</v>
      </c>
      <c r="H49" s="88">
        <v>5.0</v>
      </c>
      <c r="I49" s="13">
        <v>900.0</v>
      </c>
      <c r="J49" s="13"/>
      <c r="K49" s="13"/>
      <c r="L49" s="13"/>
      <c r="M49" s="7">
        <v>1.0</v>
      </c>
      <c r="N49" s="60">
        <f t="shared" si="1"/>
        <v>900</v>
      </c>
      <c r="O49" s="189">
        <v>12.0</v>
      </c>
      <c r="P49" s="96">
        <v>40.0</v>
      </c>
      <c r="Q49" s="88">
        <v>6.0</v>
      </c>
      <c r="R49" s="88">
        <v>700.0</v>
      </c>
      <c r="S49" s="7">
        <f t="shared" si="2"/>
        <v>50400</v>
      </c>
      <c r="T49" s="7">
        <f t="shared" si="3"/>
        <v>8.4</v>
      </c>
      <c r="U49" s="60">
        <f t="shared" si="4"/>
        <v>5880</v>
      </c>
      <c r="V49" s="125">
        <f t="shared" si="5"/>
        <v>20160</v>
      </c>
      <c r="W49" s="96">
        <v>80.0</v>
      </c>
      <c r="X49" s="88">
        <v>400.0</v>
      </c>
      <c r="Y49" s="88">
        <v>1.6</v>
      </c>
      <c r="Z49" s="13">
        <f t="shared" si="6"/>
        <v>640</v>
      </c>
      <c r="AA49" s="13">
        <f t="shared" si="7"/>
        <v>80</v>
      </c>
      <c r="AB49" s="7">
        <f t="shared" si="8"/>
        <v>512</v>
      </c>
      <c r="AC49" s="93">
        <f t="shared" si="9"/>
        <v>6144</v>
      </c>
      <c r="AD49" s="96">
        <v>11.0</v>
      </c>
      <c r="AE49" s="88">
        <v>750.0</v>
      </c>
      <c r="AF49" s="95">
        <v>0.55</v>
      </c>
      <c r="AG49" s="13">
        <f t="shared" si="10"/>
        <v>412.5</v>
      </c>
      <c r="AH49" s="13">
        <f t="shared" si="11"/>
        <v>667.5</v>
      </c>
      <c r="AI49" s="13">
        <f t="shared" si="12"/>
        <v>45.375</v>
      </c>
      <c r="AJ49" s="17">
        <f t="shared" si="13"/>
        <v>544.5</v>
      </c>
      <c r="AK49" s="96">
        <v>22.0</v>
      </c>
      <c r="AL49" s="95">
        <v>1.8</v>
      </c>
      <c r="AM49" s="95">
        <v>25.0</v>
      </c>
      <c r="AN49" s="13">
        <f t="shared" si="14"/>
        <v>45</v>
      </c>
      <c r="AO49" s="13">
        <f t="shared" si="15"/>
        <v>1.404</v>
      </c>
      <c r="AP49" s="13">
        <f t="shared" si="16"/>
        <v>9.9</v>
      </c>
      <c r="AQ49" s="17">
        <f t="shared" si="17"/>
        <v>118.8</v>
      </c>
      <c r="AR49" s="97">
        <v>0.0</v>
      </c>
      <c r="AS49" s="95">
        <v>16000.0</v>
      </c>
      <c r="AT49" s="17">
        <f t="shared" si="18"/>
        <v>0</v>
      </c>
      <c r="AU49" s="97">
        <v>0.0</v>
      </c>
      <c r="AV49" s="95">
        <v>5500.0</v>
      </c>
      <c r="AW49" s="17">
        <f t="shared" si="19"/>
        <v>0</v>
      </c>
      <c r="AX49" s="98">
        <f t="shared" si="20"/>
        <v>134836.5</v>
      </c>
      <c r="AY49" s="99">
        <f t="shared" si="21"/>
        <v>2996.366667</v>
      </c>
      <c r="AZ49" s="98">
        <f t="shared" si="22"/>
        <v>133936.5</v>
      </c>
      <c r="BA49" s="172"/>
    </row>
    <row r="50" ht="15.75" customHeight="1">
      <c r="A50" s="14"/>
      <c r="B50" s="31" t="s">
        <v>14</v>
      </c>
      <c r="C50" s="32" t="s">
        <v>271</v>
      </c>
      <c r="D50" s="32" t="s">
        <v>323</v>
      </c>
      <c r="E50" s="32" t="s">
        <v>549</v>
      </c>
      <c r="F50" s="32" t="s">
        <v>51</v>
      </c>
      <c r="G50" s="147" t="s">
        <v>550</v>
      </c>
      <c r="H50" s="88">
        <v>5.0</v>
      </c>
      <c r="I50" s="13">
        <v>115.0</v>
      </c>
      <c r="J50" s="13"/>
      <c r="K50" s="13"/>
      <c r="L50" s="13"/>
      <c r="M50" s="7">
        <v>1.0</v>
      </c>
      <c r="N50" s="60">
        <f t="shared" si="1"/>
        <v>115</v>
      </c>
      <c r="O50" s="189">
        <v>12.0</v>
      </c>
      <c r="P50" s="96">
        <v>40.0</v>
      </c>
      <c r="Q50" s="88">
        <v>6.0</v>
      </c>
      <c r="R50" s="88">
        <v>700.0</v>
      </c>
      <c r="S50" s="7">
        <f t="shared" si="2"/>
        <v>50400</v>
      </c>
      <c r="T50" s="7">
        <f t="shared" si="3"/>
        <v>8.4</v>
      </c>
      <c r="U50" s="60">
        <f t="shared" si="4"/>
        <v>5880</v>
      </c>
      <c r="V50" s="125">
        <f t="shared" si="5"/>
        <v>20160</v>
      </c>
      <c r="W50" s="96">
        <v>80.0</v>
      </c>
      <c r="X50" s="88">
        <v>400.0</v>
      </c>
      <c r="Y50" s="88">
        <v>1.6</v>
      </c>
      <c r="Z50" s="13">
        <f t="shared" si="6"/>
        <v>640</v>
      </c>
      <c r="AA50" s="13">
        <f t="shared" si="7"/>
        <v>80</v>
      </c>
      <c r="AB50" s="7">
        <f t="shared" si="8"/>
        <v>512</v>
      </c>
      <c r="AC50" s="93">
        <f t="shared" si="9"/>
        <v>6144</v>
      </c>
      <c r="AD50" s="96">
        <v>11.0</v>
      </c>
      <c r="AE50" s="88">
        <v>750.0</v>
      </c>
      <c r="AF50" s="95">
        <v>0.55</v>
      </c>
      <c r="AG50" s="13">
        <f t="shared" si="10"/>
        <v>412.5</v>
      </c>
      <c r="AH50" s="13">
        <f t="shared" si="11"/>
        <v>667.5</v>
      </c>
      <c r="AI50" s="13">
        <f t="shared" si="12"/>
        <v>45.375</v>
      </c>
      <c r="AJ50" s="17">
        <f t="shared" si="13"/>
        <v>544.5</v>
      </c>
      <c r="AK50" s="96">
        <v>22.0</v>
      </c>
      <c r="AL50" s="95">
        <v>1.8</v>
      </c>
      <c r="AM50" s="95">
        <v>25.0</v>
      </c>
      <c r="AN50" s="13">
        <f t="shared" si="14"/>
        <v>45</v>
      </c>
      <c r="AO50" s="13">
        <f t="shared" si="15"/>
        <v>1.404</v>
      </c>
      <c r="AP50" s="13">
        <f t="shared" si="16"/>
        <v>9.9</v>
      </c>
      <c r="AQ50" s="17">
        <f t="shared" si="17"/>
        <v>118.8</v>
      </c>
      <c r="AR50" s="97">
        <v>0.0</v>
      </c>
      <c r="AS50" s="95">
        <v>16000.0</v>
      </c>
      <c r="AT50" s="17">
        <f t="shared" si="18"/>
        <v>0</v>
      </c>
      <c r="AU50" s="97">
        <v>0.0</v>
      </c>
      <c r="AV50" s="95">
        <v>5500.0</v>
      </c>
      <c r="AW50" s="17">
        <f t="shared" si="19"/>
        <v>0</v>
      </c>
      <c r="AX50" s="98">
        <f t="shared" si="20"/>
        <v>134836.5</v>
      </c>
      <c r="AY50" s="99">
        <f t="shared" si="21"/>
        <v>23449.82609</v>
      </c>
      <c r="AZ50" s="98">
        <f t="shared" si="22"/>
        <v>134721.5</v>
      </c>
      <c r="BA50" s="172"/>
    </row>
    <row r="51" ht="15.75" customHeight="1">
      <c r="A51" s="14"/>
      <c r="B51" s="31" t="s">
        <v>36</v>
      </c>
      <c r="C51" s="32" t="s">
        <v>271</v>
      </c>
      <c r="D51" s="32" t="s">
        <v>546</v>
      </c>
      <c r="E51" s="32" t="s">
        <v>285</v>
      </c>
      <c r="F51" s="32" t="s">
        <v>51</v>
      </c>
      <c r="G51" s="147" t="s">
        <v>44</v>
      </c>
      <c r="H51" s="88">
        <v>5.0</v>
      </c>
      <c r="I51" s="13">
        <v>0.0</v>
      </c>
      <c r="J51" s="13"/>
      <c r="K51" s="13"/>
      <c r="L51" s="13"/>
      <c r="M51" s="7">
        <v>1.0</v>
      </c>
      <c r="N51" s="60">
        <f t="shared" si="1"/>
        <v>0</v>
      </c>
      <c r="O51" s="189">
        <v>12.0</v>
      </c>
      <c r="P51" s="96">
        <v>40.0</v>
      </c>
      <c r="Q51" s="88">
        <v>6.0</v>
      </c>
      <c r="R51" s="88">
        <v>700.0</v>
      </c>
      <c r="S51" s="7">
        <f t="shared" si="2"/>
        <v>50400</v>
      </c>
      <c r="T51" s="7">
        <f t="shared" si="3"/>
        <v>8.4</v>
      </c>
      <c r="U51" s="60">
        <f t="shared" si="4"/>
        <v>5880</v>
      </c>
      <c r="V51" s="125">
        <f t="shared" si="5"/>
        <v>20160</v>
      </c>
      <c r="W51" s="96">
        <v>80.0</v>
      </c>
      <c r="X51" s="88">
        <v>400.0</v>
      </c>
      <c r="Y51" s="88">
        <v>1.6</v>
      </c>
      <c r="Z51" s="13">
        <f t="shared" si="6"/>
        <v>640</v>
      </c>
      <c r="AA51" s="13">
        <f t="shared" si="7"/>
        <v>80</v>
      </c>
      <c r="AB51" s="7">
        <f t="shared" si="8"/>
        <v>512</v>
      </c>
      <c r="AC51" s="93">
        <f t="shared" si="9"/>
        <v>6144</v>
      </c>
      <c r="AD51" s="96">
        <v>11.0</v>
      </c>
      <c r="AE51" s="88">
        <v>750.0</v>
      </c>
      <c r="AF51" s="95">
        <v>0.55</v>
      </c>
      <c r="AG51" s="13">
        <f t="shared" si="10"/>
        <v>412.5</v>
      </c>
      <c r="AH51" s="13">
        <f t="shared" si="11"/>
        <v>667.5</v>
      </c>
      <c r="AI51" s="13">
        <f t="shared" si="12"/>
        <v>45.375</v>
      </c>
      <c r="AJ51" s="17">
        <f t="shared" si="13"/>
        <v>544.5</v>
      </c>
      <c r="AK51" s="96">
        <v>22.0</v>
      </c>
      <c r="AL51" s="95">
        <v>1.8</v>
      </c>
      <c r="AM51" s="95">
        <v>25.0</v>
      </c>
      <c r="AN51" s="13">
        <f t="shared" si="14"/>
        <v>45</v>
      </c>
      <c r="AO51" s="13">
        <f t="shared" si="15"/>
        <v>1.404</v>
      </c>
      <c r="AP51" s="13">
        <f t="shared" si="16"/>
        <v>9.9</v>
      </c>
      <c r="AQ51" s="17">
        <f t="shared" si="17"/>
        <v>118.8</v>
      </c>
      <c r="AR51" s="97">
        <v>0.0</v>
      </c>
      <c r="AS51" s="95">
        <v>16000.0</v>
      </c>
      <c r="AT51" s="17">
        <f t="shared" si="18"/>
        <v>0</v>
      </c>
      <c r="AU51" s="97">
        <v>0.0</v>
      </c>
      <c r="AV51" s="95">
        <v>5500.0</v>
      </c>
      <c r="AW51" s="17">
        <f t="shared" si="19"/>
        <v>0</v>
      </c>
      <c r="AX51" s="98">
        <f t="shared" si="20"/>
        <v>134836.5</v>
      </c>
      <c r="AY51" s="160" t="s">
        <v>547</v>
      </c>
      <c r="AZ51" s="98">
        <f t="shared" si="22"/>
        <v>134836.5</v>
      </c>
      <c r="BA51" s="172"/>
    </row>
    <row r="52" ht="15.75" customHeight="1">
      <c r="A52" s="14"/>
      <c r="B52" s="31" t="s">
        <v>14</v>
      </c>
      <c r="C52" s="32" t="s">
        <v>289</v>
      </c>
      <c r="D52" s="32" t="s">
        <v>290</v>
      </c>
      <c r="E52" s="32" t="s">
        <v>291</v>
      </c>
      <c r="F52" s="32" t="s">
        <v>51</v>
      </c>
      <c r="G52" s="147" t="s">
        <v>294</v>
      </c>
      <c r="H52" s="88">
        <v>5.0</v>
      </c>
      <c r="I52" s="13">
        <v>220.0</v>
      </c>
      <c r="J52" s="13"/>
      <c r="K52" s="13"/>
      <c r="L52" s="13"/>
      <c r="M52" s="7">
        <v>1.0</v>
      </c>
      <c r="N52" s="60">
        <f t="shared" si="1"/>
        <v>220</v>
      </c>
      <c r="O52" s="189">
        <v>12.0</v>
      </c>
      <c r="P52" s="96">
        <v>40.0</v>
      </c>
      <c r="Q52" s="88">
        <v>6.0</v>
      </c>
      <c r="R52" s="88">
        <v>700.0</v>
      </c>
      <c r="S52" s="7">
        <f t="shared" si="2"/>
        <v>50400</v>
      </c>
      <c r="T52" s="7">
        <f t="shared" si="3"/>
        <v>8.4</v>
      </c>
      <c r="U52" s="60">
        <f t="shared" si="4"/>
        <v>5880</v>
      </c>
      <c r="V52" s="125">
        <f t="shared" si="5"/>
        <v>20160</v>
      </c>
      <c r="W52" s="96">
        <v>80.0</v>
      </c>
      <c r="X52" s="88">
        <v>400.0</v>
      </c>
      <c r="Y52" s="88">
        <v>1.6</v>
      </c>
      <c r="Z52" s="13">
        <f t="shared" si="6"/>
        <v>640</v>
      </c>
      <c r="AA52" s="13">
        <f t="shared" si="7"/>
        <v>80</v>
      </c>
      <c r="AB52" s="7">
        <f t="shared" si="8"/>
        <v>512</v>
      </c>
      <c r="AC52" s="93">
        <f t="shared" si="9"/>
        <v>6144</v>
      </c>
      <c r="AD52" s="96">
        <v>11.0</v>
      </c>
      <c r="AE52" s="88">
        <v>750.0</v>
      </c>
      <c r="AF52" s="95">
        <v>0.55</v>
      </c>
      <c r="AG52" s="13">
        <f t="shared" si="10"/>
        <v>412.5</v>
      </c>
      <c r="AH52" s="13">
        <f t="shared" si="11"/>
        <v>667.5</v>
      </c>
      <c r="AI52" s="13">
        <f t="shared" si="12"/>
        <v>45.375</v>
      </c>
      <c r="AJ52" s="17">
        <f t="shared" si="13"/>
        <v>544.5</v>
      </c>
      <c r="AK52" s="96">
        <v>22.0</v>
      </c>
      <c r="AL52" s="95">
        <v>1.8</v>
      </c>
      <c r="AM52" s="95">
        <v>25.0</v>
      </c>
      <c r="AN52" s="13">
        <f t="shared" si="14"/>
        <v>45</v>
      </c>
      <c r="AO52" s="13">
        <f t="shared" si="15"/>
        <v>1.404</v>
      </c>
      <c r="AP52" s="13">
        <f t="shared" si="16"/>
        <v>9.9</v>
      </c>
      <c r="AQ52" s="17">
        <f t="shared" si="17"/>
        <v>118.8</v>
      </c>
      <c r="AR52" s="97">
        <v>0.0</v>
      </c>
      <c r="AS52" s="95">
        <v>16000.0</v>
      </c>
      <c r="AT52" s="17">
        <f t="shared" si="18"/>
        <v>0</v>
      </c>
      <c r="AU52" s="97">
        <v>0.0</v>
      </c>
      <c r="AV52" s="95">
        <v>5500.0</v>
      </c>
      <c r="AW52" s="17">
        <f t="shared" si="19"/>
        <v>0</v>
      </c>
      <c r="AX52" s="98">
        <f t="shared" si="20"/>
        <v>134836.5</v>
      </c>
      <c r="AY52" s="99">
        <f t="shared" ref="AY52:AY58" si="23">(AW52+AT52+AQ52+AJ52+AC52+V52)/(N52)*100</f>
        <v>12257.86364</v>
      </c>
      <c r="AZ52" s="98">
        <f t="shared" si="22"/>
        <v>134616.5</v>
      </c>
      <c r="BA52" s="172"/>
    </row>
    <row r="53" ht="15.75" customHeight="1">
      <c r="A53" s="21"/>
      <c r="B53" s="180" t="s">
        <v>14</v>
      </c>
      <c r="C53" s="181" t="s">
        <v>271</v>
      </c>
      <c r="D53" s="181" t="s">
        <v>314</v>
      </c>
      <c r="E53" s="181" t="s">
        <v>590</v>
      </c>
      <c r="F53" s="181" t="s">
        <v>51</v>
      </c>
      <c r="G53" s="148" t="s">
        <v>553</v>
      </c>
      <c r="H53" s="108">
        <v>5.0</v>
      </c>
      <c r="I53" s="22">
        <v>165.0</v>
      </c>
      <c r="J53" s="22"/>
      <c r="K53" s="22"/>
      <c r="L53" s="22"/>
      <c r="M53" s="106">
        <v>1.0</v>
      </c>
      <c r="N53" s="110">
        <f t="shared" si="1"/>
        <v>165</v>
      </c>
      <c r="O53" s="187">
        <v>12.0</v>
      </c>
      <c r="P53" s="118">
        <v>40.0</v>
      </c>
      <c r="Q53" s="108">
        <v>6.0</v>
      </c>
      <c r="R53" s="108">
        <v>700.0</v>
      </c>
      <c r="S53" s="106">
        <f t="shared" si="2"/>
        <v>50400</v>
      </c>
      <c r="T53" s="106">
        <f t="shared" si="3"/>
        <v>8.4</v>
      </c>
      <c r="U53" s="110">
        <f t="shared" si="4"/>
        <v>5880</v>
      </c>
      <c r="V53" s="113">
        <f t="shared" si="5"/>
        <v>20160</v>
      </c>
      <c r="W53" s="118">
        <v>80.0</v>
      </c>
      <c r="X53" s="108">
        <v>400.0</v>
      </c>
      <c r="Y53" s="108">
        <v>1.6</v>
      </c>
      <c r="Z53" s="22">
        <f t="shared" si="6"/>
        <v>640</v>
      </c>
      <c r="AA53" s="22">
        <f t="shared" si="7"/>
        <v>80</v>
      </c>
      <c r="AB53" s="106">
        <f t="shared" si="8"/>
        <v>512</v>
      </c>
      <c r="AC53" s="115">
        <f t="shared" si="9"/>
        <v>6144</v>
      </c>
      <c r="AD53" s="118">
        <v>11.0</v>
      </c>
      <c r="AE53" s="108">
        <v>750.0</v>
      </c>
      <c r="AF53" s="117">
        <v>0.55</v>
      </c>
      <c r="AG53" s="22">
        <f t="shared" si="10"/>
        <v>412.5</v>
      </c>
      <c r="AH53" s="22">
        <f t="shared" si="11"/>
        <v>667.5</v>
      </c>
      <c r="AI53" s="22">
        <f t="shared" si="12"/>
        <v>45.375</v>
      </c>
      <c r="AJ53" s="25">
        <f t="shared" si="13"/>
        <v>544.5</v>
      </c>
      <c r="AK53" s="118">
        <v>22.0</v>
      </c>
      <c r="AL53" s="117">
        <v>1.8</v>
      </c>
      <c r="AM53" s="117">
        <v>25.0</v>
      </c>
      <c r="AN53" s="22">
        <f t="shared" si="14"/>
        <v>45</v>
      </c>
      <c r="AO53" s="22">
        <f t="shared" si="15"/>
        <v>1.404</v>
      </c>
      <c r="AP53" s="22">
        <f t="shared" si="16"/>
        <v>9.9</v>
      </c>
      <c r="AQ53" s="25">
        <f t="shared" si="17"/>
        <v>118.8</v>
      </c>
      <c r="AR53" s="116">
        <v>0.0</v>
      </c>
      <c r="AS53" s="117">
        <v>16000.0</v>
      </c>
      <c r="AT53" s="25">
        <f t="shared" si="18"/>
        <v>0</v>
      </c>
      <c r="AU53" s="116">
        <v>0.0</v>
      </c>
      <c r="AV53" s="117">
        <v>5500.0</v>
      </c>
      <c r="AW53" s="25">
        <f t="shared" si="19"/>
        <v>0</v>
      </c>
      <c r="AX53" s="119">
        <f t="shared" si="20"/>
        <v>134836.5</v>
      </c>
      <c r="AY53" s="120">
        <f t="shared" si="23"/>
        <v>16343.81818</v>
      </c>
      <c r="AZ53" s="119">
        <f t="shared" si="22"/>
        <v>134671.5</v>
      </c>
      <c r="BA53" s="182"/>
    </row>
    <row r="54" ht="15.75" customHeight="1">
      <c r="A54" s="8" t="s">
        <v>607</v>
      </c>
      <c r="B54" s="168" t="s">
        <v>14</v>
      </c>
      <c r="C54" s="168" t="s">
        <v>329</v>
      </c>
      <c r="D54" s="169" t="s">
        <v>330</v>
      </c>
      <c r="E54" s="169" t="s">
        <v>331</v>
      </c>
      <c r="F54" s="169" t="s">
        <v>51</v>
      </c>
      <c r="G54" s="145" t="s">
        <v>555</v>
      </c>
      <c r="H54" s="76">
        <v>5.0</v>
      </c>
      <c r="I54" s="9">
        <v>18000.0</v>
      </c>
      <c r="J54" s="9"/>
      <c r="K54" s="9"/>
      <c r="L54" s="9"/>
      <c r="M54" s="74">
        <v>1.0</v>
      </c>
      <c r="N54" s="78">
        <f t="shared" si="1"/>
        <v>18000</v>
      </c>
      <c r="O54" s="188">
        <v>12.0</v>
      </c>
      <c r="P54" s="123">
        <v>0.0</v>
      </c>
      <c r="Q54" s="76">
        <v>6.0</v>
      </c>
      <c r="R54" s="76">
        <v>700.0</v>
      </c>
      <c r="S54" s="74">
        <f t="shared" si="2"/>
        <v>50400</v>
      </c>
      <c r="T54" s="74">
        <f t="shared" si="3"/>
        <v>6</v>
      </c>
      <c r="U54" s="78">
        <f t="shared" si="4"/>
        <v>4200</v>
      </c>
      <c r="V54" s="80">
        <f t="shared" si="5"/>
        <v>0</v>
      </c>
      <c r="W54" s="85">
        <v>0.0</v>
      </c>
      <c r="X54" s="76">
        <v>400.0</v>
      </c>
      <c r="Y54" s="76">
        <v>1.6</v>
      </c>
      <c r="Z54" s="9">
        <f t="shared" si="6"/>
        <v>640</v>
      </c>
      <c r="AA54" s="9">
        <f t="shared" si="7"/>
        <v>400</v>
      </c>
      <c r="AB54" s="74">
        <f t="shared" si="8"/>
        <v>0</v>
      </c>
      <c r="AC54" s="81">
        <f t="shared" si="9"/>
        <v>0</v>
      </c>
      <c r="AD54" s="85">
        <v>0.0</v>
      </c>
      <c r="AE54" s="76">
        <v>750.0</v>
      </c>
      <c r="AF54" s="83">
        <v>0.55</v>
      </c>
      <c r="AG54" s="9">
        <f t="shared" si="10"/>
        <v>412.5</v>
      </c>
      <c r="AH54" s="9">
        <f t="shared" si="11"/>
        <v>750</v>
      </c>
      <c r="AI54" s="9">
        <f t="shared" si="12"/>
        <v>0</v>
      </c>
      <c r="AJ54" s="12">
        <f t="shared" si="13"/>
        <v>0</v>
      </c>
      <c r="AK54" s="123">
        <v>75.0</v>
      </c>
      <c r="AL54" s="83">
        <v>1.8</v>
      </c>
      <c r="AM54" s="83">
        <v>25.0</v>
      </c>
      <c r="AN54" s="9">
        <f t="shared" si="14"/>
        <v>45</v>
      </c>
      <c r="AO54" s="9">
        <f t="shared" si="15"/>
        <v>0.45</v>
      </c>
      <c r="AP54" s="9">
        <f t="shared" si="16"/>
        <v>33.75</v>
      </c>
      <c r="AQ54" s="12">
        <f t="shared" si="17"/>
        <v>405</v>
      </c>
      <c r="AR54" s="190">
        <v>57.5</v>
      </c>
      <c r="AS54" s="83">
        <v>16000.0</v>
      </c>
      <c r="AT54" s="12">
        <f t="shared" si="18"/>
        <v>9200</v>
      </c>
      <c r="AU54" s="85">
        <v>0.0</v>
      </c>
      <c r="AV54" s="83">
        <v>5500.0</v>
      </c>
      <c r="AW54" s="12">
        <f t="shared" si="19"/>
        <v>0</v>
      </c>
      <c r="AX54" s="86">
        <f t="shared" si="20"/>
        <v>48025</v>
      </c>
      <c r="AY54" s="87">
        <f t="shared" si="23"/>
        <v>53.36111111</v>
      </c>
      <c r="AZ54" s="86">
        <f t="shared" si="22"/>
        <v>30025</v>
      </c>
      <c r="BA54" s="171"/>
    </row>
    <row r="55" ht="15.75" customHeight="1">
      <c r="A55" s="14"/>
      <c r="B55" s="31" t="s">
        <v>14</v>
      </c>
      <c r="C55" s="31" t="s">
        <v>343</v>
      </c>
      <c r="D55" s="32" t="s">
        <v>344</v>
      </c>
      <c r="E55" s="32" t="s">
        <v>345</v>
      </c>
      <c r="F55" s="32" t="s">
        <v>348</v>
      </c>
      <c r="G55" s="147" t="s">
        <v>608</v>
      </c>
      <c r="H55" s="88">
        <v>5.0</v>
      </c>
      <c r="I55" s="13">
        <v>35000.0</v>
      </c>
      <c r="J55" s="13"/>
      <c r="K55" s="13"/>
      <c r="L55" s="13"/>
      <c r="M55" s="7">
        <v>1.0</v>
      </c>
      <c r="N55" s="60">
        <f t="shared" si="1"/>
        <v>35000</v>
      </c>
      <c r="O55" s="189">
        <v>12.0</v>
      </c>
      <c r="P55" s="96">
        <v>16.0</v>
      </c>
      <c r="Q55" s="88">
        <v>6.0</v>
      </c>
      <c r="R55" s="88">
        <v>700.0</v>
      </c>
      <c r="S55" s="7">
        <f t="shared" si="2"/>
        <v>50400</v>
      </c>
      <c r="T55" s="7">
        <f t="shared" si="3"/>
        <v>6.96</v>
      </c>
      <c r="U55" s="60">
        <f t="shared" si="4"/>
        <v>4872</v>
      </c>
      <c r="V55" s="125">
        <f t="shared" si="5"/>
        <v>8064</v>
      </c>
      <c r="W55" s="97">
        <v>0.0</v>
      </c>
      <c r="X55" s="88">
        <v>400.0</v>
      </c>
      <c r="Y55" s="88">
        <v>1.6</v>
      </c>
      <c r="Z55" s="13">
        <f t="shared" si="6"/>
        <v>640</v>
      </c>
      <c r="AA55" s="13">
        <f t="shared" si="7"/>
        <v>400</v>
      </c>
      <c r="AB55" s="7">
        <f t="shared" si="8"/>
        <v>0</v>
      </c>
      <c r="AC55" s="93">
        <f t="shared" si="9"/>
        <v>0</v>
      </c>
      <c r="AD55" s="97">
        <v>0.0</v>
      </c>
      <c r="AE55" s="88">
        <v>750.0</v>
      </c>
      <c r="AF55" s="95">
        <v>0.55</v>
      </c>
      <c r="AG55" s="13">
        <f t="shared" si="10"/>
        <v>412.5</v>
      </c>
      <c r="AH55" s="13">
        <f t="shared" si="11"/>
        <v>750</v>
      </c>
      <c r="AI55" s="13">
        <f t="shared" si="12"/>
        <v>0</v>
      </c>
      <c r="AJ55" s="17">
        <f t="shared" si="13"/>
        <v>0</v>
      </c>
      <c r="AK55" s="94">
        <v>0.0</v>
      </c>
      <c r="AL55" s="95">
        <v>1.8</v>
      </c>
      <c r="AM55" s="95">
        <v>25.0</v>
      </c>
      <c r="AN55" s="13">
        <f t="shared" si="14"/>
        <v>45</v>
      </c>
      <c r="AO55" s="13">
        <f t="shared" si="15"/>
        <v>1.8</v>
      </c>
      <c r="AP55" s="13">
        <f t="shared" si="16"/>
        <v>0</v>
      </c>
      <c r="AQ55" s="17">
        <f t="shared" si="17"/>
        <v>0</v>
      </c>
      <c r="AR55" s="191">
        <v>57.5</v>
      </c>
      <c r="AS55" s="95">
        <v>16000.0</v>
      </c>
      <c r="AT55" s="17">
        <f t="shared" si="18"/>
        <v>9200</v>
      </c>
      <c r="AU55" s="97">
        <v>0.0</v>
      </c>
      <c r="AV55" s="95">
        <v>5500.0</v>
      </c>
      <c r="AW55" s="17">
        <f t="shared" si="19"/>
        <v>0</v>
      </c>
      <c r="AX55" s="98">
        <f t="shared" si="20"/>
        <v>86320</v>
      </c>
      <c r="AY55" s="99">
        <f t="shared" si="23"/>
        <v>49.32571429</v>
      </c>
      <c r="AZ55" s="98">
        <f t="shared" si="22"/>
        <v>51320</v>
      </c>
      <c r="BA55" s="172"/>
    </row>
    <row r="56" ht="15.75" customHeight="1">
      <c r="A56" s="14"/>
      <c r="B56" s="31" t="s">
        <v>14</v>
      </c>
      <c r="C56" s="31" t="s">
        <v>329</v>
      </c>
      <c r="D56" s="32" t="s">
        <v>567</v>
      </c>
      <c r="E56" s="32" t="s">
        <v>609</v>
      </c>
      <c r="F56" s="32" t="s">
        <v>51</v>
      </c>
      <c r="G56" s="147" t="s">
        <v>569</v>
      </c>
      <c r="H56" s="88">
        <v>5.0</v>
      </c>
      <c r="I56" s="13"/>
      <c r="J56" s="13"/>
      <c r="K56" s="13">
        <v>415.0</v>
      </c>
      <c r="L56" s="7">
        <f>K56*12</f>
        <v>4980</v>
      </c>
      <c r="M56" s="7">
        <v>1.0</v>
      </c>
      <c r="N56" s="60">
        <f t="shared" si="1"/>
        <v>24900</v>
      </c>
      <c r="O56" s="189">
        <v>12.0</v>
      </c>
      <c r="P56" s="94">
        <v>0.0</v>
      </c>
      <c r="Q56" s="88">
        <v>6.0</v>
      </c>
      <c r="R56" s="88">
        <v>700.0</v>
      </c>
      <c r="S56" s="7">
        <f t="shared" si="2"/>
        <v>50400</v>
      </c>
      <c r="T56" s="7">
        <f t="shared" si="3"/>
        <v>6</v>
      </c>
      <c r="U56" s="60">
        <f t="shared" si="4"/>
        <v>4200</v>
      </c>
      <c r="V56" s="125">
        <f t="shared" si="5"/>
        <v>0</v>
      </c>
      <c r="W56" s="97">
        <v>0.0</v>
      </c>
      <c r="X56" s="88">
        <v>400.0</v>
      </c>
      <c r="Y56" s="88">
        <v>1.6</v>
      </c>
      <c r="Z56" s="13">
        <f t="shared" si="6"/>
        <v>640</v>
      </c>
      <c r="AA56" s="13">
        <f t="shared" si="7"/>
        <v>400</v>
      </c>
      <c r="AB56" s="7">
        <f t="shared" si="8"/>
        <v>0</v>
      </c>
      <c r="AC56" s="93">
        <f t="shared" si="9"/>
        <v>0</v>
      </c>
      <c r="AD56" s="97">
        <v>0.0</v>
      </c>
      <c r="AE56" s="88">
        <v>750.0</v>
      </c>
      <c r="AF56" s="95">
        <v>0.55</v>
      </c>
      <c r="AG56" s="13">
        <f t="shared" si="10"/>
        <v>412.5</v>
      </c>
      <c r="AH56" s="13">
        <f t="shared" si="11"/>
        <v>750</v>
      </c>
      <c r="AI56" s="13">
        <f t="shared" si="12"/>
        <v>0</v>
      </c>
      <c r="AJ56" s="17">
        <f t="shared" si="13"/>
        <v>0</v>
      </c>
      <c r="AK56" s="94">
        <v>75.0</v>
      </c>
      <c r="AL56" s="95">
        <v>1.8</v>
      </c>
      <c r="AM56" s="95">
        <v>25.0</v>
      </c>
      <c r="AN56" s="13">
        <f t="shared" si="14"/>
        <v>45</v>
      </c>
      <c r="AO56" s="13">
        <f t="shared" si="15"/>
        <v>0.45</v>
      </c>
      <c r="AP56" s="13">
        <f t="shared" si="16"/>
        <v>33.75</v>
      </c>
      <c r="AQ56" s="17">
        <f t="shared" si="17"/>
        <v>405</v>
      </c>
      <c r="AR56" s="191">
        <v>57.5</v>
      </c>
      <c r="AS56" s="95">
        <v>16000.0</v>
      </c>
      <c r="AT56" s="17">
        <f t="shared" si="18"/>
        <v>9200</v>
      </c>
      <c r="AU56" s="97">
        <v>0.0</v>
      </c>
      <c r="AV56" s="95">
        <v>5500.0</v>
      </c>
      <c r="AW56" s="17">
        <f t="shared" si="19"/>
        <v>0</v>
      </c>
      <c r="AX56" s="98">
        <f t="shared" si="20"/>
        <v>48025</v>
      </c>
      <c r="AY56" s="99">
        <f t="shared" si="23"/>
        <v>38.57429719</v>
      </c>
      <c r="AZ56" s="98">
        <f t="shared" si="22"/>
        <v>23125</v>
      </c>
      <c r="BA56" s="172"/>
    </row>
    <row r="57" ht="15.75" customHeight="1">
      <c r="A57" s="14"/>
      <c r="B57" s="31" t="s">
        <v>14</v>
      </c>
      <c r="C57" s="31" t="s">
        <v>238</v>
      </c>
      <c r="D57" s="32" t="s">
        <v>382</v>
      </c>
      <c r="E57" s="32" t="s">
        <v>187</v>
      </c>
      <c r="F57" s="32" t="s">
        <v>51</v>
      </c>
      <c r="G57" s="147" t="s">
        <v>591</v>
      </c>
      <c r="H57" s="88">
        <v>5.0</v>
      </c>
      <c r="I57" s="13">
        <v>30000.0</v>
      </c>
      <c r="J57" s="13"/>
      <c r="K57" s="13"/>
      <c r="L57" s="13"/>
      <c r="M57" s="7">
        <v>1.0</v>
      </c>
      <c r="N57" s="60">
        <f t="shared" si="1"/>
        <v>30000</v>
      </c>
      <c r="O57" s="189">
        <v>12.0</v>
      </c>
      <c r="P57" s="96">
        <v>16.0</v>
      </c>
      <c r="Q57" s="88">
        <v>6.0</v>
      </c>
      <c r="R57" s="88">
        <v>700.0</v>
      </c>
      <c r="S57" s="7">
        <f t="shared" si="2"/>
        <v>50400</v>
      </c>
      <c r="T57" s="7">
        <f t="shared" si="3"/>
        <v>6.96</v>
      </c>
      <c r="U57" s="60">
        <f t="shared" si="4"/>
        <v>4872</v>
      </c>
      <c r="V57" s="125">
        <f t="shared" si="5"/>
        <v>8064</v>
      </c>
      <c r="W57" s="96">
        <v>28.0</v>
      </c>
      <c r="X57" s="88">
        <v>400.0</v>
      </c>
      <c r="Y57" s="88">
        <v>1.6</v>
      </c>
      <c r="Z57" s="13">
        <f t="shared" si="6"/>
        <v>640</v>
      </c>
      <c r="AA57" s="13">
        <f t="shared" si="7"/>
        <v>288</v>
      </c>
      <c r="AB57" s="7">
        <f t="shared" si="8"/>
        <v>179.2</v>
      </c>
      <c r="AC57" s="93">
        <f t="shared" si="9"/>
        <v>2150.4</v>
      </c>
      <c r="AD57" s="97">
        <v>0.0</v>
      </c>
      <c r="AE57" s="88">
        <v>750.0</v>
      </c>
      <c r="AF57" s="95">
        <v>0.55</v>
      </c>
      <c r="AG57" s="13">
        <f t="shared" si="10"/>
        <v>412.5</v>
      </c>
      <c r="AH57" s="13">
        <f t="shared" si="11"/>
        <v>750</v>
      </c>
      <c r="AI57" s="13">
        <f t="shared" si="12"/>
        <v>0</v>
      </c>
      <c r="AJ57" s="17">
        <f t="shared" si="13"/>
        <v>0</v>
      </c>
      <c r="AK57" s="94">
        <v>75.0</v>
      </c>
      <c r="AL57" s="95">
        <v>1.8</v>
      </c>
      <c r="AM57" s="95">
        <v>25.0</v>
      </c>
      <c r="AN57" s="13">
        <f t="shared" si="14"/>
        <v>45</v>
      </c>
      <c r="AO57" s="13">
        <f t="shared" si="15"/>
        <v>0.45</v>
      </c>
      <c r="AP57" s="13">
        <f t="shared" si="16"/>
        <v>33.75</v>
      </c>
      <c r="AQ57" s="17">
        <f t="shared" si="17"/>
        <v>405</v>
      </c>
      <c r="AR57" s="191">
        <v>57.5</v>
      </c>
      <c r="AS57" s="95">
        <v>16000.0</v>
      </c>
      <c r="AT57" s="17">
        <f t="shared" si="18"/>
        <v>9200</v>
      </c>
      <c r="AU57" s="97">
        <v>0.0</v>
      </c>
      <c r="AV57" s="95">
        <v>5500.0</v>
      </c>
      <c r="AW57" s="17">
        <f t="shared" si="19"/>
        <v>0</v>
      </c>
      <c r="AX57" s="98">
        <f t="shared" si="20"/>
        <v>99097</v>
      </c>
      <c r="AY57" s="99">
        <f t="shared" si="23"/>
        <v>66.06466667</v>
      </c>
      <c r="AZ57" s="98">
        <f t="shared" si="22"/>
        <v>69097</v>
      </c>
      <c r="BA57" s="172"/>
    </row>
    <row r="58" ht="15.75" customHeight="1">
      <c r="A58" s="21"/>
      <c r="B58" s="180" t="s">
        <v>14</v>
      </c>
      <c r="C58" s="180" t="s">
        <v>392</v>
      </c>
      <c r="D58" s="181" t="s">
        <v>393</v>
      </c>
      <c r="E58" s="181" t="s">
        <v>394</v>
      </c>
      <c r="F58" s="181" t="s">
        <v>51</v>
      </c>
      <c r="G58" s="148" t="s">
        <v>559</v>
      </c>
      <c r="H58" s="108">
        <v>5.0</v>
      </c>
      <c r="I58" s="22">
        <v>950.0</v>
      </c>
      <c r="J58" s="22"/>
      <c r="K58" s="22"/>
      <c r="L58" s="22"/>
      <c r="M58" s="106">
        <v>1.0</v>
      </c>
      <c r="N58" s="110">
        <f t="shared" si="1"/>
        <v>950</v>
      </c>
      <c r="O58" s="187">
        <v>12.0</v>
      </c>
      <c r="P58" s="130">
        <v>0.0</v>
      </c>
      <c r="Q58" s="108">
        <v>6.0</v>
      </c>
      <c r="R58" s="108">
        <v>700.0</v>
      </c>
      <c r="S58" s="106">
        <f t="shared" si="2"/>
        <v>50400</v>
      </c>
      <c r="T58" s="106">
        <f t="shared" si="3"/>
        <v>6</v>
      </c>
      <c r="U58" s="110">
        <f t="shared" si="4"/>
        <v>4200</v>
      </c>
      <c r="V58" s="113">
        <f t="shared" si="5"/>
        <v>0</v>
      </c>
      <c r="W58" s="192">
        <v>0.0</v>
      </c>
      <c r="X58" s="108">
        <v>400.0</v>
      </c>
      <c r="Y58" s="108">
        <v>1.6</v>
      </c>
      <c r="Z58" s="22">
        <f t="shared" si="6"/>
        <v>640</v>
      </c>
      <c r="AA58" s="22">
        <f t="shared" si="7"/>
        <v>400</v>
      </c>
      <c r="AB58" s="106">
        <f t="shared" si="8"/>
        <v>0</v>
      </c>
      <c r="AC58" s="115">
        <f t="shared" si="9"/>
        <v>0</v>
      </c>
      <c r="AD58" s="130">
        <v>22.5</v>
      </c>
      <c r="AE58" s="108">
        <v>750.0</v>
      </c>
      <c r="AF58" s="117">
        <v>0.55</v>
      </c>
      <c r="AG58" s="22">
        <f t="shared" si="10"/>
        <v>412.5</v>
      </c>
      <c r="AH58" s="22">
        <f t="shared" si="11"/>
        <v>581.25</v>
      </c>
      <c r="AI58" s="22">
        <f t="shared" si="12"/>
        <v>92.8125</v>
      </c>
      <c r="AJ58" s="25">
        <f t="shared" si="13"/>
        <v>1113.75</v>
      </c>
      <c r="AK58" s="130">
        <v>0.0</v>
      </c>
      <c r="AL58" s="117">
        <v>1.8</v>
      </c>
      <c r="AM58" s="117">
        <v>25.0</v>
      </c>
      <c r="AN58" s="22">
        <f t="shared" si="14"/>
        <v>45</v>
      </c>
      <c r="AO58" s="22">
        <f t="shared" si="15"/>
        <v>1.8</v>
      </c>
      <c r="AP58" s="22">
        <f t="shared" si="16"/>
        <v>0</v>
      </c>
      <c r="AQ58" s="25">
        <f t="shared" si="17"/>
        <v>0</v>
      </c>
      <c r="AR58" s="136">
        <v>57.5</v>
      </c>
      <c r="AS58" s="117">
        <v>16000.0</v>
      </c>
      <c r="AT58" s="25">
        <f t="shared" si="18"/>
        <v>9200</v>
      </c>
      <c r="AU58" s="116">
        <v>0.0</v>
      </c>
      <c r="AV58" s="117">
        <v>5500.0</v>
      </c>
      <c r="AW58" s="25">
        <f t="shared" si="19"/>
        <v>0</v>
      </c>
      <c r="AX58" s="119">
        <f t="shared" si="20"/>
        <v>51568.75</v>
      </c>
      <c r="AY58" s="120">
        <f t="shared" si="23"/>
        <v>1085.657895</v>
      </c>
      <c r="AZ58" s="119">
        <f t="shared" si="22"/>
        <v>50618.75</v>
      </c>
      <c r="BA58" s="182"/>
    </row>
    <row r="59" ht="15.75" customHeight="1">
      <c r="A59" s="31"/>
      <c r="B59" s="31"/>
      <c r="C59" s="31"/>
      <c r="D59" s="16"/>
      <c r="E59" s="16"/>
      <c r="F59" s="16"/>
      <c r="G59" s="16"/>
    </row>
    <row r="60" ht="15.75" customHeight="1">
      <c r="A60" s="31"/>
      <c r="B60" s="31"/>
      <c r="C60" s="31"/>
      <c r="D60" s="16"/>
      <c r="E60" s="16"/>
      <c r="F60" s="16"/>
      <c r="G60" s="16"/>
    </row>
    <row r="61" ht="15.75" customHeight="1">
      <c r="A61" s="31"/>
      <c r="B61" s="31"/>
      <c r="C61" s="31"/>
      <c r="D61" s="16"/>
      <c r="E61" s="16"/>
      <c r="F61" s="16"/>
      <c r="G61" s="16"/>
    </row>
    <row r="62" ht="15.75" customHeight="1">
      <c r="A62" s="31"/>
      <c r="B62" s="31"/>
      <c r="C62" s="31"/>
      <c r="D62" s="16"/>
      <c r="E62" s="16"/>
      <c r="F62" s="16"/>
      <c r="G62" s="16"/>
    </row>
    <row r="63" ht="15.75" customHeight="1">
      <c r="A63" s="31"/>
      <c r="B63" s="31"/>
      <c r="C63" s="31"/>
      <c r="D63" s="16"/>
      <c r="E63" s="16"/>
      <c r="F63" s="16"/>
      <c r="G63" s="16"/>
    </row>
    <row r="64" ht="15.75" customHeight="1">
      <c r="A64" s="31"/>
      <c r="B64" s="31"/>
      <c r="C64" s="31"/>
      <c r="D64" s="16"/>
      <c r="E64" s="16"/>
      <c r="F64" s="16"/>
      <c r="G64" s="16"/>
    </row>
    <row r="65" ht="15.75" customHeight="1">
      <c r="A65" s="31"/>
      <c r="B65" s="31"/>
      <c r="C65" s="31"/>
      <c r="D65" s="16"/>
      <c r="E65" s="16"/>
      <c r="F65" s="16"/>
      <c r="G65" s="16"/>
    </row>
    <row r="66" ht="15.75" customHeight="1">
      <c r="A66" s="31"/>
      <c r="B66" s="31"/>
      <c r="C66" s="31"/>
      <c r="D66" s="16"/>
      <c r="E66" s="16"/>
      <c r="F66" s="16"/>
      <c r="G66" s="16"/>
    </row>
    <row r="67" ht="15.75" customHeight="1">
      <c r="A67" s="16"/>
      <c r="B67" s="16"/>
      <c r="C67" s="16"/>
      <c r="D67" s="16"/>
      <c r="E67" s="16"/>
      <c r="F67" s="16"/>
      <c r="G67" s="16"/>
    </row>
    <row r="68" ht="15.75" customHeight="1">
      <c r="A68" s="16"/>
      <c r="B68" s="16"/>
      <c r="C68" s="16"/>
      <c r="D68" s="16"/>
      <c r="E68" s="16"/>
      <c r="F68" s="16"/>
      <c r="G68" s="16"/>
    </row>
    <row r="69" ht="15.75" customHeight="1">
      <c r="A69" s="16"/>
      <c r="B69" s="16"/>
      <c r="C69" s="16"/>
      <c r="D69" s="16"/>
      <c r="E69" s="16"/>
      <c r="F69" s="16"/>
      <c r="G69" s="16"/>
    </row>
    <row r="70" ht="15.75" customHeight="1">
      <c r="A70" s="16"/>
      <c r="B70" s="16"/>
      <c r="C70" s="16"/>
      <c r="D70" s="16"/>
      <c r="E70" s="16"/>
      <c r="F70" s="16"/>
      <c r="G70" s="16"/>
    </row>
    <row r="71" ht="15.75" customHeight="1">
      <c r="A71" s="16"/>
      <c r="B71" s="16"/>
      <c r="C71" s="16"/>
      <c r="D71" s="16"/>
      <c r="E71" s="16"/>
      <c r="F71" s="16"/>
      <c r="G71" s="16"/>
    </row>
    <row r="72" ht="15.75" customHeight="1">
      <c r="A72" s="16"/>
      <c r="B72" s="16"/>
      <c r="C72" s="16"/>
      <c r="D72" s="16"/>
      <c r="E72" s="16"/>
      <c r="F72" s="16"/>
      <c r="G72" s="16"/>
    </row>
    <row r="73" ht="15.75" customHeight="1">
      <c r="A73" s="16"/>
      <c r="B73" s="16"/>
      <c r="C73" s="16"/>
      <c r="D73" s="16"/>
      <c r="E73" s="16"/>
      <c r="F73" s="16"/>
      <c r="G73" s="16"/>
    </row>
    <row r="74" ht="15.75" customHeight="1">
      <c r="A74" s="16"/>
      <c r="B74" s="16"/>
      <c r="C74" s="16"/>
      <c r="D74" s="16"/>
      <c r="E74" s="16"/>
      <c r="F74" s="16"/>
      <c r="G74" s="16"/>
    </row>
    <row r="75" ht="15.75" customHeight="1">
      <c r="A75" s="16"/>
      <c r="B75" s="16"/>
      <c r="C75" s="16"/>
      <c r="D75" s="16"/>
      <c r="E75" s="16"/>
      <c r="F75" s="16"/>
      <c r="G75" s="16"/>
    </row>
    <row r="76" ht="15.75" customHeight="1">
      <c r="A76" s="16"/>
      <c r="B76" s="16"/>
      <c r="C76" s="16"/>
      <c r="D76" s="16"/>
      <c r="E76" s="16"/>
      <c r="F76" s="16"/>
      <c r="G76" s="16"/>
    </row>
    <row r="77" ht="15.75" customHeight="1">
      <c r="A77" s="16"/>
      <c r="B77" s="16"/>
      <c r="C77" s="16"/>
      <c r="D77" s="16"/>
      <c r="E77" s="16"/>
      <c r="F77" s="16"/>
      <c r="G77" s="16"/>
    </row>
    <row r="78" ht="15.75" customHeight="1">
      <c r="A78" s="16"/>
      <c r="B78" s="16"/>
      <c r="C78" s="16"/>
      <c r="D78" s="16"/>
      <c r="E78" s="16"/>
      <c r="F78" s="16"/>
      <c r="G78" s="16"/>
    </row>
    <row r="79" ht="15.75" customHeight="1">
      <c r="A79" s="16"/>
      <c r="B79" s="16"/>
      <c r="C79" s="16"/>
      <c r="D79" s="16"/>
      <c r="E79" s="16"/>
      <c r="F79" s="16"/>
      <c r="G79" s="16"/>
    </row>
    <row r="80" ht="15.75" customHeight="1">
      <c r="A80" s="16"/>
      <c r="B80" s="16"/>
      <c r="C80" s="16"/>
      <c r="D80" s="16"/>
      <c r="E80" s="16"/>
      <c r="F80" s="16"/>
      <c r="G80" s="16"/>
    </row>
    <row r="81" ht="15.75" customHeight="1">
      <c r="A81" s="16"/>
      <c r="B81" s="16"/>
      <c r="C81" s="16"/>
      <c r="D81" s="16"/>
      <c r="E81" s="16"/>
      <c r="F81" s="16"/>
      <c r="G81" s="16"/>
    </row>
    <row r="82" ht="15.75" customHeight="1">
      <c r="A82" s="16"/>
      <c r="B82" s="16"/>
      <c r="C82" s="16"/>
      <c r="D82" s="16"/>
      <c r="E82" s="16"/>
      <c r="F82" s="16"/>
      <c r="G82" s="16"/>
    </row>
    <row r="83" ht="15.75" customHeight="1">
      <c r="A83" s="16"/>
      <c r="B83" s="16"/>
      <c r="C83" s="16"/>
      <c r="D83" s="16"/>
      <c r="E83" s="16"/>
      <c r="F83" s="16"/>
      <c r="G83" s="16"/>
    </row>
    <row r="84" ht="15.75" customHeight="1">
      <c r="A84" s="16"/>
      <c r="B84" s="16"/>
      <c r="C84" s="16"/>
      <c r="D84" s="16"/>
      <c r="E84" s="16"/>
      <c r="F84" s="16"/>
      <c r="G84" s="16"/>
    </row>
    <row r="85" ht="15.75" customHeight="1">
      <c r="A85" s="16"/>
      <c r="B85" s="16"/>
      <c r="C85" s="16"/>
      <c r="D85" s="16"/>
      <c r="E85" s="16"/>
      <c r="F85" s="16"/>
      <c r="G85" s="16"/>
    </row>
    <row r="86" ht="15.75" customHeight="1">
      <c r="A86" s="16"/>
      <c r="B86" s="16"/>
      <c r="C86" s="16"/>
      <c r="D86" s="16"/>
      <c r="E86" s="16"/>
      <c r="F86" s="16"/>
      <c r="G86" s="16"/>
    </row>
    <row r="87" ht="15.75" customHeight="1">
      <c r="A87" s="16"/>
      <c r="B87" s="16"/>
      <c r="C87" s="16"/>
      <c r="D87" s="16"/>
      <c r="E87" s="16"/>
      <c r="F87" s="16"/>
      <c r="G87" s="16"/>
    </row>
    <row r="88" ht="15.75" customHeight="1">
      <c r="A88" s="16"/>
      <c r="B88" s="16"/>
      <c r="C88" s="16"/>
      <c r="D88" s="16"/>
      <c r="E88" s="16"/>
      <c r="F88" s="16"/>
      <c r="G88" s="16"/>
    </row>
    <row r="89" ht="15.75" customHeight="1">
      <c r="A89" s="16"/>
      <c r="B89" s="16"/>
      <c r="C89" s="16"/>
      <c r="D89" s="16"/>
      <c r="E89" s="16"/>
      <c r="F89" s="16"/>
      <c r="G89" s="16"/>
    </row>
    <row r="90" ht="15.75" customHeight="1">
      <c r="A90" s="16"/>
      <c r="B90" s="16"/>
      <c r="C90" s="16"/>
      <c r="D90" s="16"/>
      <c r="E90" s="16"/>
      <c r="F90" s="16"/>
      <c r="G90" s="16"/>
    </row>
    <row r="91" ht="15.75" customHeight="1">
      <c r="A91" s="16"/>
      <c r="B91" s="16"/>
      <c r="C91" s="16"/>
      <c r="D91" s="16"/>
      <c r="E91" s="16"/>
      <c r="F91" s="16"/>
      <c r="G91" s="16"/>
    </row>
    <row r="92" ht="15.75" customHeight="1">
      <c r="A92" s="16"/>
      <c r="B92" s="16"/>
      <c r="C92" s="16"/>
      <c r="D92" s="16"/>
      <c r="E92" s="16"/>
      <c r="F92" s="16"/>
      <c r="G92" s="16"/>
    </row>
    <row r="93" ht="15.75" customHeight="1">
      <c r="A93" s="16"/>
      <c r="B93" s="16"/>
      <c r="C93" s="16"/>
      <c r="D93" s="16"/>
      <c r="E93" s="16"/>
      <c r="F93" s="16"/>
      <c r="G93" s="16"/>
    </row>
    <row r="94" ht="15.75" customHeight="1">
      <c r="A94" s="16"/>
      <c r="B94" s="16"/>
      <c r="C94" s="16"/>
      <c r="D94" s="16"/>
      <c r="E94" s="16"/>
      <c r="F94" s="16"/>
      <c r="G94" s="16"/>
    </row>
    <row r="95" ht="15.75" customHeight="1">
      <c r="A95" s="16"/>
      <c r="B95" s="16"/>
      <c r="C95" s="16"/>
      <c r="D95" s="16"/>
      <c r="E95" s="16"/>
      <c r="F95" s="16"/>
      <c r="G95" s="16"/>
    </row>
    <row r="96" ht="15.75" customHeight="1">
      <c r="A96" s="16"/>
      <c r="B96" s="16"/>
      <c r="C96" s="16"/>
      <c r="D96" s="16"/>
      <c r="E96" s="16"/>
      <c r="F96" s="16"/>
      <c r="G96" s="16"/>
    </row>
    <row r="97" ht="15.75" customHeight="1">
      <c r="A97" s="16"/>
      <c r="B97" s="16"/>
      <c r="C97" s="16"/>
      <c r="D97" s="16"/>
      <c r="E97" s="16"/>
      <c r="F97" s="16"/>
      <c r="G97" s="16"/>
    </row>
    <row r="98" ht="15.75" customHeight="1">
      <c r="A98" s="16"/>
      <c r="B98" s="16"/>
      <c r="C98" s="16"/>
      <c r="D98" s="16"/>
      <c r="E98" s="16"/>
      <c r="F98" s="16"/>
      <c r="G98" s="16"/>
    </row>
    <row r="99" ht="15.75" customHeight="1">
      <c r="A99" s="16"/>
      <c r="B99" s="16"/>
      <c r="C99" s="16"/>
      <c r="D99" s="16"/>
      <c r="E99" s="16"/>
      <c r="F99" s="16"/>
      <c r="G99" s="16"/>
    </row>
    <row r="100" ht="15.75" customHeight="1">
      <c r="A100" s="16"/>
      <c r="B100" s="16"/>
      <c r="C100" s="16"/>
      <c r="D100" s="16"/>
      <c r="E100" s="16"/>
      <c r="F100" s="16"/>
      <c r="G100" s="16"/>
    </row>
    <row r="101" ht="15.75" customHeight="1">
      <c r="A101" s="16"/>
      <c r="B101" s="16"/>
      <c r="C101" s="16"/>
      <c r="D101" s="16"/>
      <c r="E101" s="16"/>
      <c r="F101" s="16"/>
      <c r="G101" s="16"/>
    </row>
    <row r="102" ht="15.75" customHeight="1">
      <c r="A102" s="16"/>
      <c r="B102" s="16"/>
      <c r="C102" s="16"/>
      <c r="D102" s="16"/>
      <c r="E102" s="16"/>
      <c r="F102" s="16"/>
      <c r="G102" s="16"/>
    </row>
    <row r="103" ht="15.75" customHeight="1">
      <c r="A103" s="16"/>
      <c r="B103" s="16"/>
      <c r="C103" s="16"/>
      <c r="D103" s="16"/>
      <c r="E103" s="16"/>
      <c r="F103" s="16"/>
      <c r="G103" s="16"/>
    </row>
    <row r="104" ht="15.75" customHeight="1">
      <c r="A104" s="16"/>
      <c r="B104" s="16"/>
      <c r="C104" s="16"/>
      <c r="D104" s="16"/>
      <c r="E104" s="16"/>
      <c r="F104" s="16"/>
      <c r="G104" s="16"/>
    </row>
    <row r="105" ht="15.75" customHeight="1">
      <c r="A105" s="16"/>
      <c r="B105" s="16"/>
      <c r="C105" s="16"/>
      <c r="D105" s="16"/>
      <c r="E105" s="16"/>
      <c r="F105" s="16"/>
      <c r="G105" s="16"/>
    </row>
    <row r="106" ht="15.75" customHeight="1">
      <c r="A106" s="16"/>
      <c r="B106" s="16"/>
      <c r="C106" s="16"/>
      <c r="D106" s="16"/>
      <c r="E106" s="16"/>
      <c r="F106" s="16"/>
      <c r="G106" s="16"/>
    </row>
    <row r="107" ht="15.75" customHeight="1">
      <c r="A107" s="16"/>
      <c r="B107" s="16"/>
      <c r="C107" s="16"/>
      <c r="D107" s="16"/>
      <c r="E107" s="16"/>
      <c r="F107" s="16"/>
      <c r="G107" s="16"/>
    </row>
    <row r="108" ht="15.75" customHeight="1">
      <c r="A108" s="16"/>
      <c r="B108" s="16"/>
      <c r="C108" s="16"/>
      <c r="D108" s="16"/>
      <c r="E108" s="16"/>
      <c r="F108" s="16"/>
      <c r="G108" s="16"/>
    </row>
    <row r="109" ht="15.75" customHeight="1">
      <c r="A109" s="16"/>
      <c r="B109" s="16"/>
      <c r="C109" s="16"/>
      <c r="D109" s="16"/>
      <c r="E109" s="16"/>
      <c r="F109" s="16"/>
      <c r="G109" s="16"/>
    </row>
    <row r="110" ht="15.75" customHeight="1">
      <c r="A110" s="16"/>
      <c r="B110" s="16"/>
      <c r="C110" s="16"/>
      <c r="D110" s="16"/>
      <c r="E110" s="16"/>
      <c r="F110" s="16"/>
      <c r="G110" s="16"/>
    </row>
    <row r="111" ht="15.75" customHeight="1">
      <c r="A111" s="16"/>
      <c r="B111" s="16"/>
      <c r="C111" s="16"/>
      <c r="D111" s="16"/>
      <c r="E111" s="16"/>
      <c r="F111" s="16"/>
      <c r="G111" s="16"/>
    </row>
    <row r="112" ht="15.75" customHeight="1">
      <c r="A112" s="16"/>
      <c r="B112" s="16"/>
      <c r="C112" s="16"/>
      <c r="D112" s="16"/>
      <c r="E112" s="16"/>
      <c r="F112" s="16"/>
      <c r="G112" s="16"/>
    </row>
    <row r="113" ht="15.75" customHeight="1">
      <c r="A113" s="16"/>
      <c r="B113" s="16"/>
      <c r="C113" s="16"/>
      <c r="D113" s="16"/>
      <c r="E113" s="16"/>
      <c r="F113" s="16"/>
      <c r="G113" s="16"/>
    </row>
    <row r="114" ht="15.75" customHeight="1">
      <c r="A114" s="16"/>
      <c r="B114" s="16"/>
      <c r="C114" s="16"/>
      <c r="D114" s="16"/>
      <c r="E114" s="16"/>
      <c r="F114" s="16"/>
      <c r="G114" s="16"/>
    </row>
    <row r="115" ht="15.75" customHeight="1">
      <c r="A115" s="16"/>
      <c r="B115" s="16"/>
      <c r="C115" s="16"/>
      <c r="D115" s="16"/>
      <c r="E115" s="16"/>
      <c r="F115" s="16"/>
      <c r="G115" s="16"/>
    </row>
    <row r="116" ht="15.75" customHeight="1">
      <c r="A116" s="16"/>
      <c r="B116" s="16"/>
      <c r="C116" s="16"/>
      <c r="D116" s="16"/>
      <c r="E116" s="16"/>
      <c r="F116" s="16"/>
      <c r="G116" s="16"/>
    </row>
    <row r="117" ht="15.75" customHeight="1">
      <c r="A117" s="16"/>
      <c r="B117" s="16"/>
      <c r="C117" s="16"/>
      <c r="D117" s="16"/>
      <c r="E117" s="16"/>
      <c r="F117" s="16"/>
      <c r="G117" s="16"/>
    </row>
    <row r="118" ht="15.75" customHeight="1">
      <c r="A118" s="16"/>
      <c r="B118" s="16"/>
      <c r="C118" s="16"/>
      <c r="D118" s="16"/>
      <c r="E118" s="16"/>
      <c r="F118" s="16"/>
      <c r="G118" s="16"/>
    </row>
    <row r="119" ht="15.75" customHeight="1">
      <c r="A119" s="16"/>
      <c r="B119" s="16"/>
      <c r="C119" s="16"/>
      <c r="D119" s="16"/>
      <c r="E119" s="16"/>
      <c r="F119" s="16"/>
      <c r="G119" s="16"/>
    </row>
    <row r="120" ht="15.75" customHeight="1">
      <c r="A120" s="16"/>
      <c r="B120" s="16"/>
      <c r="C120" s="16"/>
      <c r="D120" s="16"/>
      <c r="E120" s="16"/>
      <c r="F120" s="16"/>
      <c r="G120" s="16"/>
    </row>
    <row r="121" ht="15.75" customHeight="1">
      <c r="A121" s="16"/>
      <c r="B121" s="16"/>
      <c r="C121" s="16"/>
      <c r="D121" s="16"/>
      <c r="E121" s="16"/>
      <c r="F121" s="16"/>
      <c r="G121" s="16"/>
    </row>
    <row r="122" ht="15.75" customHeight="1">
      <c r="A122" s="16"/>
      <c r="B122" s="16"/>
      <c r="C122" s="16"/>
      <c r="D122" s="16"/>
      <c r="E122" s="16"/>
      <c r="F122" s="16"/>
      <c r="G122" s="16"/>
    </row>
    <row r="123" ht="15.75" customHeight="1">
      <c r="A123" s="16"/>
      <c r="B123" s="16"/>
      <c r="C123" s="16"/>
      <c r="D123" s="16"/>
      <c r="E123" s="16"/>
      <c r="F123" s="16"/>
      <c r="G123" s="16"/>
    </row>
    <row r="124" ht="15.75" customHeight="1">
      <c r="A124" s="16"/>
      <c r="B124" s="16"/>
      <c r="C124" s="16"/>
      <c r="D124" s="16"/>
      <c r="E124" s="16"/>
      <c r="F124" s="16"/>
      <c r="G124" s="16"/>
    </row>
    <row r="125" ht="15.75" customHeight="1">
      <c r="A125" s="16"/>
      <c r="B125" s="16"/>
      <c r="C125" s="16"/>
      <c r="D125" s="16"/>
      <c r="E125" s="16"/>
      <c r="F125" s="16"/>
      <c r="G125" s="16"/>
    </row>
    <row r="126" ht="15.75" customHeight="1">
      <c r="A126" s="16"/>
      <c r="B126" s="16"/>
      <c r="C126" s="16"/>
      <c r="D126" s="16"/>
      <c r="E126" s="16"/>
      <c r="F126" s="16"/>
      <c r="G126" s="16"/>
    </row>
    <row r="127" ht="15.75" customHeight="1">
      <c r="A127" s="16"/>
      <c r="B127" s="16"/>
      <c r="C127" s="16"/>
      <c r="D127" s="16"/>
      <c r="E127" s="16"/>
      <c r="F127" s="16"/>
      <c r="G127" s="16"/>
    </row>
    <row r="128" ht="15.75" customHeight="1">
      <c r="A128" s="16"/>
      <c r="B128" s="16"/>
      <c r="C128" s="16"/>
      <c r="D128" s="16"/>
      <c r="E128" s="16"/>
      <c r="F128" s="16"/>
      <c r="G128" s="16"/>
    </row>
    <row r="129" ht="15.75" customHeight="1">
      <c r="A129" s="16"/>
      <c r="B129" s="16"/>
      <c r="C129" s="16"/>
      <c r="D129" s="16"/>
      <c r="E129" s="16"/>
      <c r="F129" s="16"/>
      <c r="G129" s="16"/>
    </row>
    <row r="130" ht="15.75" customHeight="1">
      <c r="A130" s="16"/>
      <c r="B130" s="16"/>
      <c r="C130" s="16"/>
      <c r="D130" s="16"/>
      <c r="E130" s="16"/>
      <c r="F130" s="16"/>
      <c r="G130" s="16"/>
    </row>
    <row r="131" ht="15.75" customHeight="1">
      <c r="A131" s="16"/>
      <c r="B131" s="16"/>
      <c r="C131" s="16"/>
      <c r="D131" s="16"/>
      <c r="E131" s="16"/>
      <c r="F131" s="16"/>
      <c r="G131" s="16"/>
    </row>
    <row r="132" ht="15.75" customHeight="1">
      <c r="A132" s="16"/>
      <c r="B132" s="16"/>
      <c r="C132" s="16"/>
      <c r="D132" s="16"/>
      <c r="E132" s="16"/>
      <c r="F132" s="16"/>
      <c r="G132" s="16"/>
    </row>
    <row r="133" ht="15.75" customHeight="1">
      <c r="A133" s="16"/>
      <c r="B133" s="16"/>
      <c r="C133" s="16"/>
      <c r="D133" s="16"/>
      <c r="E133" s="16"/>
      <c r="F133" s="16"/>
      <c r="G133" s="16"/>
    </row>
    <row r="134" ht="15.75" customHeight="1">
      <c r="A134" s="16"/>
      <c r="B134" s="16"/>
      <c r="C134" s="16"/>
      <c r="D134" s="16"/>
      <c r="E134" s="16"/>
      <c r="F134" s="16"/>
      <c r="G134" s="16"/>
    </row>
    <row r="135" ht="15.75" customHeight="1">
      <c r="A135" s="16"/>
      <c r="B135" s="16"/>
      <c r="C135" s="16"/>
      <c r="D135" s="16"/>
      <c r="E135" s="16"/>
      <c r="F135" s="16"/>
      <c r="G135" s="16"/>
    </row>
    <row r="136" ht="15.75" customHeight="1">
      <c r="A136" s="16"/>
      <c r="B136" s="16"/>
      <c r="C136" s="16"/>
      <c r="D136" s="16"/>
      <c r="E136" s="16"/>
      <c r="F136" s="16"/>
      <c r="G136" s="16"/>
    </row>
    <row r="137" ht="15.75" customHeight="1">
      <c r="A137" s="16"/>
      <c r="B137" s="16"/>
      <c r="C137" s="16"/>
      <c r="D137" s="16"/>
      <c r="E137" s="16"/>
      <c r="F137" s="16"/>
      <c r="G137" s="16"/>
    </row>
    <row r="138" ht="15.75" customHeight="1">
      <c r="A138" s="16"/>
      <c r="B138" s="16"/>
      <c r="C138" s="16"/>
      <c r="D138" s="16"/>
      <c r="E138" s="16"/>
      <c r="F138" s="16"/>
      <c r="G138" s="16"/>
    </row>
    <row r="139" ht="15.75" customHeight="1">
      <c r="A139" s="16"/>
      <c r="B139" s="16"/>
      <c r="C139" s="16"/>
      <c r="D139" s="16"/>
      <c r="E139" s="16"/>
      <c r="F139" s="16"/>
      <c r="G139" s="16"/>
    </row>
    <row r="140" ht="15.75" customHeight="1">
      <c r="A140" s="16"/>
      <c r="B140" s="16"/>
      <c r="C140" s="16"/>
      <c r="D140" s="16"/>
      <c r="E140" s="16"/>
      <c r="F140" s="16"/>
      <c r="G140" s="16"/>
    </row>
    <row r="141" ht="15.75" customHeight="1">
      <c r="A141" s="16"/>
      <c r="B141" s="16"/>
      <c r="C141" s="16"/>
      <c r="D141" s="16"/>
      <c r="E141" s="16"/>
      <c r="F141" s="16"/>
      <c r="G141" s="16"/>
    </row>
    <row r="142" ht="15.75" customHeight="1">
      <c r="A142" s="16"/>
      <c r="B142" s="16"/>
      <c r="C142" s="16"/>
      <c r="D142" s="16"/>
      <c r="E142" s="16"/>
      <c r="F142" s="16"/>
      <c r="G142" s="16"/>
    </row>
    <row r="143" ht="15.75" customHeight="1">
      <c r="A143" s="16"/>
      <c r="B143" s="16"/>
      <c r="C143" s="16"/>
      <c r="D143" s="16"/>
      <c r="E143" s="16"/>
      <c r="F143" s="16"/>
      <c r="G143" s="16"/>
    </row>
    <row r="144" ht="15.75" customHeight="1">
      <c r="A144" s="16"/>
      <c r="B144" s="16"/>
      <c r="C144" s="16"/>
      <c r="D144" s="16"/>
      <c r="E144" s="16"/>
      <c r="F144" s="16"/>
      <c r="G144" s="16"/>
    </row>
    <row r="145" ht="15.75" customHeight="1">
      <c r="A145" s="16"/>
      <c r="B145" s="16"/>
      <c r="C145" s="16"/>
      <c r="D145" s="16"/>
      <c r="E145" s="16"/>
      <c r="F145" s="16"/>
      <c r="G145" s="16"/>
    </row>
    <row r="146" ht="15.75" customHeight="1">
      <c r="A146" s="16"/>
      <c r="B146" s="16"/>
      <c r="C146" s="16"/>
      <c r="D146" s="16"/>
      <c r="E146" s="16"/>
      <c r="F146" s="16"/>
      <c r="G146" s="16"/>
    </row>
    <row r="147" ht="15.75" customHeight="1">
      <c r="A147" s="16"/>
      <c r="B147" s="16"/>
      <c r="C147" s="16"/>
      <c r="D147" s="16"/>
      <c r="E147" s="16"/>
      <c r="F147" s="16"/>
      <c r="G147" s="16"/>
    </row>
    <row r="148" ht="15.75" customHeight="1">
      <c r="A148" s="16"/>
      <c r="B148" s="16"/>
      <c r="C148" s="16"/>
      <c r="D148" s="16"/>
      <c r="E148" s="16"/>
      <c r="F148" s="16"/>
      <c r="G148" s="16"/>
    </row>
    <row r="149" ht="15.75" customHeight="1">
      <c r="A149" s="16"/>
      <c r="B149" s="16"/>
      <c r="C149" s="16"/>
      <c r="D149" s="16"/>
      <c r="E149" s="16"/>
      <c r="F149" s="16"/>
      <c r="G149" s="16"/>
    </row>
    <row r="150" ht="15.75" customHeight="1">
      <c r="A150" s="16"/>
      <c r="B150" s="16"/>
      <c r="C150" s="16"/>
      <c r="D150" s="16"/>
      <c r="E150" s="16"/>
      <c r="F150" s="16"/>
      <c r="G150" s="16"/>
    </row>
    <row r="151" ht="15.75" customHeight="1">
      <c r="A151" s="16"/>
      <c r="B151" s="16"/>
      <c r="C151" s="16"/>
      <c r="D151" s="16"/>
      <c r="E151" s="16"/>
      <c r="F151" s="16"/>
      <c r="G151" s="16"/>
    </row>
    <row r="152" ht="15.75" customHeight="1">
      <c r="A152" s="16"/>
      <c r="B152" s="16"/>
      <c r="C152" s="16"/>
      <c r="D152" s="16"/>
      <c r="E152" s="16"/>
      <c r="F152" s="16"/>
      <c r="G152" s="16"/>
    </row>
    <row r="153" ht="15.75" customHeight="1">
      <c r="A153" s="16"/>
      <c r="B153" s="16"/>
      <c r="C153" s="16"/>
      <c r="D153" s="16"/>
      <c r="E153" s="16"/>
      <c r="F153" s="16"/>
      <c r="G153" s="16"/>
    </row>
    <row r="154" ht="15.75" customHeight="1">
      <c r="A154" s="16"/>
      <c r="B154" s="16"/>
      <c r="C154" s="16"/>
      <c r="D154" s="16"/>
      <c r="E154" s="16"/>
      <c r="F154" s="16"/>
      <c r="G154" s="16"/>
    </row>
    <row r="155" ht="15.75" customHeight="1">
      <c r="A155" s="16"/>
      <c r="B155" s="16"/>
      <c r="C155" s="16"/>
      <c r="D155" s="16"/>
      <c r="E155" s="16"/>
      <c r="F155" s="16"/>
      <c r="G155" s="16"/>
    </row>
    <row r="156" ht="15.75" customHeight="1">
      <c r="A156" s="16"/>
      <c r="B156" s="16"/>
      <c r="C156" s="16"/>
      <c r="D156" s="16"/>
      <c r="E156" s="16"/>
      <c r="F156" s="16"/>
      <c r="G156" s="16"/>
    </row>
    <row r="157" ht="15.75" customHeight="1">
      <c r="A157" s="16"/>
      <c r="B157" s="16"/>
      <c r="C157" s="16"/>
      <c r="D157" s="16"/>
      <c r="E157" s="16"/>
      <c r="F157" s="16"/>
      <c r="G157" s="16"/>
    </row>
    <row r="158" ht="15.75" customHeight="1">
      <c r="A158" s="16"/>
      <c r="B158" s="16"/>
      <c r="C158" s="16"/>
      <c r="D158" s="16"/>
      <c r="E158" s="16"/>
      <c r="F158" s="16"/>
      <c r="G158" s="16"/>
    </row>
    <row r="159" ht="15.75" customHeight="1">
      <c r="A159" s="16"/>
      <c r="B159" s="16"/>
      <c r="C159" s="16"/>
      <c r="D159" s="16"/>
      <c r="E159" s="16"/>
      <c r="F159" s="16"/>
      <c r="G159" s="16"/>
    </row>
    <row r="160" ht="15.75" customHeight="1">
      <c r="A160" s="16"/>
      <c r="B160" s="16"/>
      <c r="C160" s="16"/>
      <c r="D160" s="16"/>
      <c r="E160" s="16"/>
      <c r="F160" s="16"/>
      <c r="G160" s="16"/>
    </row>
    <row r="161" ht="15.75" customHeight="1">
      <c r="A161" s="16"/>
      <c r="B161" s="16"/>
      <c r="C161" s="16"/>
      <c r="D161" s="16"/>
      <c r="E161" s="16"/>
      <c r="F161" s="16"/>
      <c r="G161" s="16"/>
    </row>
    <row r="162" ht="15.75" customHeight="1">
      <c r="A162" s="16"/>
      <c r="B162" s="16"/>
      <c r="C162" s="16"/>
      <c r="D162" s="16"/>
      <c r="E162" s="16"/>
      <c r="F162" s="16"/>
      <c r="G162" s="16"/>
    </row>
    <row r="163" ht="15.75" customHeight="1">
      <c r="A163" s="16"/>
      <c r="B163" s="16"/>
      <c r="C163" s="16"/>
      <c r="D163" s="16"/>
      <c r="E163" s="16"/>
      <c r="F163" s="16"/>
      <c r="G163" s="16"/>
    </row>
    <row r="164" ht="15.75" customHeight="1">
      <c r="A164" s="16"/>
      <c r="B164" s="16"/>
      <c r="C164" s="16"/>
      <c r="D164" s="16"/>
      <c r="E164" s="16"/>
      <c r="F164" s="16"/>
      <c r="G164" s="16"/>
    </row>
    <row r="165" ht="15.75" customHeight="1">
      <c r="A165" s="16"/>
      <c r="B165" s="16"/>
      <c r="C165" s="16"/>
      <c r="D165" s="16"/>
      <c r="E165" s="16"/>
      <c r="F165" s="16"/>
      <c r="G165" s="16"/>
    </row>
    <row r="166" ht="15.75" customHeight="1">
      <c r="A166" s="16"/>
      <c r="B166" s="16"/>
      <c r="C166" s="16"/>
      <c r="D166" s="16"/>
      <c r="E166" s="16"/>
      <c r="F166" s="16"/>
      <c r="G166" s="16"/>
    </row>
    <row r="167" ht="15.75" customHeight="1">
      <c r="A167" s="16"/>
      <c r="B167" s="16"/>
      <c r="C167" s="16"/>
      <c r="D167" s="16"/>
      <c r="E167" s="16"/>
      <c r="F167" s="16"/>
      <c r="G167" s="16"/>
    </row>
    <row r="168" ht="15.75" customHeight="1">
      <c r="A168" s="16"/>
      <c r="B168" s="16"/>
      <c r="C168" s="16"/>
      <c r="D168" s="16"/>
      <c r="E168" s="16"/>
      <c r="F168" s="16"/>
      <c r="G168" s="16"/>
    </row>
    <row r="169" ht="15.75" customHeight="1">
      <c r="A169" s="16"/>
      <c r="B169" s="16"/>
      <c r="C169" s="16"/>
      <c r="D169" s="16"/>
      <c r="E169" s="16"/>
      <c r="F169" s="16"/>
      <c r="G169" s="16"/>
    </row>
    <row r="170" ht="15.75" customHeight="1">
      <c r="A170" s="16"/>
      <c r="B170" s="16"/>
      <c r="C170" s="16"/>
      <c r="D170" s="16"/>
      <c r="E170" s="16"/>
      <c r="F170" s="16"/>
      <c r="G170" s="16"/>
    </row>
    <row r="171" ht="15.75" customHeight="1">
      <c r="A171" s="16"/>
      <c r="B171" s="16"/>
      <c r="C171" s="16"/>
      <c r="D171" s="16"/>
      <c r="E171" s="16"/>
      <c r="F171" s="16"/>
      <c r="G171" s="16"/>
    </row>
    <row r="172" ht="15.75" customHeight="1">
      <c r="A172" s="16"/>
      <c r="B172" s="16"/>
      <c r="C172" s="16"/>
      <c r="D172" s="16"/>
      <c r="E172" s="16"/>
      <c r="F172" s="16"/>
      <c r="G172" s="16"/>
    </row>
    <row r="173" ht="15.75" customHeight="1">
      <c r="A173" s="16"/>
      <c r="B173" s="16"/>
      <c r="C173" s="16"/>
      <c r="D173" s="16"/>
      <c r="E173" s="16"/>
      <c r="F173" s="16"/>
      <c r="G173" s="16"/>
    </row>
    <row r="174" ht="15.75" customHeight="1">
      <c r="A174" s="16"/>
      <c r="B174" s="16"/>
      <c r="C174" s="16"/>
      <c r="D174" s="16"/>
      <c r="E174" s="16"/>
      <c r="F174" s="16"/>
      <c r="G174" s="16"/>
    </row>
    <row r="175" ht="15.75" customHeight="1">
      <c r="A175" s="16"/>
      <c r="B175" s="16"/>
      <c r="C175" s="16"/>
      <c r="D175" s="16"/>
      <c r="E175" s="16"/>
      <c r="F175" s="16"/>
      <c r="G175" s="16"/>
    </row>
    <row r="176" ht="15.75" customHeight="1">
      <c r="A176" s="16"/>
      <c r="B176" s="16"/>
      <c r="C176" s="16"/>
      <c r="D176" s="16"/>
      <c r="E176" s="16"/>
      <c r="F176" s="16"/>
      <c r="G176" s="16"/>
    </row>
    <row r="177" ht="15.75" customHeight="1">
      <c r="A177" s="16"/>
      <c r="B177" s="16"/>
      <c r="C177" s="16"/>
      <c r="D177" s="16"/>
      <c r="E177" s="16"/>
      <c r="F177" s="16"/>
      <c r="G177" s="16"/>
    </row>
    <row r="178" ht="15.75" customHeight="1">
      <c r="A178" s="16"/>
      <c r="B178" s="16"/>
      <c r="C178" s="16"/>
      <c r="D178" s="16"/>
      <c r="E178" s="16"/>
      <c r="F178" s="16"/>
      <c r="G178" s="16"/>
    </row>
    <row r="179" ht="15.75" customHeight="1">
      <c r="A179" s="16"/>
      <c r="B179" s="16"/>
      <c r="C179" s="16"/>
      <c r="D179" s="16"/>
      <c r="E179" s="16"/>
      <c r="F179" s="16"/>
      <c r="G179" s="16"/>
    </row>
    <row r="180" ht="15.75" customHeight="1">
      <c r="A180" s="16"/>
      <c r="B180" s="16"/>
      <c r="C180" s="16"/>
      <c r="D180" s="16"/>
      <c r="E180" s="16"/>
      <c r="F180" s="16"/>
      <c r="G180" s="16"/>
    </row>
    <row r="181" ht="15.75" customHeight="1">
      <c r="A181" s="16"/>
      <c r="B181" s="16"/>
      <c r="C181" s="16"/>
      <c r="D181" s="16"/>
      <c r="E181" s="16"/>
      <c r="F181" s="16"/>
      <c r="G181" s="16"/>
    </row>
    <row r="182" ht="15.75" customHeight="1">
      <c r="A182" s="16"/>
      <c r="B182" s="16"/>
      <c r="C182" s="16"/>
      <c r="D182" s="16"/>
      <c r="E182" s="16"/>
      <c r="F182" s="16"/>
      <c r="G182" s="16"/>
    </row>
    <row r="183" ht="15.75" customHeight="1">
      <c r="A183" s="16"/>
      <c r="B183" s="16"/>
      <c r="C183" s="16"/>
      <c r="D183" s="16"/>
      <c r="E183" s="16"/>
      <c r="F183" s="16"/>
      <c r="G183" s="16"/>
    </row>
    <row r="184" ht="15.75" customHeight="1">
      <c r="A184" s="16"/>
      <c r="B184" s="16"/>
      <c r="C184" s="16"/>
      <c r="D184" s="16"/>
      <c r="E184" s="16"/>
      <c r="F184" s="16"/>
      <c r="G184" s="16"/>
    </row>
    <row r="185" ht="15.75" customHeight="1">
      <c r="A185" s="16"/>
      <c r="B185" s="16"/>
      <c r="C185" s="16"/>
      <c r="D185" s="16"/>
      <c r="E185" s="16"/>
      <c r="F185" s="16"/>
      <c r="G185" s="16"/>
    </row>
    <row r="186" ht="15.75" customHeight="1">
      <c r="A186" s="16"/>
      <c r="B186" s="16"/>
      <c r="C186" s="16"/>
      <c r="D186" s="16"/>
      <c r="E186" s="16"/>
      <c r="F186" s="16"/>
      <c r="G186" s="16"/>
    </row>
    <row r="187" ht="15.75" customHeight="1">
      <c r="A187" s="16"/>
      <c r="B187" s="16"/>
      <c r="C187" s="16"/>
      <c r="D187" s="16"/>
      <c r="E187" s="16"/>
      <c r="F187" s="16"/>
      <c r="G187" s="16"/>
    </row>
    <row r="188" ht="15.75" customHeight="1">
      <c r="A188" s="16"/>
      <c r="B188" s="16"/>
      <c r="C188" s="16"/>
      <c r="D188" s="16"/>
      <c r="E188" s="16"/>
      <c r="F188" s="16"/>
      <c r="G188" s="16"/>
    </row>
    <row r="189" ht="15.75" customHeight="1">
      <c r="A189" s="16"/>
      <c r="B189" s="16"/>
      <c r="C189" s="16"/>
      <c r="D189" s="16"/>
      <c r="E189" s="16"/>
      <c r="F189" s="16"/>
      <c r="G189" s="16"/>
    </row>
    <row r="190" ht="15.75" customHeight="1">
      <c r="A190" s="16"/>
      <c r="B190" s="16"/>
      <c r="C190" s="16"/>
      <c r="D190" s="16"/>
      <c r="E190" s="16"/>
      <c r="F190" s="16"/>
      <c r="G190" s="16"/>
    </row>
    <row r="191" ht="15.75" customHeight="1">
      <c r="A191" s="16"/>
      <c r="B191" s="16"/>
      <c r="C191" s="16"/>
      <c r="D191" s="16"/>
      <c r="E191" s="16"/>
      <c r="F191" s="16"/>
      <c r="G191" s="16"/>
    </row>
    <row r="192" ht="15.75" customHeight="1">
      <c r="A192" s="16"/>
      <c r="B192" s="16"/>
      <c r="C192" s="16"/>
      <c r="D192" s="16"/>
      <c r="E192" s="16"/>
      <c r="F192" s="16"/>
      <c r="G192" s="16"/>
    </row>
    <row r="193" ht="15.75" customHeight="1">
      <c r="A193" s="16"/>
      <c r="B193" s="16"/>
      <c r="C193" s="16"/>
      <c r="D193" s="16"/>
      <c r="E193" s="16"/>
      <c r="F193" s="16"/>
      <c r="G193" s="16"/>
    </row>
    <row r="194" ht="15.75" customHeight="1">
      <c r="A194" s="16"/>
      <c r="B194" s="16"/>
      <c r="C194" s="16"/>
      <c r="D194" s="16"/>
      <c r="E194" s="16"/>
      <c r="F194" s="16"/>
      <c r="G194" s="16"/>
    </row>
    <row r="195" ht="15.75" customHeight="1">
      <c r="A195" s="16"/>
      <c r="B195" s="16"/>
      <c r="C195" s="16"/>
      <c r="D195" s="16"/>
      <c r="E195" s="16"/>
      <c r="F195" s="16"/>
      <c r="G195" s="16"/>
    </row>
    <row r="196" ht="15.75" customHeight="1">
      <c r="A196" s="16"/>
      <c r="B196" s="16"/>
      <c r="C196" s="16"/>
      <c r="D196" s="16"/>
      <c r="E196" s="16"/>
      <c r="F196" s="16"/>
      <c r="G196" s="16"/>
    </row>
    <row r="197" ht="15.75" customHeight="1">
      <c r="A197" s="16"/>
      <c r="B197" s="16"/>
      <c r="C197" s="16"/>
      <c r="D197" s="16"/>
      <c r="E197" s="16"/>
      <c r="F197" s="16"/>
      <c r="G197" s="16"/>
    </row>
    <row r="198" ht="15.75" customHeight="1">
      <c r="A198" s="16"/>
      <c r="B198" s="16"/>
      <c r="C198" s="16"/>
      <c r="D198" s="16"/>
      <c r="E198" s="16"/>
      <c r="F198" s="16"/>
      <c r="G198" s="16"/>
    </row>
    <row r="199" ht="15.75" customHeight="1">
      <c r="A199" s="16"/>
      <c r="B199" s="16"/>
      <c r="C199" s="16"/>
      <c r="D199" s="16"/>
      <c r="E199" s="16"/>
      <c r="F199" s="16"/>
      <c r="G199" s="16"/>
    </row>
    <row r="200" ht="15.75" customHeight="1">
      <c r="A200" s="16"/>
      <c r="B200" s="16"/>
      <c r="C200" s="16"/>
      <c r="D200" s="16"/>
      <c r="E200" s="16"/>
      <c r="F200" s="16"/>
      <c r="G200" s="16"/>
    </row>
    <row r="201" ht="15.75" customHeight="1">
      <c r="A201" s="16"/>
      <c r="B201" s="16"/>
      <c r="C201" s="16"/>
      <c r="D201" s="16"/>
      <c r="E201" s="16"/>
      <c r="F201" s="16"/>
      <c r="G201" s="16"/>
    </row>
    <row r="202" ht="15.75" customHeight="1">
      <c r="A202" s="16"/>
      <c r="B202" s="16"/>
      <c r="C202" s="16"/>
      <c r="D202" s="16"/>
      <c r="E202" s="16"/>
      <c r="F202" s="16"/>
      <c r="G202" s="16"/>
    </row>
    <row r="203" ht="15.75" customHeight="1">
      <c r="A203" s="16"/>
      <c r="B203" s="16"/>
      <c r="C203" s="16"/>
      <c r="D203" s="16"/>
      <c r="E203" s="16"/>
      <c r="F203" s="16"/>
      <c r="G203" s="16"/>
    </row>
    <row r="204" ht="15.75" customHeight="1">
      <c r="A204" s="16"/>
      <c r="B204" s="16"/>
      <c r="C204" s="16"/>
      <c r="D204" s="16"/>
      <c r="E204" s="16"/>
      <c r="F204" s="16"/>
      <c r="G204" s="16"/>
    </row>
    <row r="205" ht="15.75" customHeight="1">
      <c r="A205" s="16"/>
      <c r="B205" s="16"/>
      <c r="C205" s="16"/>
      <c r="D205" s="16"/>
      <c r="E205" s="16"/>
      <c r="F205" s="16"/>
      <c r="G205" s="16"/>
    </row>
    <row r="206" ht="15.75" customHeight="1">
      <c r="A206" s="16"/>
      <c r="B206" s="16"/>
      <c r="C206" s="16"/>
      <c r="D206" s="16"/>
      <c r="E206" s="16"/>
      <c r="F206" s="16"/>
      <c r="G206" s="16"/>
    </row>
    <row r="207" ht="15.75" customHeight="1">
      <c r="A207" s="16"/>
      <c r="B207" s="16"/>
      <c r="C207" s="16"/>
      <c r="D207" s="16"/>
      <c r="E207" s="16"/>
      <c r="F207" s="16"/>
      <c r="G207" s="16"/>
    </row>
    <row r="208" ht="15.75" customHeight="1">
      <c r="A208" s="16"/>
      <c r="B208" s="16"/>
      <c r="C208" s="16"/>
      <c r="D208" s="16"/>
      <c r="E208" s="16"/>
      <c r="F208" s="16"/>
      <c r="G208" s="16"/>
    </row>
    <row r="209" ht="15.75" customHeight="1">
      <c r="A209" s="16"/>
      <c r="B209" s="16"/>
      <c r="C209" s="16"/>
      <c r="D209" s="16"/>
      <c r="E209" s="16"/>
      <c r="F209" s="16"/>
      <c r="G209" s="16"/>
    </row>
    <row r="210" ht="15.75" customHeight="1">
      <c r="A210" s="16"/>
      <c r="B210" s="16"/>
      <c r="C210" s="16"/>
      <c r="D210" s="16"/>
      <c r="E210" s="16"/>
      <c r="F210" s="16"/>
      <c r="G210" s="16"/>
    </row>
    <row r="211" ht="15.75" customHeight="1">
      <c r="A211" s="16"/>
      <c r="B211" s="16"/>
      <c r="C211" s="16"/>
      <c r="D211" s="16"/>
      <c r="E211" s="16"/>
      <c r="F211" s="16"/>
      <c r="G211" s="16"/>
    </row>
    <row r="212" ht="15.75" customHeight="1">
      <c r="A212" s="16"/>
      <c r="B212" s="16"/>
      <c r="C212" s="16"/>
      <c r="D212" s="16"/>
      <c r="E212" s="16"/>
      <c r="F212" s="16"/>
      <c r="G212" s="16"/>
    </row>
    <row r="213" ht="15.75" customHeight="1">
      <c r="A213" s="16"/>
      <c r="B213" s="16"/>
      <c r="C213" s="16"/>
      <c r="D213" s="16"/>
      <c r="E213" s="16"/>
      <c r="F213" s="16"/>
      <c r="G213" s="16"/>
    </row>
    <row r="214" ht="15.75" customHeight="1">
      <c r="A214" s="16"/>
      <c r="B214" s="16"/>
      <c r="C214" s="16"/>
      <c r="D214" s="16"/>
      <c r="E214" s="16"/>
      <c r="F214" s="16"/>
      <c r="G214" s="16"/>
    </row>
    <row r="215" ht="15.75" customHeight="1">
      <c r="A215" s="16"/>
      <c r="B215" s="16"/>
      <c r="C215" s="16"/>
      <c r="D215" s="16"/>
      <c r="E215" s="16"/>
      <c r="F215" s="16"/>
      <c r="G215" s="16"/>
    </row>
    <row r="216" ht="15.75" customHeight="1">
      <c r="A216" s="16"/>
      <c r="B216" s="16"/>
      <c r="C216" s="16"/>
      <c r="D216" s="16"/>
      <c r="E216" s="16"/>
      <c r="F216" s="16"/>
      <c r="G216" s="16"/>
    </row>
    <row r="217" ht="15.75" customHeight="1">
      <c r="A217" s="16"/>
      <c r="B217" s="16"/>
      <c r="C217" s="16"/>
      <c r="D217" s="16"/>
      <c r="E217" s="16"/>
      <c r="F217" s="16"/>
      <c r="G217" s="16"/>
    </row>
    <row r="218" ht="15.75" customHeight="1">
      <c r="A218" s="16"/>
      <c r="B218" s="16"/>
      <c r="C218" s="16"/>
      <c r="D218" s="16"/>
      <c r="E218" s="16"/>
      <c r="F218" s="16"/>
      <c r="G218" s="16"/>
    </row>
    <row r="219" ht="15.75" customHeight="1">
      <c r="A219" s="16"/>
      <c r="B219" s="16"/>
      <c r="C219" s="16"/>
      <c r="D219" s="16"/>
      <c r="E219" s="16"/>
      <c r="F219" s="16"/>
      <c r="G219" s="16"/>
    </row>
    <row r="220" ht="15.75" customHeight="1">
      <c r="A220" s="16"/>
      <c r="B220" s="16"/>
      <c r="C220" s="16"/>
      <c r="D220" s="16"/>
      <c r="E220" s="16"/>
      <c r="F220" s="16"/>
      <c r="G220" s="16"/>
    </row>
    <row r="221" ht="15.75" customHeight="1">
      <c r="A221" s="16"/>
      <c r="B221" s="16"/>
      <c r="C221" s="16"/>
      <c r="D221" s="16"/>
      <c r="E221" s="16"/>
      <c r="F221" s="16"/>
      <c r="G221" s="16"/>
    </row>
    <row r="222" ht="15.75" customHeight="1">
      <c r="A222" s="16"/>
      <c r="B222" s="16"/>
      <c r="C222" s="16"/>
      <c r="D222" s="16"/>
      <c r="E222" s="16"/>
      <c r="F222" s="16"/>
      <c r="G222" s="16"/>
    </row>
    <row r="223" ht="15.75" customHeight="1">
      <c r="A223" s="16"/>
      <c r="B223" s="16"/>
      <c r="C223" s="16"/>
      <c r="D223" s="16"/>
      <c r="E223" s="16"/>
      <c r="F223" s="16"/>
      <c r="G223" s="16"/>
    </row>
    <row r="224" ht="15.75" customHeight="1">
      <c r="A224" s="16"/>
      <c r="B224" s="16"/>
      <c r="C224" s="16"/>
      <c r="D224" s="16"/>
      <c r="E224" s="16"/>
      <c r="F224" s="16"/>
      <c r="G224" s="16"/>
    </row>
    <row r="225" ht="15.75" customHeight="1">
      <c r="A225" s="16"/>
      <c r="B225" s="16"/>
      <c r="C225" s="16"/>
      <c r="D225" s="16"/>
      <c r="E225" s="16"/>
      <c r="F225" s="16"/>
      <c r="G225" s="16"/>
    </row>
    <row r="226" ht="15.75" customHeight="1">
      <c r="A226" s="16"/>
      <c r="B226" s="16"/>
      <c r="C226" s="16"/>
      <c r="D226" s="16"/>
      <c r="E226" s="16"/>
      <c r="F226" s="16"/>
      <c r="G226" s="16"/>
    </row>
    <row r="227" ht="15.75" customHeight="1">
      <c r="A227" s="16"/>
      <c r="B227" s="16"/>
      <c r="C227" s="16"/>
      <c r="D227" s="16"/>
      <c r="E227" s="16"/>
      <c r="F227" s="16"/>
      <c r="G227" s="16"/>
    </row>
    <row r="228" ht="15.75" customHeight="1">
      <c r="A228" s="16"/>
      <c r="B228" s="16"/>
      <c r="C228" s="16"/>
      <c r="D228" s="16"/>
      <c r="E228" s="16"/>
      <c r="F228" s="16"/>
      <c r="G228" s="16"/>
    </row>
    <row r="229" ht="15.75" customHeight="1">
      <c r="A229" s="16"/>
      <c r="B229" s="16"/>
      <c r="C229" s="16"/>
      <c r="D229" s="16"/>
      <c r="E229" s="16"/>
      <c r="F229" s="16"/>
      <c r="G229" s="16"/>
    </row>
    <row r="230" ht="15.75" customHeight="1">
      <c r="A230" s="16"/>
      <c r="B230" s="16"/>
      <c r="C230" s="16"/>
      <c r="D230" s="16"/>
      <c r="E230" s="16"/>
      <c r="F230" s="16"/>
      <c r="G230" s="16"/>
    </row>
    <row r="231" ht="15.75" customHeight="1">
      <c r="A231" s="16"/>
      <c r="B231" s="16"/>
      <c r="C231" s="16"/>
      <c r="D231" s="16"/>
      <c r="E231" s="16"/>
      <c r="F231" s="16"/>
      <c r="G231" s="16"/>
    </row>
    <row r="232" ht="15.75" customHeight="1">
      <c r="A232" s="16"/>
      <c r="B232" s="16"/>
      <c r="C232" s="16"/>
      <c r="D232" s="16"/>
      <c r="E232" s="16"/>
      <c r="F232" s="16"/>
      <c r="G232" s="16"/>
    </row>
    <row r="233" ht="15.75" customHeight="1">
      <c r="A233" s="16"/>
      <c r="B233" s="16"/>
      <c r="C233" s="16"/>
      <c r="D233" s="16"/>
      <c r="E233" s="16"/>
      <c r="F233" s="16"/>
      <c r="G233" s="16"/>
    </row>
    <row r="234" ht="15.75" customHeight="1">
      <c r="A234" s="16"/>
      <c r="B234" s="16"/>
      <c r="C234" s="16"/>
      <c r="D234" s="16"/>
      <c r="E234" s="16"/>
      <c r="F234" s="16"/>
      <c r="G234" s="16"/>
    </row>
    <row r="235" ht="15.75" customHeight="1">
      <c r="A235" s="16"/>
      <c r="B235" s="16"/>
      <c r="C235" s="16"/>
      <c r="D235" s="16"/>
      <c r="E235" s="16"/>
      <c r="F235" s="16"/>
      <c r="G235" s="16"/>
    </row>
    <row r="236" ht="15.75" customHeight="1">
      <c r="A236" s="16"/>
      <c r="B236" s="16"/>
      <c r="C236" s="16"/>
      <c r="D236" s="16"/>
      <c r="E236" s="16"/>
      <c r="F236" s="16"/>
      <c r="G236" s="16"/>
    </row>
    <row r="237" ht="15.75" customHeight="1">
      <c r="A237" s="16"/>
      <c r="B237" s="16"/>
      <c r="C237" s="16"/>
      <c r="D237" s="16"/>
      <c r="E237" s="16"/>
      <c r="F237" s="16"/>
      <c r="G237" s="16"/>
    </row>
    <row r="238" ht="15.75" customHeight="1">
      <c r="A238" s="16"/>
      <c r="B238" s="16"/>
      <c r="C238" s="16"/>
      <c r="D238" s="16"/>
      <c r="E238" s="16"/>
      <c r="F238" s="16"/>
      <c r="G238" s="16"/>
    </row>
    <row r="239" ht="15.75" customHeight="1">
      <c r="A239" s="16"/>
      <c r="B239" s="16"/>
      <c r="C239" s="16"/>
      <c r="D239" s="16"/>
      <c r="E239" s="16"/>
      <c r="F239" s="16"/>
      <c r="G239" s="16"/>
    </row>
    <row r="240" ht="15.75" customHeight="1">
      <c r="A240" s="16"/>
      <c r="B240" s="16"/>
      <c r="C240" s="16"/>
      <c r="D240" s="16"/>
      <c r="E240" s="16"/>
      <c r="F240" s="16"/>
      <c r="G240" s="16"/>
    </row>
    <row r="241" ht="15.75" customHeight="1">
      <c r="A241" s="16"/>
      <c r="B241" s="16"/>
      <c r="C241" s="16"/>
      <c r="D241" s="16"/>
      <c r="E241" s="16"/>
      <c r="F241" s="16"/>
      <c r="G241" s="16"/>
    </row>
    <row r="242" ht="15.75" customHeight="1">
      <c r="A242" s="16"/>
      <c r="B242" s="16"/>
      <c r="C242" s="16"/>
      <c r="D242" s="16"/>
      <c r="E242" s="16"/>
      <c r="F242" s="16"/>
      <c r="G242" s="16"/>
    </row>
    <row r="243" ht="15.75" customHeight="1">
      <c r="A243" s="16"/>
      <c r="B243" s="16"/>
      <c r="C243" s="16"/>
      <c r="D243" s="16"/>
      <c r="E243" s="16"/>
      <c r="F243" s="16"/>
      <c r="G243" s="16"/>
    </row>
    <row r="244" ht="15.75" customHeight="1">
      <c r="A244" s="16"/>
      <c r="B244" s="16"/>
      <c r="C244" s="16"/>
      <c r="D244" s="16"/>
      <c r="E244" s="16"/>
      <c r="F244" s="16"/>
      <c r="G244" s="16"/>
    </row>
    <row r="245" ht="15.75" customHeight="1">
      <c r="A245" s="16"/>
      <c r="B245" s="16"/>
      <c r="C245" s="16"/>
      <c r="D245" s="16"/>
      <c r="E245" s="16"/>
      <c r="F245" s="16"/>
      <c r="G245" s="16"/>
    </row>
    <row r="246" ht="15.75" customHeight="1">
      <c r="A246" s="16"/>
      <c r="B246" s="16"/>
      <c r="C246" s="16"/>
      <c r="D246" s="16"/>
      <c r="E246" s="16"/>
      <c r="F246" s="16"/>
      <c r="G246" s="16"/>
    </row>
    <row r="247" ht="15.75" customHeight="1">
      <c r="A247" s="16"/>
      <c r="B247" s="16"/>
      <c r="C247" s="16"/>
      <c r="D247" s="16"/>
      <c r="E247" s="16"/>
      <c r="F247" s="16"/>
      <c r="G247" s="16"/>
    </row>
    <row r="248" ht="15.75" customHeight="1">
      <c r="A248" s="16"/>
      <c r="B248" s="16"/>
      <c r="C248" s="16"/>
      <c r="D248" s="16"/>
      <c r="E248" s="16"/>
      <c r="F248" s="16"/>
      <c r="G248" s="16"/>
    </row>
    <row r="249" ht="15.75" customHeight="1">
      <c r="A249" s="16"/>
      <c r="B249" s="16"/>
      <c r="C249" s="16"/>
      <c r="D249" s="16"/>
      <c r="E249" s="16"/>
      <c r="F249" s="16"/>
      <c r="G249" s="16"/>
    </row>
    <row r="250" ht="15.75" customHeight="1">
      <c r="A250" s="16"/>
      <c r="B250" s="16"/>
      <c r="C250" s="16"/>
      <c r="D250" s="16"/>
      <c r="E250" s="16"/>
      <c r="F250" s="16"/>
      <c r="G250" s="16"/>
    </row>
    <row r="251" ht="15.75" customHeight="1">
      <c r="A251" s="16"/>
      <c r="B251" s="16"/>
      <c r="C251" s="16"/>
      <c r="D251" s="16"/>
      <c r="E251" s="16"/>
      <c r="F251" s="16"/>
      <c r="G251" s="16"/>
    </row>
    <row r="252" ht="15.75" customHeight="1">
      <c r="A252" s="16"/>
      <c r="B252" s="16"/>
      <c r="C252" s="16"/>
      <c r="D252" s="16"/>
      <c r="E252" s="16"/>
      <c r="F252" s="16"/>
      <c r="G252" s="16"/>
    </row>
    <row r="253" ht="15.75" customHeight="1">
      <c r="A253" s="16"/>
      <c r="B253" s="16"/>
      <c r="C253" s="16"/>
      <c r="D253" s="16"/>
      <c r="E253" s="16"/>
      <c r="F253" s="16"/>
      <c r="G253" s="16"/>
    </row>
    <row r="254" ht="15.75" customHeight="1">
      <c r="A254" s="16"/>
      <c r="B254" s="16"/>
      <c r="C254" s="16"/>
      <c r="D254" s="16"/>
      <c r="E254" s="16"/>
      <c r="F254" s="16"/>
      <c r="G254" s="16"/>
    </row>
    <row r="255" ht="15.75" customHeight="1">
      <c r="A255" s="16"/>
      <c r="B255" s="16"/>
      <c r="C255" s="16"/>
      <c r="D255" s="16"/>
      <c r="E255" s="16"/>
      <c r="F255" s="16"/>
      <c r="G255" s="16"/>
    </row>
    <row r="256" ht="15.75" customHeight="1">
      <c r="A256" s="16"/>
      <c r="B256" s="16"/>
      <c r="C256" s="16"/>
      <c r="D256" s="16"/>
      <c r="E256" s="16"/>
      <c r="F256" s="16"/>
      <c r="G256" s="16"/>
    </row>
    <row r="257" ht="15.75" customHeight="1">
      <c r="A257" s="16"/>
      <c r="B257" s="16"/>
      <c r="C257" s="16"/>
      <c r="D257" s="16"/>
      <c r="E257" s="16"/>
      <c r="F257" s="16"/>
      <c r="G257" s="16"/>
    </row>
    <row r="258" ht="15.75" customHeight="1">
      <c r="A258" s="16"/>
      <c r="B258" s="16"/>
      <c r="C258" s="16"/>
      <c r="D258" s="16"/>
      <c r="E258" s="16"/>
      <c r="F258" s="16"/>
      <c r="G258" s="16"/>
    </row>
    <row r="259" ht="15.75" customHeight="1">
      <c r="A259" s="16"/>
      <c r="B259" s="16"/>
      <c r="C259" s="16"/>
      <c r="D259" s="16"/>
      <c r="E259" s="16"/>
      <c r="F259" s="16"/>
      <c r="G259" s="16"/>
    </row>
    <row r="260" ht="15.75" customHeight="1">
      <c r="A260" s="16"/>
      <c r="B260" s="16"/>
      <c r="C260" s="16"/>
      <c r="D260" s="16"/>
      <c r="E260" s="16"/>
      <c r="F260" s="16"/>
      <c r="G260" s="16"/>
    </row>
    <row r="261" ht="15.75" customHeight="1">
      <c r="A261" s="16"/>
      <c r="B261" s="16"/>
      <c r="C261" s="16"/>
      <c r="D261" s="16"/>
      <c r="E261" s="16"/>
      <c r="F261" s="16"/>
      <c r="G261" s="16"/>
    </row>
    <row r="262" ht="15.75" customHeight="1">
      <c r="A262" s="16"/>
      <c r="B262" s="16"/>
      <c r="C262" s="16"/>
      <c r="D262" s="16"/>
      <c r="E262" s="16"/>
      <c r="F262" s="16"/>
      <c r="G262" s="16"/>
    </row>
    <row r="263" ht="15.75" customHeight="1">
      <c r="A263" s="16"/>
      <c r="B263" s="16"/>
      <c r="C263" s="16"/>
      <c r="D263" s="16"/>
      <c r="E263" s="16"/>
      <c r="F263" s="16"/>
      <c r="G263" s="16"/>
    </row>
    <row r="264" ht="15.75" customHeight="1">
      <c r="A264" s="16"/>
      <c r="B264" s="16"/>
      <c r="C264" s="16"/>
      <c r="D264" s="16"/>
      <c r="E264" s="16"/>
      <c r="F264" s="16"/>
      <c r="G264" s="16"/>
    </row>
    <row r="265" ht="15.75" customHeight="1">
      <c r="A265" s="16"/>
      <c r="B265" s="16"/>
      <c r="C265" s="16"/>
      <c r="D265" s="16"/>
      <c r="E265" s="16"/>
      <c r="F265" s="16"/>
      <c r="G265" s="16"/>
    </row>
    <row r="266" ht="15.75" customHeight="1">
      <c r="A266" s="16"/>
      <c r="B266" s="16"/>
      <c r="C266" s="16"/>
      <c r="D266" s="16"/>
      <c r="E266" s="16"/>
      <c r="F266" s="16"/>
      <c r="G266" s="16"/>
    </row>
    <row r="267" ht="15.75" customHeight="1">
      <c r="A267" s="16"/>
      <c r="B267" s="16"/>
      <c r="C267" s="16"/>
      <c r="D267" s="16"/>
      <c r="E267" s="16"/>
      <c r="F267" s="16"/>
      <c r="G267" s="16"/>
    </row>
    <row r="268" ht="15.75" customHeight="1">
      <c r="A268" s="16"/>
      <c r="B268" s="16"/>
      <c r="C268" s="16"/>
      <c r="D268" s="16"/>
      <c r="E268" s="16"/>
      <c r="F268" s="16"/>
      <c r="G268" s="16"/>
    </row>
    <row r="269" ht="15.75" customHeight="1">
      <c r="A269" s="16"/>
      <c r="B269" s="16"/>
      <c r="C269" s="16"/>
      <c r="D269" s="16"/>
      <c r="E269" s="16"/>
      <c r="F269" s="16"/>
      <c r="G269" s="16"/>
    </row>
    <row r="270" ht="15.75" customHeight="1">
      <c r="A270" s="16"/>
      <c r="B270" s="16"/>
      <c r="C270" s="16"/>
      <c r="D270" s="16"/>
      <c r="E270" s="16"/>
      <c r="F270" s="16"/>
      <c r="G270" s="16"/>
    </row>
    <row r="271" ht="15.75" customHeight="1">
      <c r="A271" s="16"/>
      <c r="B271" s="16"/>
      <c r="C271" s="16"/>
      <c r="D271" s="16"/>
      <c r="E271" s="16"/>
      <c r="F271" s="16"/>
      <c r="G271" s="16"/>
    </row>
    <row r="272" ht="15.75" customHeight="1">
      <c r="A272" s="16"/>
      <c r="B272" s="16"/>
      <c r="C272" s="16"/>
      <c r="D272" s="16"/>
      <c r="E272" s="16"/>
      <c r="F272" s="16"/>
      <c r="G272" s="16"/>
    </row>
    <row r="273" ht="15.75" customHeight="1">
      <c r="A273" s="16"/>
      <c r="B273" s="16"/>
      <c r="C273" s="16"/>
      <c r="D273" s="16"/>
      <c r="E273" s="16"/>
      <c r="F273" s="16"/>
      <c r="G273" s="16"/>
    </row>
    <row r="274" ht="15.75" customHeight="1">
      <c r="A274" s="16"/>
      <c r="B274" s="16"/>
      <c r="C274" s="16"/>
      <c r="D274" s="16"/>
      <c r="E274" s="16"/>
      <c r="F274" s="16"/>
      <c r="G274" s="16"/>
    </row>
    <row r="275" ht="15.75" customHeight="1">
      <c r="A275" s="16"/>
      <c r="B275" s="16"/>
      <c r="C275" s="16"/>
      <c r="D275" s="16"/>
      <c r="E275" s="16"/>
      <c r="F275" s="16"/>
      <c r="G275" s="16"/>
    </row>
    <row r="276" ht="15.75" customHeight="1">
      <c r="A276" s="16"/>
      <c r="B276" s="16"/>
      <c r="C276" s="16"/>
      <c r="D276" s="16"/>
      <c r="E276" s="16"/>
      <c r="F276" s="16"/>
      <c r="G276" s="16"/>
    </row>
    <row r="277" ht="15.75" customHeight="1">
      <c r="A277" s="16"/>
      <c r="B277" s="16"/>
      <c r="C277" s="16"/>
      <c r="D277" s="16"/>
      <c r="E277" s="16"/>
      <c r="F277" s="16"/>
      <c r="G277" s="16"/>
    </row>
    <row r="278" ht="15.75" customHeight="1">
      <c r="A278" s="16"/>
      <c r="B278" s="16"/>
      <c r="C278" s="16"/>
      <c r="D278" s="16"/>
      <c r="E278" s="16"/>
      <c r="F278" s="16"/>
      <c r="G278" s="16"/>
    </row>
    <row r="279" ht="15.75" customHeight="1">
      <c r="A279" s="16"/>
      <c r="B279" s="16"/>
      <c r="C279" s="16"/>
      <c r="D279" s="16"/>
      <c r="E279" s="16"/>
      <c r="F279" s="16"/>
      <c r="G279" s="16"/>
    </row>
    <row r="280" ht="15.75" customHeight="1">
      <c r="A280" s="16"/>
      <c r="B280" s="16"/>
      <c r="C280" s="16"/>
      <c r="D280" s="16"/>
      <c r="E280" s="16"/>
      <c r="F280" s="16"/>
      <c r="G280" s="16"/>
    </row>
    <row r="281" ht="15.75" customHeight="1">
      <c r="A281" s="16"/>
      <c r="B281" s="16"/>
      <c r="C281" s="16"/>
      <c r="D281" s="16"/>
      <c r="E281" s="16"/>
      <c r="F281" s="16"/>
      <c r="G281" s="16"/>
    </row>
    <row r="282" ht="15.75" customHeight="1">
      <c r="A282" s="16"/>
      <c r="B282" s="16"/>
      <c r="C282" s="16"/>
      <c r="D282" s="16"/>
      <c r="E282" s="16"/>
      <c r="F282" s="16"/>
      <c r="G282" s="16"/>
    </row>
    <row r="283" ht="15.75" customHeight="1">
      <c r="A283" s="16"/>
      <c r="B283" s="16"/>
      <c r="C283" s="16"/>
      <c r="D283" s="16"/>
      <c r="E283" s="16"/>
      <c r="F283" s="16"/>
      <c r="G283" s="16"/>
    </row>
    <row r="284" ht="15.75" customHeight="1">
      <c r="A284" s="16"/>
      <c r="B284" s="16"/>
      <c r="C284" s="16"/>
      <c r="D284" s="16"/>
      <c r="E284" s="16"/>
      <c r="F284" s="16"/>
      <c r="G284" s="16"/>
    </row>
    <row r="285" ht="15.75" customHeight="1">
      <c r="A285" s="16"/>
      <c r="B285" s="16"/>
      <c r="C285" s="16"/>
      <c r="D285" s="16"/>
      <c r="E285" s="16"/>
      <c r="F285" s="16"/>
      <c r="G285" s="16"/>
    </row>
    <row r="286" ht="15.75" customHeight="1">
      <c r="A286" s="16"/>
      <c r="B286" s="16"/>
      <c r="C286" s="16"/>
      <c r="D286" s="16"/>
      <c r="E286" s="16"/>
      <c r="F286" s="16"/>
      <c r="G286" s="16"/>
    </row>
    <row r="287" ht="15.75" customHeight="1">
      <c r="A287" s="16"/>
      <c r="B287" s="16"/>
      <c r="C287" s="16"/>
      <c r="D287" s="16"/>
      <c r="E287" s="16"/>
      <c r="F287" s="16"/>
      <c r="G287" s="16"/>
    </row>
    <row r="288" ht="15.75" customHeight="1">
      <c r="A288" s="16"/>
      <c r="B288" s="16"/>
      <c r="C288" s="16"/>
      <c r="D288" s="16"/>
      <c r="E288" s="16"/>
      <c r="F288" s="16"/>
      <c r="G288" s="16"/>
    </row>
    <row r="289" ht="15.75" customHeight="1">
      <c r="A289" s="16"/>
      <c r="B289" s="16"/>
      <c r="C289" s="16"/>
      <c r="D289" s="16"/>
      <c r="E289" s="16"/>
      <c r="F289" s="16"/>
      <c r="G289" s="16"/>
    </row>
    <row r="290" ht="15.75" customHeight="1">
      <c r="A290" s="16"/>
      <c r="B290" s="16"/>
      <c r="C290" s="16"/>
      <c r="D290" s="16"/>
      <c r="E290" s="16"/>
      <c r="F290" s="16"/>
      <c r="G290" s="16"/>
    </row>
    <row r="291" ht="15.75" customHeight="1">
      <c r="A291" s="16"/>
      <c r="B291" s="16"/>
      <c r="C291" s="16"/>
      <c r="D291" s="16"/>
      <c r="E291" s="16"/>
      <c r="F291" s="16"/>
      <c r="G291" s="16"/>
    </row>
    <row r="292" ht="15.75" customHeight="1">
      <c r="A292" s="16"/>
      <c r="B292" s="16"/>
      <c r="C292" s="16"/>
      <c r="D292" s="16"/>
      <c r="E292" s="16"/>
      <c r="F292" s="16"/>
      <c r="G292" s="16"/>
    </row>
    <row r="293" ht="15.75" customHeight="1">
      <c r="A293" s="16"/>
      <c r="B293" s="16"/>
      <c r="C293" s="16"/>
      <c r="D293" s="16"/>
      <c r="E293" s="16"/>
      <c r="F293" s="16"/>
      <c r="G293" s="16"/>
    </row>
    <row r="294" ht="15.75" customHeight="1">
      <c r="A294" s="16"/>
      <c r="B294" s="16"/>
      <c r="C294" s="16"/>
      <c r="D294" s="16"/>
      <c r="E294" s="16"/>
      <c r="F294" s="16"/>
      <c r="G294" s="16"/>
    </row>
    <row r="295" ht="15.75" customHeight="1">
      <c r="A295" s="16"/>
      <c r="B295" s="16"/>
      <c r="C295" s="16"/>
      <c r="D295" s="16"/>
      <c r="E295" s="16"/>
      <c r="F295" s="16"/>
      <c r="G295" s="16"/>
    </row>
    <row r="296" ht="15.75" customHeight="1">
      <c r="A296" s="16"/>
      <c r="B296" s="16"/>
      <c r="C296" s="16"/>
      <c r="D296" s="16"/>
      <c r="E296" s="16"/>
      <c r="F296" s="16"/>
      <c r="G296" s="16"/>
    </row>
    <row r="297" ht="15.75" customHeight="1">
      <c r="A297" s="16"/>
      <c r="B297" s="16"/>
      <c r="C297" s="16"/>
      <c r="D297" s="16"/>
      <c r="E297" s="16"/>
      <c r="F297" s="16"/>
      <c r="G297" s="16"/>
    </row>
    <row r="298" ht="15.75" customHeight="1">
      <c r="A298" s="16"/>
      <c r="B298" s="16"/>
      <c r="C298" s="16"/>
      <c r="D298" s="16"/>
      <c r="E298" s="16"/>
      <c r="F298" s="16"/>
      <c r="G298" s="16"/>
    </row>
    <row r="299" ht="15.75" customHeight="1">
      <c r="A299" s="16"/>
      <c r="B299" s="16"/>
      <c r="C299" s="16"/>
      <c r="D299" s="16"/>
      <c r="E299" s="16"/>
      <c r="F299" s="16"/>
      <c r="G299" s="16"/>
    </row>
    <row r="300" ht="15.75" customHeight="1">
      <c r="A300" s="16"/>
      <c r="B300" s="16"/>
      <c r="C300" s="16"/>
      <c r="D300" s="16"/>
      <c r="E300" s="16"/>
      <c r="F300" s="16"/>
      <c r="G300" s="16"/>
    </row>
    <row r="301" ht="15.75" customHeight="1">
      <c r="A301" s="16"/>
      <c r="B301" s="16"/>
      <c r="C301" s="16"/>
      <c r="D301" s="16"/>
      <c r="E301" s="16"/>
      <c r="F301" s="16"/>
      <c r="G301" s="16"/>
    </row>
    <row r="302" ht="15.75" customHeight="1">
      <c r="A302" s="16"/>
      <c r="B302" s="16"/>
      <c r="C302" s="16"/>
      <c r="D302" s="16"/>
      <c r="E302" s="16"/>
      <c r="F302" s="16"/>
      <c r="G302" s="16"/>
    </row>
    <row r="303" ht="15.75" customHeight="1">
      <c r="A303" s="16"/>
      <c r="B303" s="16"/>
      <c r="C303" s="16"/>
      <c r="D303" s="16"/>
      <c r="E303" s="16"/>
      <c r="F303" s="16"/>
      <c r="G303" s="16"/>
    </row>
    <row r="304" ht="15.75" customHeight="1">
      <c r="A304" s="16"/>
      <c r="B304" s="16"/>
      <c r="C304" s="16"/>
      <c r="D304" s="16"/>
      <c r="E304" s="16"/>
      <c r="F304" s="16"/>
      <c r="G304" s="16"/>
    </row>
    <row r="305" ht="15.75" customHeight="1">
      <c r="A305" s="16"/>
      <c r="B305" s="16"/>
      <c r="C305" s="16"/>
      <c r="D305" s="16"/>
      <c r="E305" s="16"/>
      <c r="F305" s="16"/>
      <c r="G305" s="16"/>
    </row>
    <row r="306" ht="15.75" customHeight="1">
      <c r="A306" s="16"/>
      <c r="B306" s="16"/>
      <c r="C306" s="16"/>
      <c r="D306" s="16"/>
      <c r="E306" s="16"/>
      <c r="F306" s="16"/>
      <c r="G306" s="16"/>
    </row>
    <row r="307" ht="15.75" customHeight="1">
      <c r="A307" s="16"/>
      <c r="B307" s="16"/>
      <c r="C307" s="16"/>
      <c r="D307" s="16"/>
      <c r="E307" s="16"/>
      <c r="F307" s="16"/>
      <c r="G307" s="16"/>
    </row>
    <row r="308" ht="15.75" customHeight="1">
      <c r="A308" s="16"/>
      <c r="B308" s="16"/>
      <c r="C308" s="16"/>
      <c r="D308" s="16"/>
      <c r="E308" s="16"/>
      <c r="F308" s="16"/>
      <c r="G308" s="16"/>
    </row>
    <row r="309" ht="15.75" customHeight="1">
      <c r="A309" s="16"/>
      <c r="B309" s="16"/>
      <c r="C309" s="16"/>
      <c r="D309" s="16"/>
      <c r="E309" s="16"/>
      <c r="F309" s="16"/>
      <c r="G309" s="16"/>
    </row>
    <row r="310" ht="15.75" customHeight="1">
      <c r="A310" s="16"/>
      <c r="B310" s="16"/>
      <c r="C310" s="16"/>
      <c r="D310" s="16"/>
      <c r="E310" s="16"/>
      <c r="F310" s="16"/>
      <c r="G310" s="16"/>
    </row>
    <row r="311" ht="15.75" customHeight="1">
      <c r="A311" s="16"/>
      <c r="B311" s="16"/>
      <c r="C311" s="16"/>
      <c r="D311" s="16"/>
      <c r="E311" s="16"/>
      <c r="F311" s="16"/>
      <c r="G311" s="16"/>
    </row>
    <row r="312" ht="15.75" customHeight="1">
      <c r="A312" s="16"/>
      <c r="B312" s="16"/>
      <c r="C312" s="16"/>
      <c r="D312" s="16"/>
      <c r="E312" s="16"/>
      <c r="F312" s="16"/>
      <c r="G312" s="16"/>
    </row>
    <row r="313" ht="15.75" customHeight="1">
      <c r="A313" s="16"/>
      <c r="B313" s="16"/>
      <c r="C313" s="16"/>
      <c r="D313" s="16"/>
      <c r="E313" s="16"/>
      <c r="F313" s="16"/>
      <c r="G313" s="16"/>
    </row>
    <row r="314" ht="15.75" customHeight="1">
      <c r="A314" s="16"/>
      <c r="B314" s="16"/>
      <c r="C314" s="16"/>
      <c r="D314" s="16"/>
      <c r="E314" s="16"/>
      <c r="F314" s="16"/>
      <c r="G314" s="16"/>
    </row>
    <row r="315" ht="15.75" customHeight="1">
      <c r="A315" s="16"/>
      <c r="B315" s="16"/>
      <c r="C315" s="16"/>
      <c r="D315" s="16"/>
      <c r="E315" s="16"/>
      <c r="F315" s="16"/>
      <c r="G315" s="16"/>
    </row>
    <row r="316" ht="15.75" customHeight="1">
      <c r="A316" s="16"/>
      <c r="B316" s="16"/>
      <c r="C316" s="16"/>
      <c r="D316" s="16"/>
      <c r="E316" s="16"/>
      <c r="F316" s="16"/>
      <c r="G316" s="16"/>
    </row>
    <row r="317" ht="15.75" customHeight="1">
      <c r="A317" s="16"/>
      <c r="B317" s="16"/>
      <c r="C317" s="16"/>
      <c r="D317" s="16"/>
      <c r="E317" s="16"/>
      <c r="F317" s="16"/>
      <c r="G317" s="16"/>
    </row>
    <row r="318" ht="15.75" customHeight="1">
      <c r="A318" s="16"/>
      <c r="B318" s="16"/>
      <c r="C318" s="16"/>
      <c r="D318" s="16"/>
      <c r="E318" s="16"/>
      <c r="F318" s="16"/>
      <c r="G318" s="16"/>
    </row>
    <row r="319" ht="15.75" customHeight="1">
      <c r="A319" s="16"/>
      <c r="B319" s="16"/>
      <c r="C319" s="16"/>
      <c r="D319" s="16"/>
      <c r="E319" s="16"/>
      <c r="F319" s="16"/>
      <c r="G319" s="16"/>
    </row>
    <row r="320" ht="15.75" customHeight="1">
      <c r="A320" s="16"/>
      <c r="B320" s="16"/>
      <c r="C320" s="16"/>
      <c r="D320" s="16"/>
      <c r="E320" s="16"/>
      <c r="F320" s="16"/>
      <c r="G320" s="16"/>
    </row>
    <row r="321" ht="15.75" customHeight="1">
      <c r="A321" s="16"/>
      <c r="B321" s="16"/>
      <c r="C321" s="16"/>
      <c r="D321" s="16"/>
      <c r="E321" s="16"/>
      <c r="F321" s="16"/>
      <c r="G321" s="16"/>
    </row>
    <row r="322" ht="15.75" customHeight="1">
      <c r="A322" s="16"/>
      <c r="B322" s="16"/>
      <c r="C322" s="16"/>
      <c r="D322" s="16"/>
      <c r="E322" s="16"/>
      <c r="F322" s="16"/>
      <c r="G322" s="16"/>
    </row>
    <row r="323" ht="15.75" customHeight="1">
      <c r="A323" s="16"/>
      <c r="B323" s="16"/>
      <c r="C323" s="16"/>
      <c r="D323" s="16"/>
      <c r="E323" s="16"/>
      <c r="F323" s="16"/>
      <c r="G323" s="16"/>
    </row>
    <row r="324" ht="15.75" customHeight="1">
      <c r="A324" s="16"/>
      <c r="B324" s="16"/>
      <c r="C324" s="16"/>
      <c r="D324" s="16"/>
      <c r="E324" s="16"/>
      <c r="F324" s="16"/>
      <c r="G324" s="16"/>
    </row>
    <row r="325" ht="15.75" customHeight="1">
      <c r="A325" s="16"/>
      <c r="B325" s="16"/>
      <c r="C325" s="16"/>
      <c r="D325" s="16"/>
      <c r="E325" s="16"/>
      <c r="F325" s="16"/>
      <c r="G325" s="16"/>
    </row>
    <row r="326" ht="15.75" customHeight="1">
      <c r="A326" s="16"/>
      <c r="B326" s="16"/>
      <c r="C326" s="16"/>
      <c r="D326" s="16"/>
      <c r="E326" s="16"/>
      <c r="F326" s="16"/>
      <c r="G326" s="16"/>
    </row>
    <row r="327" ht="15.75" customHeight="1">
      <c r="A327" s="16"/>
      <c r="B327" s="16"/>
      <c r="C327" s="16"/>
      <c r="D327" s="16"/>
      <c r="E327" s="16"/>
      <c r="F327" s="16"/>
      <c r="G327" s="16"/>
    </row>
    <row r="328" ht="15.75" customHeight="1">
      <c r="A328" s="16"/>
      <c r="B328" s="16"/>
      <c r="C328" s="16"/>
      <c r="D328" s="16"/>
      <c r="E328" s="16"/>
      <c r="F328" s="16"/>
      <c r="G328" s="16"/>
    </row>
    <row r="329" ht="15.75" customHeight="1">
      <c r="A329" s="16"/>
      <c r="B329" s="16"/>
      <c r="C329" s="16"/>
      <c r="D329" s="16"/>
      <c r="E329" s="16"/>
      <c r="F329" s="16"/>
      <c r="G329" s="16"/>
    </row>
    <row r="330" ht="15.75" customHeight="1">
      <c r="A330" s="16"/>
      <c r="B330" s="16"/>
      <c r="C330" s="16"/>
      <c r="D330" s="16"/>
      <c r="E330" s="16"/>
      <c r="F330" s="16"/>
      <c r="G330" s="16"/>
    </row>
    <row r="331" ht="15.75" customHeight="1">
      <c r="A331" s="16"/>
      <c r="B331" s="16"/>
      <c r="C331" s="16"/>
      <c r="D331" s="16"/>
      <c r="E331" s="16"/>
      <c r="F331" s="16"/>
      <c r="G331" s="16"/>
    </row>
    <row r="332" ht="15.75" customHeight="1">
      <c r="A332" s="16"/>
      <c r="B332" s="16"/>
      <c r="C332" s="16"/>
      <c r="D332" s="16"/>
      <c r="E332" s="16"/>
      <c r="F332" s="16"/>
      <c r="G332" s="16"/>
    </row>
    <row r="333" ht="15.75" customHeight="1">
      <c r="A333" s="16"/>
      <c r="B333" s="16"/>
      <c r="C333" s="16"/>
      <c r="D333" s="16"/>
      <c r="E333" s="16"/>
      <c r="F333" s="16"/>
      <c r="G333" s="16"/>
    </row>
    <row r="334" ht="15.75" customHeight="1">
      <c r="A334" s="16"/>
      <c r="B334" s="16"/>
      <c r="C334" s="16"/>
      <c r="D334" s="16"/>
      <c r="E334" s="16"/>
      <c r="F334" s="16"/>
      <c r="G334" s="16"/>
    </row>
    <row r="335" ht="15.75" customHeight="1">
      <c r="A335" s="16"/>
      <c r="B335" s="16"/>
      <c r="C335" s="16"/>
      <c r="D335" s="16"/>
      <c r="E335" s="16"/>
      <c r="F335" s="16"/>
      <c r="G335" s="16"/>
    </row>
    <row r="336" ht="15.75" customHeight="1">
      <c r="A336" s="16"/>
      <c r="B336" s="16"/>
      <c r="C336" s="16"/>
      <c r="D336" s="16"/>
      <c r="E336" s="16"/>
      <c r="F336" s="16"/>
      <c r="G336" s="16"/>
    </row>
    <row r="337" ht="15.75" customHeight="1">
      <c r="A337" s="16"/>
      <c r="B337" s="16"/>
      <c r="C337" s="16"/>
      <c r="D337" s="16"/>
      <c r="E337" s="16"/>
      <c r="F337" s="16"/>
      <c r="G337" s="16"/>
    </row>
    <row r="338" ht="15.75" customHeight="1">
      <c r="A338" s="16"/>
      <c r="B338" s="16"/>
      <c r="C338" s="16"/>
      <c r="D338" s="16"/>
      <c r="E338" s="16"/>
      <c r="F338" s="16"/>
      <c r="G338" s="16"/>
    </row>
    <row r="339" ht="15.75" customHeight="1">
      <c r="A339" s="16"/>
      <c r="B339" s="16"/>
      <c r="C339" s="16"/>
      <c r="D339" s="16"/>
      <c r="E339" s="16"/>
      <c r="F339" s="16"/>
      <c r="G339" s="16"/>
    </row>
    <row r="340" ht="15.75" customHeight="1">
      <c r="A340" s="16"/>
      <c r="B340" s="16"/>
      <c r="C340" s="16"/>
      <c r="D340" s="16"/>
      <c r="E340" s="16"/>
      <c r="F340" s="16"/>
      <c r="G340" s="16"/>
    </row>
    <row r="341" ht="15.75" customHeight="1">
      <c r="A341" s="16"/>
      <c r="B341" s="16"/>
      <c r="C341" s="16"/>
      <c r="D341" s="16"/>
      <c r="E341" s="16"/>
      <c r="F341" s="16"/>
      <c r="G341" s="16"/>
    </row>
    <row r="342" ht="15.75" customHeight="1">
      <c r="A342" s="16"/>
      <c r="B342" s="16"/>
      <c r="C342" s="16"/>
      <c r="D342" s="16"/>
      <c r="E342" s="16"/>
      <c r="F342" s="16"/>
      <c r="G342" s="16"/>
    </row>
    <row r="343" ht="15.75" customHeight="1">
      <c r="A343" s="16"/>
      <c r="B343" s="16"/>
      <c r="C343" s="16"/>
      <c r="D343" s="16"/>
      <c r="E343" s="16"/>
      <c r="F343" s="16"/>
      <c r="G343" s="16"/>
    </row>
    <row r="344" ht="15.75" customHeight="1">
      <c r="A344" s="16"/>
      <c r="B344" s="16"/>
      <c r="C344" s="16"/>
      <c r="D344" s="16"/>
      <c r="E344" s="16"/>
      <c r="F344" s="16"/>
      <c r="G344" s="16"/>
    </row>
    <row r="345" ht="15.75" customHeight="1">
      <c r="A345" s="16"/>
      <c r="B345" s="16"/>
      <c r="C345" s="16"/>
      <c r="D345" s="16"/>
      <c r="E345" s="16"/>
      <c r="F345" s="16"/>
      <c r="G345" s="16"/>
    </row>
    <row r="346" ht="15.75" customHeight="1">
      <c r="A346" s="16"/>
      <c r="B346" s="16"/>
      <c r="C346" s="16"/>
      <c r="D346" s="16"/>
      <c r="E346" s="16"/>
      <c r="F346" s="16"/>
      <c r="G346" s="16"/>
    </row>
    <row r="347" ht="15.75" customHeight="1">
      <c r="A347" s="16"/>
      <c r="B347" s="16"/>
      <c r="C347" s="16"/>
      <c r="D347" s="16"/>
      <c r="E347" s="16"/>
      <c r="F347" s="16"/>
      <c r="G347" s="16"/>
    </row>
    <row r="348" ht="15.75" customHeight="1">
      <c r="A348" s="16"/>
      <c r="B348" s="16"/>
      <c r="C348" s="16"/>
      <c r="D348" s="16"/>
      <c r="E348" s="16"/>
      <c r="F348" s="16"/>
      <c r="G348" s="16"/>
    </row>
    <row r="349" ht="15.75" customHeight="1">
      <c r="A349" s="16"/>
      <c r="B349" s="16"/>
      <c r="C349" s="16"/>
      <c r="D349" s="16"/>
      <c r="E349" s="16"/>
      <c r="F349" s="16"/>
      <c r="G349" s="16"/>
    </row>
    <row r="350" ht="15.75" customHeight="1">
      <c r="A350" s="16"/>
      <c r="B350" s="16"/>
      <c r="C350" s="16"/>
      <c r="D350" s="16"/>
      <c r="E350" s="16"/>
      <c r="F350" s="16"/>
      <c r="G350" s="16"/>
    </row>
    <row r="351" ht="15.75" customHeight="1">
      <c r="A351" s="16"/>
      <c r="B351" s="16"/>
      <c r="C351" s="16"/>
      <c r="D351" s="16"/>
      <c r="E351" s="16"/>
      <c r="F351" s="16"/>
      <c r="G351" s="16"/>
    </row>
    <row r="352" ht="15.75" customHeight="1">
      <c r="A352" s="16"/>
      <c r="B352" s="16"/>
      <c r="C352" s="16"/>
      <c r="D352" s="16"/>
      <c r="E352" s="16"/>
      <c r="F352" s="16"/>
      <c r="G352" s="16"/>
    </row>
    <row r="353" ht="15.75" customHeight="1">
      <c r="A353" s="16"/>
      <c r="B353" s="16"/>
      <c r="C353" s="16"/>
      <c r="D353" s="16"/>
      <c r="E353" s="16"/>
      <c r="F353" s="16"/>
      <c r="G353" s="16"/>
    </row>
    <row r="354" ht="15.75" customHeight="1">
      <c r="A354" s="16"/>
      <c r="B354" s="16"/>
      <c r="C354" s="16"/>
      <c r="D354" s="16"/>
      <c r="E354" s="16"/>
      <c r="F354" s="16"/>
      <c r="G354" s="16"/>
    </row>
    <row r="355" ht="15.75" customHeight="1">
      <c r="A355" s="16"/>
      <c r="B355" s="16"/>
      <c r="C355" s="16"/>
      <c r="D355" s="16"/>
      <c r="E355" s="16"/>
      <c r="F355" s="16"/>
      <c r="G355" s="16"/>
    </row>
    <row r="356" ht="15.75" customHeight="1">
      <c r="A356" s="16"/>
      <c r="B356" s="16"/>
      <c r="C356" s="16"/>
      <c r="D356" s="16"/>
      <c r="E356" s="16"/>
      <c r="F356" s="16"/>
      <c r="G356" s="16"/>
    </row>
    <row r="357" ht="15.75" customHeight="1">
      <c r="A357" s="16"/>
      <c r="B357" s="16"/>
      <c r="C357" s="16"/>
      <c r="D357" s="16"/>
      <c r="E357" s="16"/>
      <c r="F357" s="16"/>
      <c r="G357" s="16"/>
    </row>
    <row r="358" ht="15.75" customHeight="1">
      <c r="A358" s="16"/>
      <c r="B358" s="16"/>
      <c r="C358" s="16"/>
      <c r="D358" s="16"/>
      <c r="E358" s="16"/>
      <c r="F358" s="16"/>
      <c r="G358" s="16"/>
    </row>
    <row r="359" ht="15.75" customHeight="1">
      <c r="A359" s="16"/>
      <c r="B359" s="16"/>
      <c r="C359" s="16"/>
      <c r="D359" s="16"/>
      <c r="E359" s="16"/>
      <c r="F359" s="16"/>
      <c r="G359" s="16"/>
    </row>
    <row r="360" ht="15.75" customHeight="1">
      <c r="A360" s="16"/>
      <c r="B360" s="16"/>
      <c r="C360" s="16"/>
      <c r="D360" s="16"/>
      <c r="E360" s="16"/>
      <c r="F360" s="16"/>
      <c r="G360" s="16"/>
    </row>
    <row r="361" ht="15.75" customHeight="1">
      <c r="A361" s="16"/>
      <c r="B361" s="16"/>
      <c r="C361" s="16"/>
      <c r="D361" s="16"/>
      <c r="E361" s="16"/>
      <c r="F361" s="16"/>
      <c r="G361" s="16"/>
    </row>
    <row r="362" ht="15.75" customHeight="1">
      <c r="A362" s="16"/>
      <c r="B362" s="16"/>
      <c r="C362" s="16"/>
      <c r="D362" s="16"/>
      <c r="E362" s="16"/>
      <c r="F362" s="16"/>
      <c r="G362" s="16"/>
    </row>
    <row r="363" ht="15.75" customHeight="1">
      <c r="A363" s="16"/>
      <c r="B363" s="16"/>
      <c r="C363" s="16"/>
      <c r="D363" s="16"/>
      <c r="E363" s="16"/>
      <c r="F363" s="16"/>
      <c r="G363" s="16"/>
    </row>
    <row r="364" ht="15.75" customHeight="1">
      <c r="A364" s="16"/>
      <c r="B364" s="16"/>
      <c r="C364" s="16"/>
      <c r="D364" s="16"/>
      <c r="E364" s="16"/>
      <c r="F364" s="16"/>
      <c r="G364" s="16"/>
    </row>
    <row r="365" ht="15.75" customHeight="1">
      <c r="A365" s="16"/>
      <c r="B365" s="16"/>
      <c r="C365" s="16"/>
      <c r="D365" s="16"/>
      <c r="E365" s="16"/>
      <c r="F365" s="16"/>
      <c r="G365" s="16"/>
    </row>
    <row r="366" ht="15.75" customHeight="1">
      <c r="A366" s="16"/>
      <c r="B366" s="16"/>
      <c r="C366" s="16"/>
      <c r="D366" s="16"/>
      <c r="E366" s="16"/>
      <c r="F366" s="16"/>
      <c r="G366" s="16"/>
    </row>
    <row r="367" ht="15.75" customHeight="1">
      <c r="A367" s="16"/>
      <c r="B367" s="16"/>
      <c r="C367" s="16"/>
      <c r="D367" s="16"/>
      <c r="E367" s="16"/>
      <c r="F367" s="16"/>
      <c r="G367" s="16"/>
    </row>
    <row r="368" ht="15.75" customHeight="1">
      <c r="A368" s="16"/>
      <c r="B368" s="16"/>
      <c r="C368" s="16"/>
      <c r="D368" s="16"/>
      <c r="E368" s="16"/>
      <c r="F368" s="16"/>
      <c r="G368" s="16"/>
    </row>
    <row r="369" ht="15.75" customHeight="1">
      <c r="A369" s="16"/>
      <c r="B369" s="16"/>
      <c r="C369" s="16"/>
      <c r="D369" s="16"/>
      <c r="E369" s="16"/>
      <c r="F369" s="16"/>
      <c r="G369" s="16"/>
    </row>
    <row r="370" ht="15.75" customHeight="1">
      <c r="A370" s="16"/>
      <c r="B370" s="16"/>
      <c r="C370" s="16"/>
      <c r="D370" s="16"/>
      <c r="E370" s="16"/>
      <c r="F370" s="16"/>
      <c r="G370" s="16"/>
    </row>
    <row r="371" ht="15.75" customHeight="1">
      <c r="A371" s="16"/>
      <c r="B371" s="16"/>
      <c r="C371" s="16"/>
      <c r="D371" s="16"/>
      <c r="E371" s="16"/>
      <c r="F371" s="16"/>
      <c r="G371" s="16"/>
    </row>
    <row r="372" ht="15.75" customHeight="1">
      <c r="A372" s="16"/>
      <c r="B372" s="16"/>
      <c r="C372" s="16"/>
      <c r="D372" s="16"/>
      <c r="E372" s="16"/>
      <c r="F372" s="16"/>
      <c r="G372" s="16"/>
    </row>
    <row r="373" ht="15.75" customHeight="1">
      <c r="A373" s="16"/>
      <c r="B373" s="16"/>
      <c r="C373" s="16"/>
      <c r="D373" s="16"/>
      <c r="E373" s="16"/>
      <c r="F373" s="16"/>
      <c r="G373" s="16"/>
    </row>
    <row r="374" ht="15.75" customHeight="1">
      <c r="A374" s="16"/>
      <c r="B374" s="16"/>
      <c r="C374" s="16"/>
      <c r="D374" s="16"/>
      <c r="E374" s="16"/>
      <c r="F374" s="16"/>
      <c r="G374" s="16"/>
    </row>
    <row r="375" ht="15.75" customHeight="1">
      <c r="A375" s="16"/>
      <c r="B375" s="16"/>
      <c r="C375" s="16"/>
      <c r="D375" s="16"/>
      <c r="E375" s="16"/>
      <c r="F375" s="16"/>
      <c r="G375" s="16"/>
    </row>
    <row r="376" ht="15.75" customHeight="1">
      <c r="A376" s="16"/>
      <c r="B376" s="16"/>
      <c r="C376" s="16"/>
      <c r="D376" s="16"/>
      <c r="E376" s="16"/>
      <c r="F376" s="16"/>
      <c r="G376" s="16"/>
    </row>
    <row r="377" ht="15.75" customHeight="1">
      <c r="A377" s="16"/>
      <c r="B377" s="16"/>
      <c r="C377" s="16"/>
      <c r="D377" s="16"/>
      <c r="E377" s="16"/>
      <c r="F377" s="16"/>
      <c r="G377" s="16"/>
    </row>
    <row r="378" ht="15.75" customHeight="1">
      <c r="A378" s="16"/>
      <c r="B378" s="16"/>
      <c r="C378" s="16"/>
      <c r="D378" s="16"/>
      <c r="E378" s="16"/>
      <c r="F378" s="16"/>
      <c r="G378" s="16"/>
    </row>
    <row r="379" ht="15.75" customHeight="1">
      <c r="A379" s="16"/>
      <c r="B379" s="16"/>
      <c r="C379" s="16"/>
      <c r="D379" s="16"/>
      <c r="E379" s="16"/>
      <c r="F379" s="16"/>
      <c r="G379" s="16"/>
    </row>
    <row r="380" ht="15.75" customHeight="1">
      <c r="A380" s="16"/>
      <c r="B380" s="16"/>
      <c r="C380" s="16"/>
      <c r="D380" s="16"/>
      <c r="E380" s="16"/>
      <c r="F380" s="16"/>
      <c r="G380" s="16"/>
    </row>
    <row r="381" ht="15.75" customHeight="1">
      <c r="A381" s="16"/>
      <c r="B381" s="16"/>
      <c r="C381" s="16"/>
      <c r="D381" s="16"/>
      <c r="E381" s="16"/>
      <c r="F381" s="16"/>
      <c r="G381" s="16"/>
    </row>
    <row r="382" ht="15.75" customHeight="1">
      <c r="A382" s="16"/>
      <c r="B382" s="16"/>
      <c r="C382" s="16"/>
      <c r="D382" s="16"/>
      <c r="E382" s="16"/>
      <c r="F382" s="16"/>
      <c r="G382" s="16"/>
    </row>
    <row r="383" ht="15.75" customHeight="1">
      <c r="A383" s="16"/>
      <c r="B383" s="16"/>
      <c r="C383" s="16"/>
      <c r="D383" s="16"/>
      <c r="E383" s="16"/>
      <c r="F383" s="16"/>
      <c r="G383" s="16"/>
    </row>
    <row r="384" ht="15.75" customHeight="1">
      <c r="A384" s="16"/>
      <c r="B384" s="16"/>
      <c r="C384" s="16"/>
      <c r="D384" s="16"/>
      <c r="E384" s="16"/>
      <c r="F384" s="16"/>
      <c r="G384" s="16"/>
    </row>
    <row r="385" ht="15.75" customHeight="1">
      <c r="A385" s="16"/>
      <c r="B385" s="16"/>
      <c r="C385" s="16"/>
      <c r="D385" s="16"/>
      <c r="E385" s="16"/>
      <c r="F385" s="16"/>
      <c r="G385" s="16"/>
    </row>
    <row r="386" ht="15.75" customHeight="1">
      <c r="A386" s="16"/>
      <c r="B386" s="16"/>
      <c r="C386" s="16"/>
      <c r="D386" s="16"/>
      <c r="E386" s="16"/>
      <c r="F386" s="16"/>
      <c r="G386" s="16"/>
    </row>
    <row r="387" ht="15.75" customHeight="1">
      <c r="A387" s="16"/>
      <c r="B387" s="16"/>
      <c r="C387" s="16"/>
      <c r="D387" s="16"/>
      <c r="E387" s="16"/>
      <c r="F387" s="16"/>
      <c r="G387" s="16"/>
    </row>
    <row r="388" ht="15.75" customHeight="1">
      <c r="A388" s="16"/>
      <c r="B388" s="16"/>
      <c r="C388" s="16"/>
      <c r="D388" s="16"/>
      <c r="E388" s="16"/>
      <c r="F388" s="16"/>
      <c r="G388" s="16"/>
    </row>
    <row r="389" ht="15.75" customHeight="1">
      <c r="A389" s="16"/>
      <c r="B389" s="16"/>
      <c r="C389" s="16"/>
      <c r="D389" s="16"/>
      <c r="E389" s="16"/>
      <c r="F389" s="16"/>
      <c r="G389" s="16"/>
    </row>
    <row r="390" ht="15.75" customHeight="1">
      <c r="A390" s="16"/>
      <c r="B390" s="16"/>
      <c r="C390" s="16"/>
      <c r="D390" s="16"/>
      <c r="E390" s="16"/>
      <c r="F390" s="16"/>
      <c r="G390" s="16"/>
    </row>
    <row r="391" ht="15.75" customHeight="1">
      <c r="A391" s="16"/>
      <c r="B391" s="16"/>
      <c r="C391" s="16"/>
      <c r="D391" s="16"/>
      <c r="E391" s="16"/>
      <c r="F391" s="16"/>
      <c r="G391" s="16"/>
    </row>
    <row r="392" ht="15.75" customHeight="1">
      <c r="A392" s="16"/>
      <c r="B392" s="16"/>
      <c r="C392" s="16"/>
      <c r="D392" s="16"/>
      <c r="E392" s="16"/>
      <c r="F392" s="16"/>
      <c r="G392" s="16"/>
    </row>
    <row r="393" ht="15.75" customHeight="1">
      <c r="A393" s="16"/>
      <c r="B393" s="16"/>
      <c r="C393" s="16"/>
      <c r="D393" s="16"/>
      <c r="E393" s="16"/>
      <c r="F393" s="16"/>
      <c r="G393" s="16"/>
    </row>
    <row r="394" ht="15.75" customHeight="1">
      <c r="A394" s="16"/>
      <c r="B394" s="16"/>
      <c r="C394" s="16"/>
      <c r="D394" s="16"/>
      <c r="E394" s="16"/>
      <c r="F394" s="16"/>
      <c r="G394" s="16"/>
    </row>
    <row r="395" ht="15.75" customHeight="1">
      <c r="A395" s="16"/>
      <c r="B395" s="16"/>
      <c r="C395" s="16"/>
      <c r="D395" s="16"/>
      <c r="E395" s="16"/>
      <c r="F395" s="16"/>
      <c r="G395" s="16"/>
    </row>
    <row r="396" ht="15.75" customHeight="1">
      <c r="A396" s="16"/>
      <c r="B396" s="16"/>
      <c r="C396" s="16"/>
      <c r="D396" s="16"/>
      <c r="E396" s="16"/>
      <c r="F396" s="16"/>
      <c r="G396" s="16"/>
    </row>
    <row r="397" ht="15.75" customHeight="1">
      <c r="A397" s="16"/>
      <c r="B397" s="16"/>
      <c r="C397" s="16"/>
      <c r="D397" s="16"/>
      <c r="E397" s="16"/>
      <c r="F397" s="16"/>
      <c r="G397" s="16"/>
    </row>
    <row r="398" ht="15.75" customHeight="1">
      <c r="A398" s="16"/>
      <c r="B398" s="16"/>
      <c r="C398" s="16"/>
      <c r="D398" s="16"/>
      <c r="E398" s="16"/>
      <c r="F398" s="16"/>
      <c r="G398" s="16"/>
    </row>
    <row r="399" ht="15.75" customHeight="1">
      <c r="A399" s="16"/>
      <c r="B399" s="16"/>
      <c r="C399" s="16"/>
      <c r="D399" s="16"/>
      <c r="E399" s="16"/>
      <c r="F399" s="16"/>
      <c r="G399" s="16"/>
    </row>
    <row r="400" ht="15.75" customHeight="1">
      <c r="A400" s="16"/>
      <c r="B400" s="16"/>
      <c r="C400" s="16"/>
      <c r="D400" s="16"/>
      <c r="E400" s="16"/>
      <c r="F400" s="16"/>
      <c r="G400" s="16"/>
    </row>
    <row r="401" ht="15.75" customHeight="1">
      <c r="A401" s="16"/>
      <c r="B401" s="16"/>
      <c r="C401" s="16"/>
      <c r="D401" s="16"/>
      <c r="E401" s="16"/>
      <c r="F401" s="16"/>
      <c r="G401" s="16"/>
    </row>
    <row r="402" ht="15.75" customHeight="1">
      <c r="A402" s="16"/>
      <c r="B402" s="16"/>
      <c r="C402" s="16"/>
      <c r="D402" s="16"/>
      <c r="E402" s="16"/>
      <c r="F402" s="16"/>
      <c r="G402" s="16"/>
    </row>
    <row r="403" ht="15.75" customHeight="1">
      <c r="A403" s="16"/>
      <c r="B403" s="16"/>
      <c r="C403" s="16"/>
      <c r="D403" s="16"/>
      <c r="E403" s="16"/>
      <c r="F403" s="16"/>
      <c r="G403" s="16"/>
    </row>
    <row r="404" ht="15.75" customHeight="1">
      <c r="A404" s="16"/>
      <c r="B404" s="16"/>
      <c r="C404" s="16"/>
      <c r="D404" s="16"/>
      <c r="E404" s="16"/>
      <c r="F404" s="16"/>
      <c r="G404" s="16"/>
    </row>
    <row r="405" ht="15.75" customHeight="1">
      <c r="A405" s="16"/>
      <c r="B405" s="16"/>
      <c r="C405" s="16"/>
      <c r="D405" s="16"/>
      <c r="E405" s="16"/>
      <c r="F405" s="16"/>
      <c r="G405" s="16"/>
    </row>
    <row r="406" ht="15.75" customHeight="1">
      <c r="A406" s="16"/>
      <c r="B406" s="16"/>
      <c r="C406" s="16"/>
      <c r="D406" s="16"/>
      <c r="E406" s="16"/>
      <c r="F406" s="16"/>
      <c r="G406" s="16"/>
    </row>
    <row r="407" ht="15.75" customHeight="1">
      <c r="A407" s="16"/>
      <c r="B407" s="16"/>
      <c r="C407" s="16"/>
      <c r="D407" s="16"/>
      <c r="E407" s="16"/>
      <c r="F407" s="16"/>
      <c r="G407" s="16"/>
    </row>
    <row r="408" ht="15.75" customHeight="1">
      <c r="A408" s="16"/>
      <c r="B408" s="16"/>
      <c r="C408" s="16"/>
      <c r="D408" s="16"/>
      <c r="E408" s="16"/>
      <c r="F408" s="16"/>
      <c r="G408" s="16"/>
    </row>
    <row r="409" ht="15.75" customHeight="1">
      <c r="A409" s="16"/>
      <c r="B409" s="16"/>
      <c r="C409" s="16"/>
      <c r="D409" s="16"/>
      <c r="E409" s="16"/>
      <c r="F409" s="16"/>
      <c r="G409" s="16"/>
    </row>
    <row r="410" ht="15.75" customHeight="1">
      <c r="A410" s="16"/>
      <c r="B410" s="16"/>
      <c r="C410" s="16"/>
      <c r="D410" s="16"/>
      <c r="E410" s="16"/>
      <c r="F410" s="16"/>
      <c r="G410" s="16"/>
    </row>
    <row r="411" ht="15.75" customHeight="1">
      <c r="A411" s="16"/>
      <c r="B411" s="16"/>
      <c r="C411" s="16"/>
      <c r="D411" s="16"/>
      <c r="E411" s="16"/>
      <c r="F411" s="16"/>
      <c r="G411" s="16"/>
    </row>
    <row r="412" ht="15.75" customHeight="1">
      <c r="A412" s="16"/>
      <c r="B412" s="16"/>
      <c r="C412" s="16"/>
      <c r="D412" s="16"/>
      <c r="E412" s="16"/>
      <c r="F412" s="16"/>
      <c r="G412" s="16"/>
    </row>
    <row r="413" ht="15.75" customHeight="1">
      <c r="A413" s="16"/>
      <c r="B413" s="16"/>
      <c r="C413" s="16"/>
      <c r="D413" s="16"/>
      <c r="E413" s="16"/>
      <c r="F413" s="16"/>
      <c r="G413" s="16"/>
    </row>
    <row r="414" ht="15.75" customHeight="1">
      <c r="A414" s="16"/>
      <c r="B414" s="16"/>
      <c r="C414" s="16"/>
      <c r="D414" s="16"/>
      <c r="E414" s="16"/>
      <c r="F414" s="16"/>
      <c r="G414" s="16"/>
    </row>
    <row r="415" ht="15.75" customHeight="1">
      <c r="A415" s="16"/>
      <c r="B415" s="16"/>
      <c r="C415" s="16"/>
      <c r="D415" s="16"/>
      <c r="E415" s="16"/>
      <c r="F415" s="16"/>
      <c r="G415" s="16"/>
    </row>
    <row r="416" ht="15.75" customHeight="1">
      <c r="A416" s="16"/>
      <c r="B416" s="16"/>
      <c r="C416" s="16"/>
      <c r="D416" s="16"/>
      <c r="E416" s="16"/>
      <c r="F416" s="16"/>
      <c r="G416" s="16"/>
    </row>
    <row r="417" ht="15.75" customHeight="1">
      <c r="A417" s="16"/>
      <c r="B417" s="16"/>
      <c r="C417" s="16"/>
      <c r="D417" s="16"/>
      <c r="E417" s="16"/>
      <c r="F417" s="16"/>
      <c r="G417" s="16"/>
    </row>
    <row r="418" ht="15.75" customHeight="1">
      <c r="A418" s="16"/>
      <c r="B418" s="16"/>
      <c r="C418" s="16"/>
      <c r="D418" s="16"/>
      <c r="E418" s="16"/>
      <c r="F418" s="16"/>
      <c r="G418" s="16"/>
    </row>
    <row r="419" ht="15.75" customHeight="1">
      <c r="A419" s="16"/>
      <c r="B419" s="16"/>
      <c r="C419" s="16"/>
      <c r="D419" s="16"/>
      <c r="E419" s="16"/>
      <c r="F419" s="16"/>
      <c r="G419" s="16"/>
    </row>
    <row r="420" ht="15.75" customHeight="1">
      <c r="A420" s="16"/>
      <c r="B420" s="16"/>
      <c r="C420" s="16"/>
      <c r="D420" s="16"/>
      <c r="E420" s="16"/>
      <c r="F420" s="16"/>
      <c r="G420" s="16"/>
    </row>
    <row r="421" ht="15.75" customHeight="1">
      <c r="A421" s="16"/>
      <c r="B421" s="16"/>
      <c r="C421" s="16"/>
      <c r="D421" s="16"/>
      <c r="E421" s="16"/>
      <c r="F421" s="16"/>
      <c r="G421" s="16"/>
    </row>
    <row r="422" ht="15.75" customHeight="1">
      <c r="A422" s="16"/>
      <c r="B422" s="16"/>
      <c r="C422" s="16"/>
      <c r="D422" s="16"/>
      <c r="E422" s="16"/>
      <c r="F422" s="16"/>
      <c r="G422" s="16"/>
    </row>
    <row r="423" ht="15.75" customHeight="1">
      <c r="A423" s="16"/>
      <c r="B423" s="16"/>
      <c r="C423" s="16"/>
      <c r="D423" s="16"/>
      <c r="E423" s="16"/>
      <c r="F423" s="16"/>
      <c r="G423" s="16"/>
    </row>
    <row r="424" ht="15.75" customHeight="1">
      <c r="A424" s="16"/>
      <c r="B424" s="16"/>
      <c r="C424" s="16"/>
      <c r="D424" s="16"/>
      <c r="E424" s="16"/>
      <c r="F424" s="16"/>
      <c r="G424" s="16"/>
    </row>
    <row r="425" ht="15.75" customHeight="1">
      <c r="A425" s="16"/>
      <c r="B425" s="16"/>
      <c r="C425" s="16"/>
      <c r="D425" s="16"/>
      <c r="E425" s="16"/>
      <c r="F425" s="16"/>
      <c r="G425" s="16"/>
    </row>
    <row r="426" ht="15.75" customHeight="1">
      <c r="A426" s="16"/>
      <c r="B426" s="16"/>
      <c r="C426" s="16"/>
      <c r="D426" s="16"/>
      <c r="E426" s="16"/>
      <c r="F426" s="16"/>
      <c r="G426" s="16"/>
    </row>
    <row r="427" ht="15.75" customHeight="1">
      <c r="A427" s="16"/>
      <c r="B427" s="16"/>
      <c r="C427" s="16"/>
      <c r="D427" s="16"/>
      <c r="E427" s="16"/>
      <c r="F427" s="16"/>
      <c r="G427" s="16"/>
    </row>
    <row r="428" ht="15.75" customHeight="1">
      <c r="A428" s="16"/>
      <c r="B428" s="16"/>
      <c r="C428" s="16"/>
      <c r="D428" s="16"/>
      <c r="E428" s="16"/>
      <c r="F428" s="16"/>
      <c r="G428" s="16"/>
    </row>
    <row r="429" ht="15.75" customHeight="1">
      <c r="A429" s="16"/>
      <c r="B429" s="16"/>
      <c r="C429" s="16"/>
      <c r="D429" s="16"/>
      <c r="E429" s="16"/>
      <c r="F429" s="16"/>
      <c r="G429" s="16"/>
    </row>
    <row r="430" ht="15.75" customHeight="1">
      <c r="A430" s="16"/>
      <c r="B430" s="16"/>
      <c r="C430" s="16"/>
      <c r="D430" s="16"/>
      <c r="E430" s="16"/>
      <c r="F430" s="16"/>
      <c r="G430" s="16"/>
    </row>
    <row r="431" ht="15.75" customHeight="1">
      <c r="A431" s="16"/>
      <c r="B431" s="16"/>
      <c r="C431" s="16"/>
      <c r="D431" s="16"/>
      <c r="E431" s="16"/>
      <c r="F431" s="16"/>
      <c r="G431" s="16"/>
    </row>
    <row r="432" ht="15.75" customHeight="1">
      <c r="A432" s="16"/>
      <c r="B432" s="16"/>
      <c r="C432" s="16"/>
      <c r="D432" s="16"/>
      <c r="E432" s="16"/>
      <c r="F432" s="16"/>
      <c r="G432" s="16"/>
    </row>
    <row r="433" ht="15.75" customHeight="1">
      <c r="A433" s="16"/>
      <c r="B433" s="16"/>
      <c r="C433" s="16"/>
      <c r="D433" s="16"/>
      <c r="E433" s="16"/>
      <c r="F433" s="16"/>
      <c r="G433" s="16"/>
    </row>
    <row r="434" ht="15.75" customHeight="1">
      <c r="A434" s="16"/>
      <c r="B434" s="16"/>
      <c r="C434" s="16"/>
      <c r="D434" s="16"/>
      <c r="E434" s="16"/>
      <c r="F434" s="16"/>
      <c r="G434" s="16"/>
    </row>
    <row r="435" ht="15.75" customHeight="1">
      <c r="A435" s="16"/>
      <c r="B435" s="16"/>
      <c r="C435" s="16"/>
      <c r="D435" s="16"/>
      <c r="E435" s="16"/>
      <c r="F435" s="16"/>
      <c r="G435" s="16"/>
    </row>
    <row r="436" ht="15.75" customHeight="1">
      <c r="A436" s="16"/>
      <c r="B436" s="16"/>
      <c r="C436" s="16"/>
      <c r="D436" s="16"/>
      <c r="E436" s="16"/>
      <c r="F436" s="16"/>
      <c r="G436" s="16"/>
    </row>
    <row r="437" ht="15.75" customHeight="1">
      <c r="A437" s="16"/>
      <c r="B437" s="16"/>
      <c r="C437" s="16"/>
      <c r="D437" s="16"/>
      <c r="E437" s="16"/>
      <c r="F437" s="16"/>
      <c r="G437" s="16"/>
    </row>
    <row r="438" ht="15.75" customHeight="1">
      <c r="A438" s="16"/>
      <c r="B438" s="16"/>
      <c r="C438" s="16"/>
      <c r="D438" s="16"/>
      <c r="E438" s="16"/>
      <c r="F438" s="16"/>
      <c r="G438" s="16"/>
    </row>
    <row r="439" ht="15.75" customHeight="1">
      <c r="A439" s="16"/>
      <c r="B439" s="16"/>
      <c r="C439" s="16"/>
      <c r="D439" s="16"/>
      <c r="E439" s="16"/>
      <c r="F439" s="16"/>
      <c r="G439" s="16"/>
    </row>
    <row r="440" ht="15.75" customHeight="1">
      <c r="A440" s="16"/>
      <c r="B440" s="16"/>
      <c r="C440" s="16"/>
      <c r="D440" s="16"/>
      <c r="E440" s="16"/>
      <c r="F440" s="16"/>
      <c r="G440" s="16"/>
    </row>
    <row r="441" ht="15.75" customHeight="1">
      <c r="A441" s="16"/>
      <c r="B441" s="16"/>
      <c r="C441" s="16"/>
      <c r="D441" s="16"/>
      <c r="E441" s="16"/>
      <c r="F441" s="16"/>
      <c r="G441" s="16"/>
    </row>
    <row r="442" ht="15.75" customHeight="1">
      <c r="A442" s="16"/>
      <c r="B442" s="16"/>
      <c r="C442" s="16"/>
      <c r="D442" s="16"/>
      <c r="E442" s="16"/>
      <c r="F442" s="16"/>
      <c r="G442" s="16"/>
    </row>
    <row r="443" ht="15.75" customHeight="1">
      <c r="A443" s="16"/>
      <c r="B443" s="16"/>
      <c r="C443" s="16"/>
      <c r="D443" s="16"/>
      <c r="E443" s="16"/>
      <c r="F443" s="16"/>
      <c r="G443" s="16"/>
    </row>
    <row r="444" ht="15.75" customHeight="1">
      <c r="A444" s="16"/>
      <c r="B444" s="16"/>
      <c r="C444" s="16"/>
      <c r="D444" s="16"/>
      <c r="E444" s="16"/>
      <c r="F444" s="16"/>
      <c r="G444" s="16"/>
    </row>
    <row r="445" ht="15.75" customHeight="1">
      <c r="A445" s="16"/>
      <c r="B445" s="16"/>
      <c r="C445" s="16"/>
      <c r="D445" s="16"/>
      <c r="E445" s="16"/>
      <c r="F445" s="16"/>
      <c r="G445" s="16"/>
    </row>
    <row r="446" ht="15.75" customHeight="1">
      <c r="A446" s="16"/>
      <c r="B446" s="16"/>
      <c r="C446" s="16"/>
      <c r="D446" s="16"/>
      <c r="E446" s="16"/>
      <c r="F446" s="16"/>
      <c r="G446" s="16"/>
    </row>
    <row r="447" ht="15.75" customHeight="1">
      <c r="A447" s="16"/>
      <c r="B447" s="16"/>
      <c r="C447" s="16"/>
      <c r="D447" s="16"/>
      <c r="E447" s="16"/>
      <c r="F447" s="16"/>
      <c r="G447" s="16"/>
    </row>
    <row r="448" ht="15.75" customHeight="1">
      <c r="A448" s="16"/>
      <c r="B448" s="16"/>
      <c r="C448" s="16"/>
      <c r="D448" s="16"/>
      <c r="E448" s="16"/>
      <c r="F448" s="16"/>
      <c r="G448" s="16"/>
    </row>
    <row r="449" ht="15.75" customHeight="1">
      <c r="A449" s="16"/>
      <c r="B449" s="16"/>
      <c r="C449" s="16"/>
      <c r="D449" s="16"/>
      <c r="E449" s="16"/>
      <c r="F449" s="16"/>
      <c r="G449" s="16"/>
    </row>
    <row r="450" ht="15.75" customHeight="1">
      <c r="A450" s="16"/>
      <c r="B450" s="16"/>
      <c r="C450" s="16"/>
      <c r="D450" s="16"/>
      <c r="E450" s="16"/>
      <c r="F450" s="16"/>
      <c r="G450" s="16"/>
    </row>
    <row r="451" ht="15.75" customHeight="1">
      <c r="A451" s="16"/>
      <c r="B451" s="16"/>
      <c r="C451" s="16"/>
      <c r="D451" s="16"/>
      <c r="E451" s="16"/>
      <c r="F451" s="16"/>
      <c r="G451" s="16"/>
    </row>
    <row r="452" ht="15.75" customHeight="1">
      <c r="A452" s="16"/>
      <c r="B452" s="16"/>
      <c r="C452" s="16"/>
      <c r="D452" s="16"/>
      <c r="E452" s="16"/>
      <c r="F452" s="16"/>
      <c r="G452" s="16"/>
    </row>
    <row r="453" ht="15.75" customHeight="1">
      <c r="A453" s="16"/>
      <c r="B453" s="16"/>
      <c r="C453" s="16"/>
      <c r="D453" s="16"/>
      <c r="E453" s="16"/>
      <c r="F453" s="16"/>
      <c r="G453" s="16"/>
    </row>
    <row r="454" ht="15.75" customHeight="1">
      <c r="A454" s="16"/>
      <c r="B454" s="16"/>
      <c r="C454" s="16"/>
      <c r="D454" s="16"/>
      <c r="E454" s="16"/>
      <c r="F454" s="16"/>
      <c r="G454" s="16"/>
    </row>
    <row r="455" ht="15.75" customHeight="1">
      <c r="A455" s="16"/>
      <c r="B455" s="16"/>
      <c r="C455" s="16"/>
      <c r="D455" s="16"/>
      <c r="E455" s="16"/>
      <c r="F455" s="16"/>
      <c r="G455" s="16"/>
    </row>
    <row r="456" ht="15.75" customHeight="1">
      <c r="A456" s="16"/>
      <c r="B456" s="16"/>
      <c r="C456" s="16"/>
      <c r="D456" s="16"/>
      <c r="E456" s="16"/>
      <c r="F456" s="16"/>
      <c r="G456" s="16"/>
    </row>
    <row r="457" ht="15.75" customHeight="1">
      <c r="A457" s="16"/>
      <c r="B457" s="16"/>
      <c r="C457" s="16"/>
      <c r="D457" s="16"/>
      <c r="E457" s="16"/>
      <c r="F457" s="16"/>
      <c r="G457" s="16"/>
    </row>
    <row r="458" ht="15.75" customHeight="1">
      <c r="A458" s="16"/>
      <c r="B458" s="16"/>
      <c r="C458" s="16"/>
      <c r="D458" s="16"/>
      <c r="E458" s="16"/>
      <c r="F458" s="16"/>
      <c r="G458" s="16"/>
    </row>
    <row r="459" ht="15.75" customHeight="1">
      <c r="A459" s="16"/>
      <c r="B459" s="16"/>
      <c r="C459" s="16"/>
      <c r="D459" s="16"/>
      <c r="E459" s="16"/>
      <c r="F459" s="16"/>
      <c r="G459" s="16"/>
    </row>
    <row r="460" ht="15.75" customHeight="1">
      <c r="A460" s="16"/>
      <c r="B460" s="16"/>
      <c r="C460" s="16"/>
      <c r="D460" s="16"/>
      <c r="E460" s="16"/>
      <c r="F460" s="16"/>
      <c r="G460" s="16"/>
    </row>
    <row r="461" ht="15.75" customHeight="1">
      <c r="A461" s="16"/>
      <c r="B461" s="16"/>
      <c r="C461" s="16"/>
      <c r="D461" s="16"/>
      <c r="E461" s="16"/>
      <c r="F461" s="16"/>
      <c r="G461" s="16"/>
    </row>
    <row r="462" ht="15.75" customHeight="1">
      <c r="A462" s="16"/>
      <c r="B462" s="16"/>
      <c r="C462" s="16"/>
      <c r="D462" s="16"/>
      <c r="E462" s="16"/>
      <c r="F462" s="16"/>
      <c r="G462" s="16"/>
    </row>
    <row r="463" ht="15.75" customHeight="1">
      <c r="A463" s="16"/>
      <c r="B463" s="16"/>
      <c r="C463" s="16"/>
      <c r="D463" s="16"/>
      <c r="E463" s="16"/>
      <c r="F463" s="16"/>
      <c r="G463" s="16"/>
    </row>
    <row r="464" ht="15.75" customHeight="1">
      <c r="A464" s="16"/>
      <c r="B464" s="16"/>
      <c r="C464" s="16"/>
      <c r="D464" s="16"/>
      <c r="E464" s="16"/>
      <c r="F464" s="16"/>
      <c r="G464" s="16"/>
    </row>
    <row r="465" ht="15.75" customHeight="1">
      <c r="A465" s="16"/>
      <c r="B465" s="16"/>
      <c r="C465" s="16"/>
      <c r="D465" s="16"/>
      <c r="E465" s="16"/>
      <c r="F465" s="16"/>
      <c r="G465" s="16"/>
    </row>
    <row r="466" ht="15.75" customHeight="1">
      <c r="A466" s="16"/>
      <c r="B466" s="16"/>
      <c r="C466" s="16"/>
      <c r="D466" s="16"/>
      <c r="E466" s="16"/>
      <c r="F466" s="16"/>
      <c r="G466" s="16"/>
    </row>
    <row r="467" ht="15.75" customHeight="1">
      <c r="A467" s="16"/>
      <c r="B467" s="16"/>
      <c r="C467" s="16"/>
      <c r="D467" s="16"/>
      <c r="E467" s="16"/>
      <c r="F467" s="16"/>
      <c r="G467" s="16"/>
    </row>
    <row r="468" ht="15.75" customHeight="1">
      <c r="A468" s="16"/>
      <c r="B468" s="16"/>
      <c r="C468" s="16"/>
      <c r="D468" s="16"/>
      <c r="E468" s="16"/>
      <c r="F468" s="16"/>
      <c r="G468" s="16"/>
    </row>
    <row r="469" ht="15.75" customHeight="1">
      <c r="A469" s="16"/>
      <c r="B469" s="16"/>
      <c r="C469" s="16"/>
      <c r="D469" s="16"/>
      <c r="E469" s="16"/>
      <c r="F469" s="16"/>
      <c r="G469" s="16"/>
    </row>
    <row r="470" ht="15.75" customHeight="1">
      <c r="A470" s="16"/>
      <c r="B470" s="16"/>
      <c r="C470" s="16"/>
      <c r="D470" s="16"/>
      <c r="E470" s="16"/>
      <c r="F470" s="16"/>
      <c r="G470" s="16"/>
    </row>
    <row r="471" ht="15.75" customHeight="1">
      <c r="A471" s="16"/>
      <c r="B471" s="16"/>
      <c r="C471" s="16"/>
      <c r="D471" s="16"/>
      <c r="E471" s="16"/>
      <c r="F471" s="16"/>
      <c r="G471" s="16"/>
    </row>
    <row r="472" ht="15.75" customHeight="1">
      <c r="A472" s="16"/>
      <c r="B472" s="16"/>
      <c r="C472" s="16"/>
      <c r="D472" s="16"/>
      <c r="E472" s="16"/>
      <c r="F472" s="16"/>
      <c r="G472" s="16"/>
    </row>
    <row r="473" ht="15.75" customHeight="1">
      <c r="A473" s="16"/>
      <c r="B473" s="16"/>
      <c r="C473" s="16"/>
      <c r="D473" s="16"/>
      <c r="E473" s="16"/>
      <c r="F473" s="16"/>
      <c r="G473" s="16"/>
    </row>
    <row r="474" ht="15.75" customHeight="1">
      <c r="A474" s="16"/>
      <c r="B474" s="16"/>
      <c r="C474" s="16"/>
      <c r="D474" s="16"/>
      <c r="E474" s="16"/>
      <c r="F474" s="16"/>
      <c r="G474" s="16"/>
    </row>
    <row r="475" ht="15.75" customHeight="1">
      <c r="A475" s="16"/>
      <c r="B475" s="16"/>
      <c r="C475" s="16"/>
      <c r="D475" s="16"/>
      <c r="E475" s="16"/>
      <c r="F475" s="16"/>
      <c r="G475" s="16"/>
    </row>
    <row r="476" ht="15.75" customHeight="1">
      <c r="A476" s="16"/>
      <c r="B476" s="16"/>
      <c r="C476" s="16"/>
      <c r="D476" s="16"/>
      <c r="E476" s="16"/>
      <c r="F476" s="16"/>
      <c r="G476" s="16"/>
    </row>
    <row r="477" ht="15.75" customHeight="1">
      <c r="A477" s="16"/>
      <c r="B477" s="16"/>
      <c r="C477" s="16"/>
      <c r="D477" s="16"/>
      <c r="E477" s="16"/>
      <c r="F477" s="16"/>
      <c r="G477" s="16"/>
    </row>
    <row r="478" ht="15.75" customHeight="1">
      <c r="A478" s="16"/>
      <c r="B478" s="16"/>
      <c r="C478" s="16"/>
      <c r="D478" s="16"/>
      <c r="E478" s="16"/>
      <c r="F478" s="16"/>
      <c r="G478" s="16"/>
    </row>
    <row r="479" ht="15.75" customHeight="1">
      <c r="A479" s="16"/>
      <c r="B479" s="16"/>
      <c r="C479" s="16"/>
      <c r="D479" s="16"/>
      <c r="E479" s="16"/>
      <c r="F479" s="16"/>
      <c r="G479" s="16"/>
    </row>
    <row r="480" ht="15.75" customHeight="1">
      <c r="A480" s="16"/>
      <c r="B480" s="16"/>
      <c r="C480" s="16"/>
      <c r="D480" s="16"/>
      <c r="E480" s="16"/>
      <c r="F480" s="16"/>
      <c r="G480" s="16"/>
    </row>
    <row r="481" ht="15.75" customHeight="1">
      <c r="A481" s="16"/>
      <c r="B481" s="16"/>
      <c r="C481" s="16"/>
      <c r="D481" s="16"/>
      <c r="E481" s="16"/>
      <c r="F481" s="16"/>
      <c r="G481" s="16"/>
    </row>
    <row r="482" ht="15.75" customHeight="1">
      <c r="A482" s="16"/>
      <c r="B482" s="16"/>
      <c r="C482" s="16"/>
      <c r="D482" s="16"/>
      <c r="E482" s="16"/>
      <c r="F482" s="16"/>
      <c r="G482" s="16"/>
    </row>
    <row r="483" ht="15.75" customHeight="1">
      <c r="A483" s="16"/>
      <c r="B483" s="16"/>
      <c r="C483" s="16"/>
      <c r="D483" s="16"/>
      <c r="E483" s="16"/>
      <c r="F483" s="16"/>
      <c r="G483" s="16"/>
    </row>
    <row r="484" ht="15.75" customHeight="1">
      <c r="A484" s="16"/>
      <c r="B484" s="16"/>
      <c r="C484" s="16"/>
      <c r="D484" s="16"/>
      <c r="E484" s="16"/>
      <c r="F484" s="16"/>
      <c r="G484" s="16"/>
    </row>
    <row r="485" ht="15.75" customHeight="1">
      <c r="A485" s="16"/>
      <c r="B485" s="16"/>
      <c r="C485" s="16"/>
      <c r="D485" s="16"/>
      <c r="E485" s="16"/>
      <c r="F485" s="16"/>
      <c r="G485" s="16"/>
    </row>
    <row r="486" ht="15.75" customHeight="1">
      <c r="A486" s="16"/>
      <c r="B486" s="16"/>
      <c r="C486" s="16"/>
      <c r="D486" s="16"/>
      <c r="E486" s="16"/>
      <c r="F486" s="16"/>
      <c r="G486" s="16"/>
    </row>
    <row r="487" ht="15.75" customHeight="1">
      <c r="A487" s="16"/>
      <c r="B487" s="16"/>
      <c r="C487" s="16"/>
      <c r="D487" s="16"/>
      <c r="E487" s="16"/>
      <c r="F487" s="16"/>
      <c r="G487" s="16"/>
    </row>
    <row r="488" ht="15.75" customHeight="1">
      <c r="A488" s="16"/>
      <c r="B488" s="16"/>
      <c r="C488" s="16"/>
      <c r="D488" s="16"/>
      <c r="E488" s="16"/>
      <c r="F488" s="16"/>
      <c r="G488" s="16"/>
    </row>
    <row r="489" ht="15.75" customHeight="1">
      <c r="A489" s="16"/>
      <c r="B489" s="16"/>
      <c r="C489" s="16"/>
      <c r="D489" s="16"/>
      <c r="E489" s="16"/>
      <c r="F489" s="16"/>
      <c r="G489" s="16"/>
    </row>
    <row r="490" ht="15.75" customHeight="1">
      <c r="A490" s="16"/>
      <c r="B490" s="16"/>
      <c r="C490" s="16"/>
      <c r="D490" s="16"/>
      <c r="E490" s="16"/>
      <c r="F490" s="16"/>
      <c r="G490" s="16"/>
    </row>
    <row r="491" ht="15.75" customHeight="1">
      <c r="A491" s="16"/>
      <c r="B491" s="16"/>
      <c r="C491" s="16"/>
      <c r="D491" s="16"/>
      <c r="E491" s="16"/>
      <c r="F491" s="16"/>
      <c r="G491" s="16"/>
    </row>
    <row r="492" ht="15.75" customHeight="1">
      <c r="A492" s="16"/>
      <c r="B492" s="16"/>
      <c r="C492" s="16"/>
      <c r="D492" s="16"/>
      <c r="E492" s="16"/>
      <c r="F492" s="16"/>
      <c r="G492" s="16"/>
    </row>
    <row r="493" ht="15.75" customHeight="1">
      <c r="A493" s="16"/>
      <c r="B493" s="16"/>
      <c r="C493" s="16"/>
      <c r="D493" s="16"/>
      <c r="E493" s="16"/>
      <c r="F493" s="16"/>
      <c r="G493" s="16"/>
    </row>
    <row r="494" ht="15.75" customHeight="1">
      <c r="A494" s="16"/>
      <c r="B494" s="16"/>
      <c r="C494" s="16"/>
      <c r="D494" s="16"/>
      <c r="E494" s="16"/>
      <c r="F494" s="16"/>
      <c r="G494" s="16"/>
    </row>
    <row r="495" ht="15.75" customHeight="1">
      <c r="A495" s="16"/>
      <c r="B495" s="16"/>
      <c r="C495" s="16"/>
      <c r="D495" s="16"/>
      <c r="E495" s="16"/>
      <c r="F495" s="16"/>
      <c r="G495" s="16"/>
    </row>
    <row r="496" ht="15.75" customHeight="1">
      <c r="A496" s="16"/>
      <c r="B496" s="16"/>
      <c r="C496" s="16"/>
      <c r="D496" s="16"/>
      <c r="E496" s="16"/>
      <c r="F496" s="16"/>
      <c r="G496" s="16"/>
    </row>
    <row r="497" ht="15.75" customHeight="1">
      <c r="A497" s="16"/>
      <c r="B497" s="16"/>
      <c r="C497" s="16"/>
      <c r="D497" s="16"/>
      <c r="E497" s="16"/>
      <c r="F497" s="16"/>
      <c r="G497" s="16"/>
    </row>
    <row r="498" ht="15.75" customHeight="1">
      <c r="A498" s="16"/>
      <c r="B498" s="16"/>
      <c r="C498" s="16"/>
      <c r="D498" s="16"/>
      <c r="E498" s="16"/>
      <c r="F498" s="16"/>
      <c r="G498" s="16"/>
    </row>
    <row r="499" ht="15.75" customHeight="1">
      <c r="A499" s="16"/>
      <c r="B499" s="16"/>
      <c r="C499" s="16"/>
      <c r="D499" s="16"/>
      <c r="E499" s="16"/>
      <c r="F499" s="16"/>
      <c r="G499" s="16"/>
    </row>
    <row r="500" ht="15.75" customHeight="1">
      <c r="A500" s="16"/>
      <c r="B500" s="16"/>
      <c r="C500" s="16"/>
      <c r="D500" s="16"/>
      <c r="E500" s="16"/>
      <c r="F500" s="16"/>
      <c r="G500" s="16"/>
    </row>
    <row r="501" ht="15.75" customHeight="1">
      <c r="A501" s="16"/>
      <c r="B501" s="16"/>
      <c r="C501" s="16"/>
      <c r="D501" s="16"/>
      <c r="E501" s="16"/>
      <c r="F501" s="16"/>
      <c r="G501" s="16"/>
    </row>
    <row r="502" ht="15.75" customHeight="1">
      <c r="A502" s="16"/>
      <c r="B502" s="16"/>
      <c r="C502" s="16"/>
      <c r="D502" s="16"/>
      <c r="E502" s="16"/>
      <c r="F502" s="16"/>
      <c r="G502" s="16"/>
    </row>
    <row r="503" ht="15.75" customHeight="1">
      <c r="A503" s="16"/>
      <c r="B503" s="16"/>
      <c r="C503" s="16"/>
      <c r="D503" s="16"/>
      <c r="E503" s="16"/>
      <c r="F503" s="16"/>
      <c r="G503" s="16"/>
    </row>
    <row r="504" ht="15.75" customHeight="1">
      <c r="A504" s="16"/>
      <c r="B504" s="16"/>
      <c r="C504" s="16"/>
      <c r="D504" s="16"/>
      <c r="E504" s="16"/>
      <c r="F504" s="16"/>
      <c r="G504" s="16"/>
    </row>
    <row r="505" ht="15.75" customHeight="1">
      <c r="A505" s="16"/>
      <c r="B505" s="16"/>
      <c r="C505" s="16"/>
      <c r="D505" s="16"/>
      <c r="E505" s="16"/>
      <c r="F505" s="16"/>
      <c r="G505" s="16"/>
    </row>
    <row r="506" ht="15.75" customHeight="1">
      <c r="A506" s="16"/>
      <c r="B506" s="16"/>
      <c r="C506" s="16"/>
      <c r="D506" s="16"/>
      <c r="E506" s="16"/>
      <c r="F506" s="16"/>
      <c r="G506" s="16"/>
    </row>
    <row r="507" ht="15.75" customHeight="1">
      <c r="A507" s="16"/>
      <c r="B507" s="16"/>
      <c r="C507" s="16"/>
      <c r="D507" s="16"/>
      <c r="E507" s="16"/>
      <c r="F507" s="16"/>
      <c r="G507" s="16"/>
    </row>
    <row r="508" ht="15.75" customHeight="1">
      <c r="A508" s="16"/>
      <c r="B508" s="16"/>
      <c r="C508" s="16"/>
      <c r="D508" s="16"/>
      <c r="E508" s="16"/>
      <c r="F508" s="16"/>
      <c r="G508" s="16"/>
    </row>
    <row r="509" ht="15.75" customHeight="1">
      <c r="A509" s="16"/>
      <c r="B509" s="16"/>
      <c r="C509" s="16"/>
      <c r="D509" s="16"/>
      <c r="E509" s="16"/>
      <c r="F509" s="16"/>
      <c r="G509" s="16"/>
    </row>
    <row r="510" ht="15.75" customHeight="1">
      <c r="A510" s="16"/>
      <c r="B510" s="16"/>
      <c r="C510" s="16"/>
      <c r="D510" s="16"/>
      <c r="E510" s="16"/>
      <c r="F510" s="16"/>
      <c r="G510" s="16"/>
    </row>
    <row r="511" ht="15.75" customHeight="1">
      <c r="A511" s="16"/>
      <c r="B511" s="16"/>
      <c r="C511" s="16"/>
      <c r="D511" s="16"/>
      <c r="E511" s="16"/>
      <c r="F511" s="16"/>
      <c r="G511" s="16"/>
    </row>
    <row r="512" ht="15.75" customHeight="1">
      <c r="A512" s="16"/>
      <c r="B512" s="16"/>
      <c r="C512" s="16"/>
      <c r="D512" s="16"/>
      <c r="E512" s="16"/>
      <c r="F512" s="16"/>
      <c r="G512" s="16"/>
    </row>
    <row r="513" ht="15.75" customHeight="1">
      <c r="A513" s="16"/>
      <c r="B513" s="16"/>
      <c r="C513" s="16"/>
      <c r="D513" s="16"/>
      <c r="E513" s="16"/>
      <c r="F513" s="16"/>
      <c r="G513" s="16"/>
    </row>
    <row r="514" ht="15.75" customHeight="1">
      <c r="A514" s="16"/>
      <c r="B514" s="16"/>
      <c r="C514" s="16"/>
      <c r="D514" s="16"/>
      <c r="E514" s="16"/>
      <c r="F514" s="16"/>
      <c r="G514" s="16"/>
    </row>
    <row r="515" ht="15.75" customHeight="1">
      <c r="A515" s="16"/>
      <c r="B515" s="16"/>
      <c r="C515" s="16"/>
      <c r="D515" s="16"/>
      <c r="E515" s="16"/>
      <c r="F515" s="16"/>
      <c r="G515" s="16"/>
    </row>
    <row r="516" ht="15.75" customHeight="1">
      <c r="A516" s="16"/>
      <c r="B516" s="16"/>
      <c r="C516" s="16"/>
      <c r="D516" s="16"/>
      <c r="E516" s="16"/>
      <c r="F516" s="16"/>
      <c r="G516" s="16"/>
    </row>
    <row r="517" ht="15.75" customHeight="1">
      <c r="A517" s="16"/>
      <c r="B517" s="16"/>
      <c r="C517" s="16"/>
      <c r="D517" s="16"/>
      <c r="E517" s="16"/>
      <c r="F517" s="16"/>
      <c r="G517" s="16"/>
    </row>
    <row r="518" ht="15.75" customHeight="1">
      <c r="A518" s="16"/>
      <c r="B518" s="16"/>
      <c r="C518" s="16"/>
      <c r="D518" s="16"/>
      <c r="E518" s="16"/>
      <c r="F518" s="16"/>
      <c r="G518" s="16"/>
    </row>
    <row r="519" ht="15.75" customHeight="1">
      <c r="A519" s="16"/>
      <c r="B519" s="16"/>
      <c r="C519" s="16"/>
      <c r="D519" s="16"/>
      <c r="E519" s="16"/>
      <c r="F519" s="16"/>
      <c r="G519" s="16"/>
    </row>
    <row r="520" ht="15.75" customHeight="1">
      <c r="A520" s="16"/>
      <c r="B520" s="16"/>
      <c r="C520" s="16"/>
      <c r="D520" s="16"/>
      <c r="E520" s="16"/>
      <c r="F520" s="16"/>
      <c r="G520" s="16"/>
    </row>
    <row r="521" ht="15.75" customHeight="1">
      <c r="A521" s="16"/>
      <c r="B521" s="16"/>
      <c r="C521" s="16"/>
      <c r="D521" s="16"/>
      <c r="E521" s="16"/>
      <c r="F521" s="16"/>
      <c r="G521" s="16"/>
    </row>
    <row r="522" ht="15.75" customHeight="1">
      <c r="A522" s="16"/>
      <c r="B522" s="16"/>
      <c r="C522" s="16"/>
      <c r="D522" s="16"/>
      <c r="E522" s="16"/>
      <c r="F522" s="16"/>
      <c r="G522" s="16"/>
    </row>
    <row r="523" ht="15.75" customHeight="1">
      <c r="A523" s="16"/>
      <c r="B523" s="16"/>
      <c r="C523" s="16"/>
      <c r="D523" s="16"/>
      <c r="E523" s="16"/>
      <c r="F523" s="16"/>
      <c r="G523" s="16"/>
    </row>
    <row r="524" ht="15.75" customHeight="1">
      <c r="A524" s="16"/>
      <c r="B524" s="16"/>
      <c r="C524" s="16"/>
      <c r="D524" s="16"/>
      <c r="E524" s="16"/>
      <c r="F524" s="16"/>
      <c r="G524" s="16"/>
    </row>
    <row r="525" ht="15.75" customHeight="1">
      <c r="A525" s="16"/>
      <c r="B525" s="16"/>
      <c r="C525" s="16"/>
      <c r="D525" s="16"/>
      <c r="E525" s="16"/>
      <c r="F525" s="16"/>
      <c r="G525" s="16"/>
    </row>
    <row r="526" ht="15.75" customHeight="1">
      <c r="A526" s="16"/>
      <c r="B526" s="16"/>
      <c r="C526" s="16"/>
      <c r="D526" s="16"/>
      <c r="E526" s="16"/>
      <c r="F526" s="16"/>
      <c r="G526" s="16"/>
    </row>
    <row r="527" ht="15.75" customHeight="1">
      <c r="A527" s="16"/>
      <c r="B527" s="16"/>
      <c r="C527" s="16"/>
      <c r="D527" s="16"/>
      <c r="E527" s="16"/>
      <c r="F527" s="16"/>
      <c r="G527" s="16"/>
    </row>
    <row r="528" ht="15.75" customHeight="1">
      <c r="A528" s="16"/>
      <c r="B528" s="16"/>
      <c r="C528" s="16"/>
      <c r="D528" s="16"/>
      <c r="E528" s="16"/>
      <c r="F528" s="16"/>
      <c r="G528" s="16"/>
    </row>
    <row r="529" ht="15.75" customHeight="1">
      <c r="A529" s="16"/>
      <c r="B529" s="16"/>
      <c r="C529" s="16"/>
      <c r="D529" s="16"/>
      <c r="E529" s="16"/>
      <c r="F529" s="16"/>
      <c r="G529" s="16"/>
    </row>
    <row r="530" ht="15.75" customHeight="1">
      <c r="A530" s="16"/>
      <c r="B530" s="16"/>
      <c r="C530" s="16"/>
      <c r="D530" s="16"/>
      <c r="E530" s="16"/>
      <c r="F530" s="16"/>
      <c r="G530" s="16"/>
    </row>
    <row r="531" ht="15.75" customHeight="1">
      <c r="A531" s="16"/>
      <c r="B531" s="16"/>
      <c r="C531" s="16"/>
      <c r="D531" s="16"/>
      <c r="E531" s="16"/>
      <c r="F531" s="16"/>
      <c r="G531" s="16"/>
    </row>
    <row r="532" ht="15.75" customHeight="1">
      <c r="A532" s="16"/>
      <c r="B532" s="16"/>
      <c r="C532" s="16"/>
      <c r="D532" s="16"/>
      <c r="E532" s="16"/>
      <c r="F532" s="16"/>
      <c r="G532" s="16"/>
    </row>
    <row r="533" ht="15.75" customHeight="1">
      <c r="A533" s="16"/>
      <c r="B533" s="16"/>
      <c r="C533" s="16"/>
      <c r="D533" s="16"/>
      <c r="E533" s="16"/>
      <c r="F533" s="16"/>
      <c r="G533" s="16"/>
    </row>
    <row r="534" ht="15.75" customHeight="1">
      <c r="A534" s="16"/>
      <c r="B534" s="16"/>
      <c r="C534" s="16"/>
      <c r="D534" s="16"/>
      <c r="E534" s="16"/>
      <c r="F534" s="16"/>
      <c r="G534" s="16"/>
    </row>
    <row r="535" ht="15.75" customHeight="1">
      <c r="A535" s="16"/>
      <c r="B535" s="16"/>
      <c r="C535" s="16"/>
      <c r="D535" s="16"/>
      <c r="E535" s="16"/>
      <c r="F535" s="16"/>
      <c r="G535" s="16"/>
    </row>
    <row r="536" ht="15.75" customHeight="1">
      <c r="A536" s="16"/>
      <c r="B536" s="16"/>
      <c r="C536" s="16"/>
      <c r="D536" s="16"/>
      <c r="E536" s="16"/>
      <c r="F536" s="16"/>
      <c r="G536" s="16"/>
    </row>
    <row r="537" ht="15.75" customHeight="1">
      <c r="A537" s="16"/>
      <c r="B537" s="16"/>
      <c r="C537" s="16"/>
      <c r="D537" s="16"/>
      <c r="E537" s="16"/>
      <c r="F537" s="16"/>
      <c r="G537" s="16"/>
    </row>
    <row r="538" ht="15.75" customHeight="1">
      <c r="A538" s="16"/>
      <c r="B538" s="16"/>
      <c r="C538" s="16"/>
      <c r="D538" s="16"/>
      <c r="E538" s="16"/>
      <c r="F538" s="16"/>
      <c r="G538" s="16"/>
    </row>
    <row r="539" ht="15.75" customHeight="1">
      <c r="A539" s="16"/>
      <c r="B539" s="16"/>
      <c r="C539" s="16"/>
      <c r="D539" s="16"/>
      <c r="E539" s="16"/>
      <c r="F539" s="16"/>
      <c r="G539" s="16"/>
    </row>
    <row r="540" ht="15.75" customHeight="1">
      <c r="A540" s="16"/>
      <c r="B540" s="16"/>
      <c r="C540" s="16"/>
      <c r="D540" s="16"/>
      <c r="E540" s="16"/>
      <c r="F540" s="16"/>
      <c r="G540" s="16"/>
    </row>
    <row r="541" ht="15.75" customHeight="1">
      <c r="A541" s="16"/>
      <c r="B541" s="16"/>
      <c r="C541" s="16"/>
      <c r="D541" s="16"/>
      <c r="E541" s="16"/>
      <c r="F541" s="16"/>
      <c r="G541" s="16"/>
    </row>
    <row r="542" ht="15.75" customHeight="1">
      <c r="A542" s="16"/>
      <c r="B542" s="16"/>
      <c r="C542" s="16"/>
      <c r="D542" s="16"/>
      <c r="E542" s="16"/>
      <c r="F542" s="16"/>
      <c r="G542" s="16"/>
    </row>
    <row r="543" ht="15.75" customHeight="1">
      <c r="A543" s="16"/>
      <c r="B543" s="16"/>
      <c r="C543" s="16"/>
      <c r="D543" s="16"/>
      <c r="E543" s="16"/>
      <c r="F543" s="16"/>
      <c r="G543" s="16"/>
    </row>
    <row r="544" ht="15.75" customHeight="1">
      <c r="A544" s="16"/>
      <c r="B544" s="16"/>
      <c r="C544" s="16"/>
      <c r="D544" s="16"/>
      <c r="E544" s="16"/>
      <c r="F544" s="16"/>
      <c r="G544" s="16"/>
    </row>
    <row r="545" ht="15.75" customHeight="1">
      <c r="A545" s="16"/>
      <c r="B545" s="16"/>
      <c r="C545" s="16"/>
      <c r="D545" s="16"/>
      <c r="E545" s="16"/>
      <c r="F545" s="16"/>
      <c r="G545" s="16"/>
    </row>
    <row r="546" ht="15.75" customHeight="1">
      <c r="A546" s="16"/>
      <c r="B546" s="16"/>
      <c r="C546" s="16"/>
      <c r="D546" s="16"/>
      <c r="E546" s="16"/>
      <c r="F546" s="16"/>
      <c r="G546" s="16"/>
    </row>
    <row r="547" ht="15.75" customHeight="1">
      <c r="A547" s="16"/>
      <c r="B547" s="16"/>
      <c r="C547" s="16"/>
      <c r="D547" s="16"/>
      <c r="E547" s="16"/>
      <c r="F547" s="16"/>
      <c r="G547" s="16"/>
    </row>
    <row r="548" ht="15.75" customHeight="1">
      <c r="A548" s="16"/>
      <c r="B548" s="16"/>
      <c r="C548" s="16"/>
      <c r="D548" s="16"/>
      <c r="E548" s="16"/>
      <c r="F548" s="16"/>
      <c r="G548" s="16"/>
    </row>
    <row r="549" ht="15.75" customHeight="1">
      <c r="A549" s="16"/>
      <c r="B549" s="16"/>
      <c r="C549" s="16"/>
      <c r="D549" s="16"/>
      <c r="E549" s="16"/>
      <c r="F549" s="16"/>
      <c r="G549" s="16"/>
    </row>
    <row r="550" ht="15.75" customHeight="1">
      <c r="A550" s="16"/>
      <c r="B550" s="16"/>
      <c r="C550" s="16"/>
      <c r="D550" s="16"/>
      <c r="E550" s="16"/>
      <c r="F550" s="16"/>
      <c r="G550" s="16"/>
    </row>
    <row r="551" ht="15.75" customHeight="1">
      <c r="A551" s="16"/>
      <c r="B551" s="16"/>
      <c r="C551" s="16"/>
      <c r="D551" s="16"/>
      <c r="E551" s="16"/>
      <c r="F551" s="16"/>
      <c r="G551" s="16"/>
    </row>
    <row r="552" ht="15.75" customHeight="1">
      <c r="A552" s="16"/>
      <c r="B552" s="16"/>
      <c r="C552" s="16"/>
      <c r="D552" s="16"/>
      <c r="E552" s="16"/>
      <c r="F552" s="16"/>
      <c r="G552" s="16"/>
    </row>
    <row r="553" ht="15.75" customHeight="1">
      <c r="A553" s="16"/>
      <c r="B553" s="16"/>
      <c r="C553" s="16"/>
      <c r="D553" s="16"/>
      <c r="E553" s="16"/>
      <c r="F553" s="16"/>
      <c r="G553" s="16"/>
    </row>
    <row r="554" ht="15.75" customHeight="1">
      <c r="A554" s="16"/>
      <c r="B554" s="16"/>
      <c r="C554" s="16"/>
      <c r="D554" s="16"/>
      <c r="E554" s="16"/>
      <c r="F554" s="16"/>
      <c r="G554" s="16"/>
    </row>
    <row r="555" ht="15.75" customHeight="1">
      <c r="A555" s="16"/>
      <c r="B555" s="16"/>
      <c r="C555" s="16"/>
      <c r="D555" s="16"/>
      <c r="E555" s="16"/>
      <c r="F555" s="16"/>
      <c r="G555" s="16"/>
    </row>
    <row r="556" ht="15.75" customHeight="1">
      <c r="A556" s="16"/>
      <c r="B556" s="16"/>
      <c r="C556" s="16"/>
      <c r="D556" s="16"/>
      <c r="E556" s="16"/>
      <c r="F556" s="16"/>
      <c r="G556" s="16"/>
    </row>
    <row r="557" ht="15.75" customHeight="1">
      <c r="A557" s="16"/>
      <c r="B557" s="16"/>
      <c r="C557" s="16"/>
      <c r="D557" s="16"/>
      <c r="E557" s="16"/>
      <c r="F557" s="16"/>
      <c r="G557" s="16"/>
    </row>
    <row r="558" ht="15.75" customHeight="1">
      <c r="A558" s="16"/>
      <c r="B558" s="16"/>
      <c r="C558" s="16"/>
      <c r="D558" s="16"/>
      <c r="E558" s="16"/>
      <c r="F558" s="16"/>
      <c r="G558" s="16"/>
    </row>
    <row r="559" ht="15.75" customHeight="1">
      <c r="A559" s="16"/>
      <c r="B559" s="16"/>
      <c r="C559" s="16"/>
      <c r="D559" s="16"/>
      <c r="E559" s="16"/>
      <c r="F559" s="16"/>
      <c r="G559" s="16"/>
    </row>
    <row r="560" ht="15.75" customHeight="1">
      <c r="A560" s="16"/>
      <c r="B560" s="16"/>
      <c r="C560" s="16"/>
      <c r="D560" s="16"/>
      <c r="E560" s="16"/>
      <c r="F560" s="16"/>
      <c r="G560" s="16"/>
    </row>
    <row r="561" ht="15.75" customHeight="1">
      <c r="A561" s="16"/>
      <c r="B561" s="16"/>
      <c r="C561" s="16"/>
      <c r="D561" s="16"/>
      <c r="E561" s="16"/>
      <c r="F561" s="16"/>
      <c r="G561" s="16"/>
    </row>
    <row r="562" ht="15.75" customHeight="1">
      <c r="A562" s="16"/>
      <c r="B562" s="16"/>
      <c r="C562" s="16"/>
      <c r="D562" s="16"/>
      <c r="E562" s="16"/>
      <c r="F562" s="16"/>
      <c r="G562" s="16"/>
    </row>
    <row r="563" ht="15.75" customHeight="1">
      <c r="A563" s="16"/>
      <c r="B563" s="16"/>
      <c r="C563" s="16"/>
      <c r="D563" s="16"/>
      <c r="E563" s="16"/>
      <c r="F563" s="16"/>
      <c r="G563" s="16"/>
    </row>
    <row r="564" ht="15.75" customHeight="1">
      <c r="A564" s="16"/>
      <c r="B564" s="16"/>
      <c r="C564" s="16"/>
      <c r="D564" s="16"/>
      <c r="E564" s="16"/>
      <c r="F564" s="16"/>
      <c r="G564" s="16"/>
    </row>
    <row r="565" ht="15.75" customHeight="1">
      <c r="A565" s="16"/>
      <c r="B565" s="16"/>
      <c r="C565" s="16"/>
      <c r="D565" s="16"/>
      <c r="E565" s="16"/>
      <c r="F565" s="16"/>
      <c r="G565" s="16"/>
    </row>
    <row r="566" ht="15.75" customHeight="1">
      <c r="A566" s="16"/>
      <c r="B566" s="16"/>
      <c r="C566" s="16"/>
      <c r="D566" s="16"/>
      <c r="E566" s="16"/>
      <c r="F566" s="16"/>
      <c r="G566" s="16"/>
    </row>
    <row r="567" ht="15.75" customHeight="1">
      <c r="A567" s="16"/>
      <c r="B567" s="16"/>
      <c r="C567" s="16"/>
      <c r="D567" s="16"/>
      <c r="E567" s="16"/>
      <c r="F567" s="16"/>
      <c r="G567" s="16"/>
    </row>
    <row r="568" ht="15.75" customHeight="1">
      <c r="A568" s="16"/>
      <c r="B568" s="16"/>
      <c r="C568" s="16"/>
      <c r="D568" s="16"/>
      <c r="E568" s="16"/>
      <c r="F568" s="16"/>
      <c r="G568" s="16"/>
    </row>
    <row r="569" ht="15.75" customHeight="1">
      <c r="A569" s="16"/>
      <c r="B569" s="16"/>
      <c r="C569" s="16"/>
      <c r="D569" s="16"/>
      <c r="E569" s="16"/>
      <c r="F569" s="16"/>
      <c r="G569" s="16"/>
    </row>
    <row r="570" ht="15.75" customHeight="1">
      <c r="A570" s="16"/>
      <c r="B570" s="16"/>
      <c r="C570" s="16"/>
      <c r="D570" s="16"/>
      <c r="E570" s="16"/>
      <c r="F570" s="16"/>
      <c r="G570" s="16"/>
    </row>
    <row r="571" ht="15.75" customHeight="1">
      <c r="A571" s="16"/>
      <c r="B571" s="16"/>
      <c r="C571" s="16"/>
      <c r="D571" s="16"/>
      <c r="E571" s="16"/>
      <c r="F571" s="16"/>
      <c r="G571" s="16"/>
    </row>
    <row r="572" ht="15.75" customHeight="1">
      <c r="A572" s="16"/>
      <c r="B572" s="16"/>
      <c r="C572" s="16"/>
      <c r="D572" s="16"/>
      <c r="E572" s="16"/>
      <c r="F572" s="16"/>
      <c r="G572" s="16"/>
    </row>
    <row r="573" ht="15.75" customHeight="1">
      <c r="A573" s="16"/>
      <c r="B573" s="16"/>
      <c r="C573" s="16"/>
      <c r="D573" s="16"/>
      <c r="E573" s="16"/>
      <c r="F573" s="16"/>
      <c r="G573" s="16"/>
    </row>
    <row r="574" ht="15.75" customHeight="1">
      <c r="A574" s="16"/>
      <c r="B574" s="16"/>
      <c r="C574" s="16"/>
      <c r="D574" s="16"/>
      <c r="E574" s="16"/>
      <c r="F574" s="16"/>
      <c r="G574" s="16"/>
    </row>
    <row r="575" ht="15.75" customHeight="1">
      <c r="A575" s="16"/>
      <c r="B575" s="16"/>
      <c r="C575" s="16"/>
      <c r="D575" s="16"/>
      <c r="E575" s="16"/>
      <c r="F575" s="16"/>
      <c r="G575" s="16"/>
    </row>
    <row r="576" ht="15.75" customHeight="1">
      <c r="A576" s="16"/>
      <c r="B576" s="16"/>
      <c r="C576" s="16"/>
      <c r="D576" s="16"/>
      <c r="E576" s="16"/>
      <c r="F576" s="16"/>
      <c r="G576" s="16"/>
    </row>
    <row r="577" ht="15.75" customHeight="1">
      <c r="A577" s="16"/>
      <c r="B577" s="16"/>
      <c r="C577" s="16"/>
      <c r="D577" s="16"/>
      <c r="E577" s="16"/>
      <c r="F577" s="16"/>
      <c r="G577" s="16"/>
    </row>
    <row r="578" ht="15.75" customHeight="1">
      <c r="A578" s="16"/>
      <c r="B578" s="16"/>
      <c r="C578" s="16"/>
      <c r="D578" s="16"/>
      <c r="E578" s="16"/>
      <c r="F578" s="16"/>
      <c r="G578" s="16"/>
    </row>
    <row r="579" ht="15.75" customHeight="1">
      <c r="A579" s="16"/>
      <c r="B579" s="16"/>
      <c r="C579" s="16"/>
      <c r="D579" s="16"/>
      <c r="E579" s="16"/>
      <c r="F579" s="16"/>
      <c r="G579" s="16"/>
    </row>
    <row r="580" ht="15.75" customHeight="1">
      <c r="A580" s="16"/>
      <c r="B580" s="16"/>
      <c r="C580" s="16"/>
      <c r="D580" s="16"/>
      <c r="E580" s="16"/>
      <c r="F580" s="16"/>
      <c r="G580" s="16"/>
    </row>
    <row r="581" ht="15.75" customHeight="1">
      <c r="A581" s="16"/>
      <c r="B581" s="16"/>
      <c r="C581" s="16"/>
      <c r="D581" s="16"/>
      <c r="E581" s="16"/>
      <c r="F581" s="16"/>
      <c r="G581" s="16"/>
    </row>
    <row r="582" ht="15.75" customHeight="1">
      <c r="A582" s="16"/>
      <c r="B582" s="16"/>
      <c r="C582" s="16"/>
      <c r="D582" s="16"/>
      <c r="E582" s="16"/>
      <c r="F582" s="16"/>
      <c r="G582" s="16"/>
    </row>
    <row r="583" ht="15.75" customHeight="1">
      <c r="A583" s="16"/>
      <c r="B583" s="16"/>
      <c r="C583" s="16"/>
      <c r="D583" s="16"/>
      <c r="E583" s="16"/>
      <c r="F583" s="16"/>
      <c r="G583" s="16"/>
    </row>
    <row r="584" ht="15.75" customHeight="1">
      <c r="A584" s="16"/>
      <c r="B584" s="16"/>
      <c r="C584" s="16"/>
      <c r="D584" s="16"/>
      <c r="E584" s="16"/>
      <c r="F584" s="16"/>
      <c r="G584" s="16"/>
    </row>
    <row r="585" ht="15.75" customHeight="1">
      <c r="A585" s="16"/>
      <c r="B585" s="16"/>
      <c r="C585" s="16"/>
      <c r="D585" s="16"/>
      <c r="E585" s="16"/>
      <c r="F585" s="16"/>
      <c r="G585" s="16"/>
    </row>
    <row r="586" ht="15.75" customHeight="1">
      <c r="A586" s="16"/>
      <c r="B586" s="16"/>
      <c r="C586" s="16"/>
      <c r="D586" s="16"/>
      <c r="E586" s="16"/>
      <c r="F586" s="16"/>
      <c r="G586" s="16"/>
    </row>
    <row r="587" ht="15.75" customHeight="1">
      <c r="A587" s="16"/>
      <c r="B587" s="16"/>
      <c r="C587" s="16"/>
      <c r="D587" s="16"/>
      <c r="E587" s="16"/>
      <c r="F587" s="16"/>
      <c r="G587" s="16"/>
    </row>
    <row r="588" ht="15.75" customHeight="1">
      <c r="A588" s="16"/>
      <c r="B588" s="16"/>
      <c r="C588" s="16"/>
      <c r="D588" s="16"/>
      <c r="E588" s="16"/>
      <c r="F588" s="16"/>
      <c r="G588" s="16"/>
    </row>
    <row r="589" ht="15.75" customHeight="1">
      <c r="A589" s="16"/>
      <c r="B589" s="16"/>
      <c r="C589" s="16"/>
      <c r="D589" s="16"/>
      <c r="E589" s="16"/>
      <c r="F589" s="16"/>
      <c r="G589" s="16"/>
    </row>
    <row r="590" ht="15.75" customHeight="1">
      <c r="A590" s="16"/>
      <c r="B590" s="16"/>
      <c r="C590" s="16"/>
      <c r="D590" s="16"/>
      <c r="E590" s="16"/>
      <c r="F590" s="16"/>
      <c r="G590" s="16"/>
    </row>
    <row r="591" ht="15.75" customHeight="1">
      <c r="A591" s="16"/>
      <c r="B591" s="16"/>
      <c r="C591" s="16"/>
      <c r="D591" s="16"/>
      <c r="E591" s="16"/>
      <c r="F591" s="16"/>
      <c r="G591" s="16"/>
    </row>
    <row r="592" ht="15.75" customHeight="1">
      <c r="A592" s="16"/>
      <c r="B592" s="16"/>
      <c r="C592" s="16"/>
      <c r="D592" s="16"/>
      <c r="E592" s="16"/>
      <c r="F592" s="16"/>
      <c r="G592" s="16"/>
    </row>
    <row r="593" ht="15.75" customHeight="1">
      <c r="A593" s="16"/>
      <c r="B593" s="16"/>
      <c r="C593" s="16"/>
      <c r="D593" s="16"/>
      <c r="E593" s="16"/>
      <c r="F593" s="16"/>
      <c r="G593" s="16"/>
    </row>
    <row r="594" ht="15.75" customHeight="1">
      <c r="A594" s="16"/>
      <c r="B594" s="16"/>
      <c r="C594" s="16"/>
      <c r="D594" s="16"/>
      <c r="E594" s="16"/>
      <c r="F594" s="16"/>
      <c r="G594" s="16"/>
    </row>
    <row r="595" ht="15.75" customHeight="1">
      <c r="A595" s="16"/>
      <c r="B595" s="16"/>
      <c r="C595" s="16"/>
      <c r="D595" s="16"/>
      <c r="E595" s="16"/>
      <c r="F595" s="16"/>
      <c r="G595" s="16"/>
    </row>
    <row r="596" ht="15.75" customHeight="1">
      <c r="A596" s="16"/>
      <c r="B596" s="16"/>
      <c r="C596" s="16"/>
      <c r="D596" s="16"/>
      <c r="E596" s="16"/>
      <c r="F596" s="16"/>
      <c r="G596" s="16"/>
    </row>
    <row r="597" ht="15.75" customHeight="1">
      <c r="A597" s="16"/>
      <c r="B597" s="16"/>
      <c r="C597" s="16"/>
      <c r="D597" s="16"/>
      <c r="E597" s="16"/>
      <c r="F597" s="16"/>
      <c r="G597" s="16"/>
    </row>
    <row r="598" ht="15.75" customHeight="1">
      <c r="A598" s="16"/>
      <c r="B598" s="16"/>
      <c r="C598" s="16"/>
      <c r="D598" s="16"/>
      <c r="E598" s="16"/>
      <c r="F598" s="16"/>
      <c r="G598" s="16"/>
    </row>
    <row r="599" ht="15.75" customHeight="1">
      <c r="A599" s="16"/>
      <c r="B599" s="16"/>
      <c r="C599" s="16"/>
      <c r="D599" s="16"/>
      <c r="E599" s="16"/>
      <c r="F599" s="16"/>
      <c r="G599" s="16"/>
    </row>
    <row r="600" ht="15.75" customHeight="1">
      <c r="A600" s="16"/>
      <c r="B600" s="16"/>
      <c r="C600" s="16"/>
      <c r="D600" s="16"/>
      <c r="E600" s="16"/>
      <c r="F600" s="16"/>
      <c r="G600" s="16"/>
    </row>
    <row r="601" ht="15.75" customHeight="1">
      <c r="A601" s="16"/>
      <c r="B601" s="16"/>
      <c r="C601" s="16"/>
      <c r="D601" s="16"/>
      <c r="E601" s="16"/>
      <c r="F601" s="16"/>
      <c r="G601" s="16"/>
    </row>
    <row r="602" ht="15.75" customHeight="1">
      <c r="A602" s="16"/>
      <c r="B602" s="16"/>
      <c r="C602" s="16"/>
      <c r="D602" s="16"/>
      <c r="E602" s="16"/>
      <c r="F602" s="16"/>
      <c r="G602" s="16"/>
    </row>
    <row r="603" ht="15.75" customHeight="1">
      <c r="A603" s="16"/>
      <c r="B603" s="16"/>
      <c r="C603" s="16"/>
      <c r="D603" s="16"/>
      <c r="E603" s="16"/>
      <c r="F603" s="16"/>
      <c r="G603" s="16"/>
    </row>
    <row r="604" ht="15.75" customHeight="1">
      <c r="A604" s="16"/>
      <c r="B604" s="16"/>
      <c r="C604" s="16"/>
      <c r="D604" s="16"/>
      <c r="E604" s="16"/>
      <c r="F604" s="16"/>
      <c r="G604" s="16"/>
    </row>
    <row r="605" ht="15.75" customHeight="1">
      <c r="A605" s="16"/>
      <c r="B605" s="16"/>
      <c r="C605" s="16"/>
      <c r="D605" s="16"/>
      <c r="E605" s="16"/>
      <c r="F605" s="16"/>
      <c r="G605" s="16"/>
    </row>
    <row r="606" ht="15.75" customHeight="1">
      <c r="A606" s="16"/>
      <c r="B606" s="16"/>
      <c r="C606" s="16"/>
      <c r="D606" s="16"/>
      <c r="E606" s="16"/>
      <c r="F606" s="16"/>
      <c r="G606" s="16"/>
    </row>
    <row r="607" ht="15.75" customHeight="1">
      <c r="A607" s="16"/>
      <c r="B607" s="16"/>
      <c r="C607" s="16"/>
      <c r="D607" s="16"/>
      <c r="E607" s="16"/>
      <c r="F607" s="16"/>
      <c r="G607" s="16"/>
    </row>
    <row r="608" ht="15.75" customHeight="1">
      <c r="A608" s="16"/>
      <c r="B608" s="16"/>
      <c r="C608" s="16"/>
      <c r="D608" s="16"/>
      <c r="E608" s="16"/>
      <c r="F608" s="16"/>
      <c r="G608" s="16"/>
    </row>
    <row r="609" ht="15.75" customHeight="1">
      <c r="A609" s="16"/>
      <c r="B609" s="16"/>
      <c r="C609" s="16"/>
      <c r="D609" s="16"/>
      <c r="E609" s="16"/>
      <c r="F609" s="16"/>
      <c r="G609" s="16"/>
    </row>
    <row r="610" ht="15.75" customHeight="1">
      <c r="A610" s="16"/>
      <c r="B610" s="16"/>
      <c r="C610" s="16"/>
      <c r="D610" s="16"/>
      <c r="E610" s="16"/>
      <c r="F610" s="16"/>
      <c r="G610" s="16"/>
    </row>
    <row r="611" ht="15.75" customHeight="1">
      <c r="A611" s="16"/>
      <c r="B611" s="16"/>
      <c r="C611" s="16"/>
      <c r="D611" s="16"/>
      <c r="E611" s="16"/>
      <c r="F611" s="16"/>
      <c r="G611" s="16"/>
    </row>
    <row r="612" ht="15.75" customHeight="1">
      <c r="A612" s="16"/>
      <c r="B612" s="16"/>
      <c r="C612" s="16"/>
      <c r="D612" s="16"/>
      <c r="E612" s="16"/>
      <c r="F612" s="16"/>
      <c r="G612" s="16"/>
    </row>
    <row r="613" ht="15.75" customHeight="1">
      <c r="A613" s="16"/>
      <c r="B613" s="16"/>
      <c r="C613" s="16"/>
      <c r="D613" s="16"/>
      <c r="E613" s="16"/>
      <c r="F613" s="16"/>
      <c r="G613" s="16"/>
    </row>
    <row r="614" ht="15.75" customHeight="1">
      <c r="A614" s="16"/>
      <c r="B614" s="16"/>
      <c r="C614" s="16"/>
      <c r="D614" s="16"/>
      <c r="E614" s="16"/>
      <c r="F614" s="16"/>
      <c r="G614" s="16"/>
    </row>
    <row r="615" ht="15.75" customHeight="1">
      <c r="A615" s="16"/>
      <c r="B615" s="16"/>
      <c r="C615" s="16"/>
      <c r="D615" s="16"/>
      <c r="E615" s="16"/>
      <c r="F615" s="16"/>
      <c r="G615" s="16"/>
    </row>
    <row r="616" ht="15.75" customHeight="1">
      <c r="A616" s="16"/>
      <c r="B616" s="16"/>
      <c r="C616" s="16"/>
      <c r="D616" s="16"/>
      <c r="E616" s="16"/>
      <c r="F616" s="16"/>
      <c r="G616" s="16"/>
    </row>
    <row r="617" ht="15.75" customHeight="1">
      <c r="A617" s="16"/>
      <c r="B617" s="16"/>
      <c r="C617" s="16"/>
      <c r="D617" s="16"/>
      <c r="E617" s="16"/>
      <c r="F617" s="16"/>
      <c r="G617" s="16"/>
    </row>
    <row r="618" ht="15.75" customHeight="1">
      <c r="A618" s="16"/>
      <c r="B618" s="16"/>
      <c r="C618" s="16"/>
      <c r="D618" s="16"/>
      <c r="E618" s="16"/>
      <c r="F618" s="16"/>
      <c r="G618" s="16"/>
    </row>
    <row r="619" ht="15.75" customHeight="1">
      <c r="A619" s="16"/>
      <c r="B619" s="16"/>
      <c r="C619" s="16"/>
      <c r="D619" s="16"/>
      <c r="E619" s="16"/>
      <c r="F619" s="16"/>
      <c r="G619" s="16"/>
    </row>
    <row r="620" ht="15.75" customHeight="1">
      <c r="A620" s="16"/>
      <c r="B620" s="16"/>
      <c r="C620" s="16"/>
      <c r="D620" s="16"/>
      <c r="E620" s="16"/>
      <c r="F620" s="16"/>
      <c r="G620" s="16"/>
    </row>
    <row r="621" ht="15.75" customHeight="1">
      <c r="A621" s="16"/>
      <c r="B621" s="16"/>
      <c r="C621" s="16"/>
      <c r="D621" s="16"/>
      <c r="E621" s="16"/>
      <c r="F621" s="16"/>
      <c r="G621" s="16"/>
    </row>
    <row r="622" ht="15.75" customHeight="1">
      <c r="A622" s="16"/>
      <c r="B622" s="16"/>
      <c r="C622" s="16"/>
      <c r="D622" s="16"/>
      <c r="E622" s="16"/>
      <c r="F622" s="16"/>
      <c r="G622" s="16"/>
    </row>
    <row r="623" ht="15.75" customHeight="1">
      <c r="A623" s="16"/>
      <c r="B623" s="16"/>
      <c r="C623" s="16"/>
      <c r="D623" s="16"/>
      <c r="E623" s="16"/>
      <c r="F623" s="16"/>
      <c r="G623" s="16"/>
    </row>
    <row r="624" ht="15.75" customHeight="1">
      <c r="A624" s="16"/>
      <c r="B624" s="16"/>
      <c r="C624" s="16"/>
      <c r="D624" s="16"/>
      <c r="E624" s="16"/>
      <c r="F624" s="16"/>
      <c r="G624" s="16"/>
    </row>
    <row r="625" ht="15.75" customHeight="1">
      <c r="A625" s="16"/>
      <c r="B625" s="16"/>
      <c r="C625" s="16"/>
      <c r="D625" s="16"/>
      <c r="E625" s="16"/>
      <c r="F625" s="16"/>
      <c r="G625" s="16"/>
    </row>
    <row r="626" ht="15.75" customHeight="1">
      <c r="A626" s="16"/>
      <c r="B626" s="16"/>
      <c r="C626" s="16"/>
      <c r="D626" s="16"/>
      <c r="E626" s="16"/>
      <c r="F626" s="16"/>
      <c r="G626" s="16"/>
    </row>
    <row r="627" ht="15.75" customHeight="1">
      <c r="A627" s="16"/>
      <c r="B627" s="16"/>
      <c r="C627" s="16"/>
      <c r="D627" s="16"/>
      <c r="E627" s="16"/>
      <c r="F627" s="16"/>
      <c r="G627" s="16"/>
    </row>
    <row r="628" ht="15.75" customHeight="1">
      <c r="A628" s="16"/>
      <c r="B628" s="16"/>
      <c r="C628" s="16"/>
      <c r="D628" s="16"/>
      <c r="E628" s="16"/>
      <c r="F628" s="16"/>
      <c r="G628" s="16"/>
    </row>
    <row r="629" ht="15.75" customHeight="1">
      <c r="A629" s="16"/>
      <c r="B629" s="16"/>
      <c r="C629" s="16"/>
      <c r="D629" s="16"/>
      <c r="E629" s="16"/>
      <c r="F629" s="16"/>
      <c r="G629" s="16"/>
    </row>
    <row r="630" ht="15.75" customHeight="1">
      <c r="A630" s="16"/>
      <c r="B630" s="16"/>
      <c r="C630" s="16"/>
      <c r="D630" s="16"/>
      <c r="E630" s="16"/>
      <c r="F630" s="16"/>
      <c r="G630" s="16"/>
    </row>
    <row r="631" ht="15.75" customHeight="1">
      <c r="A631" s="16"/>
      <c r="B631" s="16"/>
      <c r="C631" s="16"/>
      <c r="D631" s="16"/>
      <c r="E631" s="16"/>
      <c r="F631" s="16"/>
      <c r="G631" s="16"/>
    </row>
    <row r="632" ht="15.75" customHeight="1">
      <c r="A632" s="16"/>
      <c r="B632" s="16"/>
      <c r="C632" s="16"/>
      <c r="D632" s="16"/>
      <c r="E632" s="16"/>
      <c r="F632" s="16"/>
      <c r="G632" s="16"/>
    </row>
    <row r="633" ht="15.75" customHeight="1">
      <c r="A633" s="16"/>
      <c r="B633" s="16"/>
      <c r="C633" s="16"/>
      <c r="D633" s="16"/>
      <c r="E633" s="16"/>
      <c r="F633" s="16"/>
      <c r="G633" s="16"/>
    </row>
    <row r="634" ht="15.75" customHeight="1">
      <c r="A634" s="16"/>
      <c r="B634" s="16"/>
      <c r="C634" s="16"/>
      <c r="D634" s="16"/>
      <c r="E634" s="16"/>
      <c r="F634" s="16"/>
      <c r="G634" s="16"/>
    </row>
    <row r="635" ht="15.75" customHeight="1">
      <c r="A635" s="16"/>
      <c r="B635" s="16"/>
      <c r="C635" s="16"/>
      <c r="D635" s="16"/>
      <c r="E635" s="16"/>
      <c r="F635" s="16"/>
      <c r="G635" s="16"/>
    </row>
    <row r="636" ht="15.75" customHeight="1">
      <c r="A636" s="16"/>
      <c r="B636" s="16"/>
      <c r="C636" s="16"/>
      <c r="D636" s="16"/>
      <c r="E636" s="16"/>
      <c r="F636" s="16"/>
      <c r="G636" s="16"/>
    </row>
    <row r="637" ht="15.75" customHeight="1">
      <c r="A637" s="16"/>
      <c r="B637" s="16"/>
      <c r="C637" s="16"/>
      <c r="D637" s="16"/>
      <c r="E637" s="16"/>
      <c r="F637" s="16"/>
      <c r="G637" s="16"/>
    </row>
    <row r="638" ht="15.75" customHeight="1">
      <c r="A638" s="16"/>
      <c r="B638" s="16"/>
      <c r="C638" s="16"/>
      <c r="D638" s="16"/>
      <c r="E638" s="16"/>
      <c r="F638" s="16"/>
      <c r="G638" s="16"/>
    </row>
    <row r="639" ht="15.75" customHeight="1">
      <c r="A639" s="16"/>
      <c r="B639" s="16"/>
      <c r="C639" s="16"/>
      <c r="D639" s="16"/>
      <c r="E639" s="16"/>
      <c r="F639" s="16"/>
      <c r="G639" s="16"/>
    </row>
    <row r="640" ht="15.75" customHeight="1">
      <c r="A640" s="16"/>
      <c r="B640" s="16"/>
      <c r="C640" s="16"/>
      <c r="D640" s="16"/>
      <c r="E640" s="16"/>
      <c r="F640" s="16"/>
      <c r="G640" s="16"/>
    </row>
    <row r="641" ht="15.75" customHeight="1">
      <c r="A641" s="16"/>
      <c r="B641" s="16"/>
      <c r="C641" s="16"/>
      <c r="D641" s="16"/>
      <c r="E641" s="16"/>
      <c r="F641" s="16"/>
      <c r="G641" s="16"/>
    </row>
    <row r="642" ht="15.75" customHeight="1">
      <c r="A642" s="16"/>
      <c r="B642" s="16"/>
      <c r="C642" s="16"/>
      <c r="D642" s="16"/>
      <c r="E642" s="16"/>
      <c r="F642" s="16"/>
      <c r="G642" s="16"/>
    </row>
    <row r="643" ht="15.75" customHeight="1">
      <c r="A643" s="16"/>
      <c r="B643" s="16"/>
      <c r="C643" s="16"/>
      <c r="D643" s="16"/>
      <c r="E643" s="16"/>
      <c r="F643" s="16"/>
      <c r="G643" s="16"/>
    </row>
    <row r="644" ht="15.75" customHeight="1">
      <c r="A644" s="16"/>
      <c r="B644" s="16"/>
      <c r="C644" s="16"/>
      <c r="D644" s="16"/>
      <c r="E644" s="16"/>
      <c r="F644" s="16"/>
      <c r="G644" s="16"/>
    </row>
    <row r="645" ht="15.75" customHeight="1">
      <c r="A645" s="16"/>
      <c r="B645" s="16"/>
      <c r="C645" s="16"/>
      <c r="D645" s="16"/>
      <c r="E645" s="16"/>
      <c r="F645" s="16"/>
      <c r="G645" s="16"/>
    </row>
    <row r="646" ht="15.75" customHeight="1">
      <c r="A646" s="16"/>
      <c r="B646" s="16"/>
      <c r="C646" s="16"/>
      <c r="D646" s="16"/>
      <c r="E646" s="16"/>
      <c r="F646" s="16"/>
      <c r="G646" s="16"/>
    </row>
    <row r="647" ht="15.75" customHeight="1">
      <c r="A647" s="16"/>
      <c r="B647" s="16"/>
      <c r="C647" s="16"/>
      <c r="D647" s="16"/>
      <c r="E647" s="16"/>
      <c r="F647" s="16"/>
      <c r="G647" s="16"/>
    </row>
    <row r="648" ht="15.75" customHeight="1">
      <c r="A648" s="16"/>
      <c r="B648" s="16"/>
      <c r="C648" s="16"/>
      <c r="D648" s="16"/>
      <c r="E648" s="16"/>
      <c r="F648" s="16"/>
      <c r="G648" s="16"/>
    </row>
    <row r="649" ht="15.75" customHeight="1">
      <c r="A649" s="16"/>
      <c r="B649" s="16"/>
      <c r="C649" s="16"/>
      <c r="D649" s="16"/>
      <c r="E649" s="16"/>
      <c r="F649" s="16"/>
      <c r="G649" s="16"/>
    </row>
    <row r="650" ht="15.75" customHeight="1">
      <c r="A650" s="16"/>
      <c r="B650" s="16"/>
      <c r="C650" s="16"/>
      <c r="D650" s="16"/>
      <c r="E650" s="16"/>
      <c r="F650" s="16"/>
      <c r="G650" s="16"/>
    </row>
    <row r="651" ht="15.75" customHeight="1">
      <c r="A651" s="16"/>
      <c r="B651" s="16"/>
      <c r="C651" s="16"/>
      <c r="D651" s="16"/>
      <c r="E651" s="16"/>
      <c r="F651" s="16"/>
      <c r="G651" s="16"/>
    </row>
    <row r="652" ht="15.75" customHeight="1">
      <c r="A652" s="16"/>
      <c r="B652" s="16"/>
      <c r="C652" s="16"/>
      <c r="D652" s="16"/>
      <c r="E652" s="16"/>
      <c r="F652" s="16"/>
      <c r="G652" s="16"/>
    </row>
    <row r="653" ht="15.75" customHeight="1">
      <c r="A653" s="16"/>
      <c r="B653" s="16"/>
      <c r="C653" s="16"/>
      <c r="D653" s="16"/>
      <c r="E653" s="16"/>
      <c r="F653" s="16"/>
      <c r="G653" s="16"/>
    </row>
    <row r="654" ht="15.75" customHeight="1">
      <c r="A654" s="16"/>
      <c r="B654" s="16"/>
      <c r="C654" s="16"/>
      <c r="D654" s="16"/>
      <c r="E654" s="16"/>
      <c r="F654" s="16"/>
      <c r="G654" s="16"/>
    </row>
    <row r="655" ht="15.75" customHeight="1">
      <c r="A655" s="16"/>
      <c r="B655" s="16"/>
      <c r="C655" s="16"/>
      <c r="D655" s="16"/>
      <c r="E655" s="16"/>
      <c r="F655" s="16"/>
      <c r="G655" s="16"/>
    </row>
    <row r="656" ht="15.75" customHeight="1">
      <c r="A656" s="16"/>
      <c r="B656" s="16"/>
      <c r="C656" s="16"/>
      <c r="D656" s="16"/>
      <c r="E656" s="16"/>
      <c r="F656" s="16"/>
      <c r="G656" s="16"/>
    </row>
    <row r="657" ht="15.75" customHeight="1">
      <c r="A657" s="16"/>
      <c r="B657" s="16"/>
      <c r="C657" s="16"/>
      <c r="D657" s="16"/>
      <c r="E657" s="16"/>
      <c r="F657" s="16"/>
      <c r="G657" s="16"/>
    </row>
    <row r="658" ht="15.75" customHeight="1">
      <c r="A658" s="16"/>
      <c r="B658" s="16"/>
      <c r="C658" s="16"/>
      <c r="D658" s="16"/>
      <c r="E658" s="16"/>
      <c r="F658" s="16"/>
      <c r="G658" s="16"/>
    </row>
    <row r="659" ht="15.75" customHeight="1">
      <c r="A659" s="16"/>
      <c r="B659" s="16"/>
      <c r="C659" s="16"/>
      <c r="D659" s="16"/>
      <c r="E659" s="16"/>
      <c r="F659" s="16"/>
      <c r="G659" s="16"/>
    </row>
    <row r="660" ht="15.75" customHeight="1">
      <c r="A660" s="16"/>
      <c r="B660" s="16"/>
      <c r="C660" s="16"/>
      <c r="D660" s="16"/>
      <c r="E660" s="16"/>
      <c r="F660" s="16"/>
      <c r="G660" s="16"/>
    </row>
    <row r="661" ht="15.75" customHeight="1">
      <c r="A661" s="16"/>
      <c r="B661" s="16"/>
      <c r="C661" s="16"/>
      <c r="D661" s="16"/>
      <c r="E661" s="16"/>
      <c r="F661" s="16"/>
      <c r="G661" s="16"/>
    </row>
    <row r="662" ht="15.75" customHeight="1">
      <c r="A662" s="16"/>
      <c r="B662" s="16"/>
      <c r="C662" s="16"/>
      <c r="D662" s="16"/>
      <c r="E662" s="16"/>
      <c r="F662" s="16"/>
      <c r="G662" s="16"/>
    </row>
    <row r="663" ht="15.75" customHeight="1">
      <c r="A663" s="16"/>
      <c r="B663" s="16"/>
      <c r="C663" s="16"/>
      <c r="D663" s="16"/>
      <c r="E663" s="16"/>
      <c r="F663" s="16"/>
      <c r="G663" s="16"/>
    </row>
    <row r="664" ht="15.75" customHeight="1">
      <c r="A664" s="16"/>
      <c r="B664" s="16"/>
      <c r="C664" s="16"/>
      <c r="D664" s="16"/>
      <c r="E664" s="16"/>
      <c r="F664" s="16"/>
      <c r="G664" s="16"/>
    </row>
    <row r="665" ht="15.75" customHeight="1">
      <c r="A665" s="16"/>
      <c r="B665" s="16"/>
      <c r="C665" s="16"/>
      <c r="D665" s="16"/>
      <c r="E665" s="16"/>
      <c r="F665" s="16"/>
      <c r="G665" s="16"/>
    </row>
    <row r="666" ht="15.75" customHeight="1">
      <c r="A666" s="16"/>
      <c r="B666" s="16"/>
      <c r="C666" s="16"/>
      <c r="D666" s="16"/>
      <c r="E666" s="16"/>
      <c r="F666" s="16"/>
      <c r="G666" s="16"/>
    </row>
    <row r="667" ht="15.75" customHeight="1">
      <c r="A667" s="16"/>
      <c r="B667" s="16"/>
      <c r="C667" s="16"/>
      <c r="D667" s="16"/>
      <c r="E667" s="16"/>
      <c r="F667" s="16"/>
      <c r="G667" s="16"/>
    </row>
    <row r="668" ht="15.75" customHeight="1">
      <c r="A668" s="16"/>
      <c r="B668" s="16"/>
      <c r="C668" s="16"/>
      <c r="D668" s="16"/>
      <c r="E668" s="16"/>
      <c r="F668" s="16"/>
      <c r="G668" s="16"/>
    </row>
    <row r="669" ht="15.75" customHeight="1">
      <c r="A669" s="16"/>
      <c r="B669" s="16"/>
      <c r="C669" s="16"/>
      <c r="D669" s="16"/>
      <c r="E669" s="16"/>
      <c r="F669" s="16"/>
      <c r="G669" s="16"/>
    </row>
    <row r="670" ht="15.75" customHeight="1">
      <c r="A670" s="16"/>
      <c r="B670" s="16"/>
      <c r="C670" s="16"/>
      <c r="D670" s="16"/>
      <c r="E670" s="16"/>
      <c r="F670" s="16"/>
      <c r="G670" s="16"/>
    </row>
    <row r="671" ht="15.75" customHeight="1">
      <c r="A671" s="16"/>
      <c r="B671" s="16"/>
      <c r="C671" s="16"/>
      <c r="D671" s="16"/>
      <c r="E671" s="16"/>
      <c r="F671" s="16"/>
      <c r="G671" s="16"/>
    </row>
    <row r="672" ht="15.75" customHeight="1">
      <c r="A672" s="16"/>
      <c r="B672" s="16"/>
      <c r="C672" s="16"/>
      <c r="D672" s="16"/>
      <c r="E672" s="16"/>
      <c r="F672" s="16"/>
      <c r="G672" s="16"/>
    </row>
    <row r="673" ht="15.75" customHeight="1">
      <c r="A673" s="16"/>
      <c r="B673" s="16"/>
      <c r="C673" s="16"/>
      <c r="D673" s="16"/>
      <c r="E673" s="16"/>
      <c r="F673" s="16"/>
      <c r="G673" s="16"/>
    </row>
    <row r="674" ht="15.75" customHeight="1">
      <c r="A674" s="16"/>
      <c r="B674" s="16"/>
      <c r="C674" s="16"/>
      <c r="D674" s="16"/>
      <c r="E674" s="16"/>
      <c r="F674" s="16"/>
      <c r="G674" s="16"/>
    </row>
    <row r="675" ht="15.75" customHeight="1">
      <c r="A675" s="16"/>
      <c r="B675" s="16"/>
      <c r="C675" s="16"/>
      <c r="D675" s="16"/>
      <c r="E675" s="16"/>
      <c r="F675" s="16"/>
      <c r="G675" s="16"/>
    </row>
    <row r="676" ht="15.75" customHeight="1">
      <c r="A676" s="16"/>
      <c r="B676" s="16"/>
      <c r="C676" s="16"/>
      <c r="D676" s="16"/>
      <c r="E676" s="16"/>
      <c r="F676" s="16"/>
      <c r="G676" s="16"/>
    </row>
    <row r="677" ht="15.75" customHeight="1">
      <c r="A677" s="16"/>
      <c r="B677" s="16"/>
      <c r="C677" s="16"/>
      <c r="D677" s="16"/>
      <c r="E677" s="16"/>
      <c r="F677" s="16"/>
      <c r="G677" s="16"/>
    </row>
    <row r="678" ht="15.75" customHeight="1">
      <c r="A678" s="16"/>
      <c r="B678" s="16"/>
      <c r="C678" s="16"/>
      <c r="D678" s="16"/>
      <c r="E678" s="16"/>
      <c r="F678" s="16"/>
      <c r="G678" s="16"/>
    </row>
    <row r="679" ht="15.75" customHeight="1">
      <c r="A679" s="16"/>
      <c r="B679" s="16"/>
      <c r="C679" s="16"/>
      <c r="D679" s="16"/>
      <c r="E679" s="16"/>
      <c r="F679" s="16"/>
      <c r="G679" s="16"/>
    </row>
    <row r="680" ht="15.75" customHeight="1">
      <c r="A680" s="16"/>
      <c r="B680" s="16"/>
      <c r="C680" s="16"/>
      <c r="D680" s="16"/>
      <c r="E680" s="16"/>
      <c r="F680" s="16"/>
      <c r="G680" s="16"/>
    </row>
    <row r="681" ht="15.75" customHeight="1">
      <c r="A681" s="16"/>
      <c r="B681" s="16"/>
      <c r="C681" s="16"/>
      <c r="D681" s="16"/>
      <c r="E681" s="16"/>
      <c r="F681" s="16"/>
      <c r="G681" s="16"/>
    </row>
    <row r="682" ht="15.75" customHeight="1">
      <c r="A682" s="16"/>
      <c r="B682" s="16"/>
      <c r="C682" s="16"/>
      <c r="D682" s="16"/>
      <c r="E682" s="16"/>
      <c r="F682" s="16"/>
      <c r="G682" s="16"/>
    </row>
    <row r="683" ht="15.75" customHeight="1">
      <c r="A683" s="16"/>
      <c r="B683" s="16"/>
      <c r="C683" s="16"/>
      <c r="D683" s="16"/>
      <c r="E683" s="16"/>
      <c r="F683" s="16"/>
      <c r="G683" s="16"/>
    </row>
    <row r="684" ht="15.75" customHeight="1">
      <c r="A684" s="16"/>
      <c r="B684" s="16"/>
      <c r="C684" s="16"/>
      <c r="D684" s="16"/>
      <c r="E684" s="16"/>
      <c r="F684" s="16"/>
      <c r="G684" s="16"/>
    </row>
    <row r="685" ht="15.75" customHeight="1">
      <c r="A685" s="16"/>
      <c r="B685" s="16"/>
      <c r="C685" s="16"/>
      <c r="D685" s="16"/>
      <c r="E685" s="16"/>
      <c r="F685" s="16"/>
      <c r="G685" s="16"/>
    </row>
    <row r="686" ht="15.75" customHeight="1">
      <c r="A686" s="16"/>
      <c r="B686" s="16"/>
      <c r="C686" s="16"/>
      <c r="D686" s="16"/>
      <c r="E686" s="16"/>
      <c r="F686" s="16"/>
      <c r="G686" s="16"/>
    </row>
    <row r="687" ht="15.75" customHeight="1">
      <c r="A687" s="16"/>
      <c r="B687" s="16"/>
      <c r="C687" s="16"/>
      <c r="D687" s="16"/>
      <c r="E687" s="16"/>
      <c r="F687" s="16"/>
      <c r="G687" s="16"/>
    </row>
    <row r="688" ht="15.75" customHeight="1">
      <c r="A688" s="16"/>
      <c r="B688" s="16"/>
      <c r="C688" s="16"/>
      <c r="D688" s="16"/>
      <c r="E688" s="16"/>
      <c r="F688" s="16"/>
      <c r="G688" s="16"/>
    </row>
    <row r="689" ht="15.75" customHeight="1">
      <c r="A689" s="16"/>
      <c r="B689" s="16"/>
      <c r="C689" s="16"/>
      <c r="D689" s="16"/>
      <c r="E689" s="16"/>
      <c r="F689" s="16"/>
      <c r="G689" s="16"/>
    </row>
    <row r="690" ht="15.75" customHeight="1">
      <c r="A690" s="16"/>
      <c r="B690" s="16"/>
      <c r="C690" s="16"/>
      <c r="D690" s="16"/>
      <c r="E690" s="16"/>
      <c r="F690" s="16"/>
      <c r="G690" s="16"/>
    </row>
    <row r="691" ht="15.75" customHeight="1">
      <c r="A691" s="16"/>
      <c r="B691" s="16"/>
      <c r="C691" s="16"/>
      <c r="D691" s="16"/>
      <c r="E691" s="16"/>
      <c r="F691" s="16"/>
      <c r="G691" s="16"/>
    </row>
    <row r="692" ht="15.75" customHeight="1">
      <c r="A692" s="16"/>
      <c r="B692" s="16"/>
      <c r="C692" s="16"/>
      <c r="D692" s="16"/>
      <c r="E692" s="16"/>
      <c r="F692" s="16"/>
      <c r="G692" s="16"/>
    </row>
    <row r="693" ht="15.75" customHeight="1">
      <c r="A693" s="16"/>
      <c r="B693" s="16"/>
      <c r="C693" s="16"/>
      <c r="D693" s="16"/>
      <c r="E693" s="16"/>
      <c r="F693" s="16"/>
      <c r="G693" s="16"/>
    </row>
    <row r="694" ht="15.75" customHeight="1">
      <c r="A694" s="16"/>
      <c r="B694" s="16"/>
      <c r="C694" s="16"/>
      <c r="D694" s="16"/>
      <c r="E694" s="16"/>
      <c r="F694" s="16"/>
      <c r="G694" s="16"/>
    </row>
    <row r="695" ht="15.75" customHeight="1">
      <c r="A695" s="16"/>
      <c r="B695" s="16"/>
      <c r="C695" s="16"/>
      <c r="D695" s="16"/>
      <c r="E695" s="16"/>
      <c r="F695" s="16"/>
      <c r="G695" s="16"/>
    </row>
    <row r="696" ht="15.75" customHeight="1">
      <c r="A696" s="16"/>
      <c r="B696" s="16"/>
      <c r="C696" s="16"/>
      <c r="D696" s="16"/>
      <c r="E696" s="16"/>
      <c r="F696" s="16"/>
      <c r="G696" s="16"/>
    </row>
    <row r="697" ht="15.75" customHeight="1">
      <c r="A697" s="16"/>
      <c r="B697" s="16"/>
      <c r="C697" s="16"/>
      <c r="D697" s="16"/>
      <c r="E697" s="16"/>
      <c r="F697" s="16"/>
      <c r="G697" s="16"/>
    </row>
    <row r="698" ht="15.75" customHeight="1">
      <c r="A698" s="16"/>
      <c r="B698" s="16"/>
      <c r="C698" s="16"/>
      <c r="D698" s="16"/>
      <c r="E698" s="16"/>
      <c r="F698" s="16"/>
      <c r="G698" s="16"/>
    </row>
    <row r="699" ht="15.75" customHeight="1">
      <c r="A699" s="16"/>
      <c r="B699" s="16"/>
      <c r="C699" s="16"/>
      <c r="D699" s="16"/>
      <c r="E699" s="16"/>
      <c r="F699" s="16"/>
      <c r="G699" s="16"/>
    </row>
    <row r="700" ht="15.75" customHeight="1">
      <c r="A700" s="16"/>
      <c r="B700" s="16"/>
      <c r="C700" s="16"/>
      <c r="D700" s="16"/>
      <c r="E700" s="16"/>
      <c r="F700" s="16"/>
      <c r="G700" s="16"/>
    </row>
    <row r="701" ht="15.75" customHeight="1">
      <c r="A701" s="16"/>
      <c r="B701" s="16"/>
      <c r="C701" s="16"/>
      <c r="D701" s="16"/>
      <c r="E701" s="16"/>
      <c r="F701" s="16"/>
      <c r="G701" s="16"/>
    </row>
    <row r="702" ht="15.75" customHeight="1">
      <c r="A702" s="16"/>
      <c r="B702" s="16"/>
      <c r="C702" s="16"/>
      <c r="D702" s="16"/>
      <c r="E702" s="16"/>
      <c r="F702" s="16"/>
      <c r="G702" s="16"/>
    </row>
    <row r="703" ht="15.75" customHeight="1">
      <c r="A703" s="16"/>
      <c r="B703" s="16"/>
      <c r="C703" s="16"/>
      <c r="D703" s="16"/>
      <c r="E703" s="16"/>
      <c r="F703" s="16"/>
      <c r="G703" s="16"/>
    </row>
    <row r="704" ht="15.75" customHeight="1">
      <c r="A704" s="16"/>
      <c r="B704" s="16"/>
      <c r="C704" s="16"/>
      <c r="D704" s="16"/>
      <c r="E704" s="16"/>
      <c r="F704" s="16"/>
      <c r="G704" s="16"/>
    </row>
    <row r="705" ht="15.75" customHeight="1">
      <c r="A705" s="16"/>
      <c r="B705" s="16"/>
      <c r="C705" s="16"/>
      <c r="D705" s="16"/>
      <c r="E705" s="16"/>
      <c r="F705" s="16"/>
      <c r="G705" s="16"/>
    </row>
    <row r="706" ht="15.75" customHeight="1">
      <c r="A706" s="16"/>
      <c r="B706" s="16"/>
      <c r="C706" s="16"/>
      <c r="D706" s="16"/>
      <c r="E706" s="16"/>
      <c r="F706" s="16"/>
      <c r="G706" s="16"/>
    </row>
    <row r="707" ht="15.75" customHeight="1">
      <c r="A707" s="16"/>
      <c r="B707" s="16"/>
      <c r="C707" s="16"/>
      <c r="D707" s="16"/>
      <c r="E707" s="16"/>
      <c r="F707" s="16"/>
      <c r="G707" s="16"/>
    </row>
    <row r="708" ht="15.75" customHeight="1">
      <c r="A708" s="16"/>
      <c r="B708" s="16"/>
      <c r="C708" s="16"/>
      <c r="D708" s="16"/>
      <c r="E708" s="16"/>
      <c r="F708" s="16"/>
      <c r="G708" s="16"/>
    </row>
    <row r="709" ht="15.75" customHeight="1">
      <c r="A709" s="16"/>
      <c r="B709" s="16"/>
      <c r="C709" s="16"/>
      <c r="D709" s="16"/>
      <c r="E709" s="16"/>
      <c r="F709" s="16"/>
      <c r="G709" s="16"/>
    </row>
    <row r="710" ht="15.75" customHeight="1">
      <c r="A710" s="16"/>
      <c r="B710" s="16"/>
      <c r="C710" s="16"/>
      <c r="D710" s="16"/>
      <c r="E710" s="16"/>
      <c r="F710" s="16"/>
      <c r="G710" s="16"/>
    </row>
    <row r="711" ht="15.75" customHeight="1">
      <c r="A711" s="16"/>
      <c r="B711" s="16"/>
      <c r="C711" s="16"/>
      <c r="D711" s="16"/>
      <c r="E711" s="16"/>
      <c r="F711" s="16"/>
      <c r="G711" s="16"/>
    </row>
    <row r="712" ht="15.75" customHeight="1">
      <c r="A712" s="16"/>
      <c r="B712" s="16"/>
      <c r="C712" s="16"/>
      <c r="D712" s="16"/>
      <c r="E712" s="16"/>
      <c r="F712" s="16"/>
      <c r="G712" s="16"/>
    </row>
    <row r="713" ht="15.75" customHeight="1">
      <c r="A713" s="16"/>
      <c r="B713" s="16"/>
      <c r="C713" s="16"/>
      <c r="D713" s="16"/>
      <c r="E713" s="16"/>
      <c r="F713" s="16"/>
      <c r="G713" s="16"/>
    </row>
    <row r="714" ht="15.75" customHeight="1">
      <c r="A714" s="16"/>
      <c r="B714" s="16"/>
      <c r="C714" s="16"/>
      <c r="D714" s="16"/>
      <c r="E714" s="16"/>
      <c r="F714" s="16"/>
      <c r="G714" s="16"/>
    </row>
    <row r="715" ht="15.75" customHeight="1">
      <c r="A715" s="16"/>
      <c r="B715" s="16"/>
      <c r="C715" s="16"/>
      <c r="D715" s="16"/>
      <c r="E715" s="16"/>
      <c r="F715" s="16"/>
      <c r="G715" s="16"/>
    </row>
    <row r="716" ht="15.75" customHeight="1">
      <c r="A716" s="16"/>
      <c r="B716" s="16"/>
      <c r="C716" s="16"/>
      <c r="D716" s="16"/>
      <c r="E716" s="16"/>
      <c r="F716" s="16"/>
      <c r="G716" s="16"/>
    </row>
    <row r="717" ht="15.75" customHeight="1">
      <c r="A717" s="16"/>
      <c r="B717" s="16"/>
      <c r="C717" s="16"/>
      <c r="D717" s="16"/>
      <c r="E717" s="16"/>
      <c r="F717" s="16"/>
      <c r="G717" s="16"/>
    </row>
    <row r="718" ht="15.75" customHeight="1">
      <c r="A718" s="16"/>
      <c r="B718" s="16"/>
      <c r="C718" s="16"/>
      <c r="D718" s="16"/>
      <c r="E718" s="16"/>
      <c r="F718" s="16"/>
      <c r="G718" s="16"/>
    </row>
    <row r="719" ht="15.75" customHeight="1">
      <c r="A719" s="16"/>
      <c r="B719" s="16"/>
      <c r="C719" s="16"/>
      <c r="D719" s="16"/>
      <c r="E719" s="16"/>
      <c r="F719" s="16"/>
      <c r="G719" s="16"/>
    </row>
    <row r="720" ht="15.75" customHeight="1">
      <c r="A720" s="16"/>
      <c r="B720" s="16"/>
      <c r="C720" s="16"/>
      <c r="D720" s="16"/>
      <c r="E720" s="16"/>
      <c r="F720" s="16"/>
      <c r="G720" s="16"/>
    </row>
    <row r="721" ht="15.75" customHeight="1">
      <c r="A721" s="16"/>
      <c r="B721" s="16"/>
      <c r="C721" s="16"/>
      <c r="D721" s="16"/>
      <c r="E721" s="16"/>
      <c r="F721" s="16"/>
      <c r="G721" s="16"/>
    </row>
    <row r="722" ht="15.75" customHeight="1">
      <c r="A722" s="16"/>
      <c r="B722" s="16"/>
      <c r="C722" s="16"/>
      <c r="D722" s="16"/>
      <c r="E722" s="16"/>
      <c r="F722" s="16"/>
      <c r="G722" s="16"/>
    </row>
    <row r="723" ht="15.75" customHeight="1">
      <c r="A723" s="16"/>
      <c r="B723" s="16"/>
      <c r="C723" s="16"/>
      <c r="D723" s="16"/>
      <c r="E723" s="16"/>
      <c r="F723" s="16"/>
      <c r="G723" s="16"/>
    </row>
    <row r="724" ht="15.75" customHeight="1">
      <c r="A724" s="16"/>
      <c r="B724" s="16"/>
      <c r="C724" s="16"/>
      <c r="D724" s="16"/>
      <c r="E724" s="16"/>
      <c r="F724" s="16"/>
      <c r="G724" s="16"/>
    </row>
    <row r="725" ht="15.75" customHeight="1">
      <c r="A725" s="16"/>
      <c r="B725" s="16"/>
      <c r="C725" s="16"/>
      <c r="D725" s="16"/>
      <c r="E725" s="16"/>
      <c r="F725" s="16"/>
      <c r="G725" s="16"/>
    </row>
    <row r="726" ht="15.75" customHeight="1">
      <c r="A726" s="16"/>
      <c r="B726" s="16"/>
      <c r="C726" s="16"/>
      <c r="D726" s="16"/>
      <c r="E726" s="16"/>
      <c r="F726" s="16"/>
      <c r="G726" s="16"/>
    </row>
    <row r="727" ht="15.75" customHeight="1">
      <c r="A727" s="16"/>
      <c r="B727" s="16"/>
      <c r="C727" s="16"/>
      <c r="D727" s="16"/>
      <c r="E727" s="16"/>
      <c r="F727" s="16"/>
      <c r="G727" s="16"/>
    </row>
    <row r="728" ht="15.75" customHeight="1">
      <c r="A728" s="16"/>
      <c r="B728" s="16"/>
      <c r="C728" s="16"/>
      <c r="D728" s="16"/>
      <c r="E728" s="16"/>
      <c r="F728" s="16"/>
      <c r="G728" s="16"/>
    </row>
    <row r="729" ht="15.75" customHeight="1">
      <c r="A729" s="16"/>
      <c r="B729" s="16"/>
      <c r="C729" s="16"/>
      <c r="D729" s="16"/>
      <c r="E729" s="16"/>
      <c r="F729" s="16"/>
      <c r="G729" s="16"/>
    </row>
    <row r="730" ht="15.75" customHeight="1">
      <c r="A730" s="16"/>
      <c r="B730" s="16"/>
      <c r="C730" s="16"/>
      <c r="D730" s="16"/>
      <c r="E730" s="16"/>
      <c r="F730" s="16"/>
      <c r="G730" s="16"/>
    </row>
    <row r="731" ht="15.75" customHeight="1">
      <c r="A731" s="16"/>
      <c r="B731" s="16"/>
      <c r="C731" s="16"/>
      <c r="D731" s="16"/>
      <c r="E731" s="16"/>
      <c r="F731" s="16"/>
      <c r="G731" s="16"/>
    </row>
    <row r="732" ht="15.75" customHeight="1">
      <c r="A732" s="16"/>
      <c r="B732" s="16"/>
      <c r="C732" s="16"/>
      <c r="D732" s="16"/>
      <c r="E732" s="16"/>
      <c r="F732" s="16"/>
      <c r="G732" s="16"/>
    </row>
    <row r="733" ht="15.75" customHeight="1">
      <c r="A733" s="16"/>
      <c r="B733" s="16"/>
      <c r="C733" s="16"/>
      <c r="D733" s="16"/>
      <c r="E733" s="16"/>
      <c r="F733" s="16"/>
      <c r="G733" s="16"/>
    </row>
    <row r="734" ht="15.75" customHeight="1">
      <c r="A734" s="16"/>
      <c r="B734" s="16"/>
      <c r="C734" s="16"/>
      <c r="D734" s="16"/>
      <c r="E734" s="16"/>
      <c r="F734" s="16"/>
      <c r="G734" s="16"/>
    </row>
    <row r="735" ht="15.75" customHeight="1">
      <c r="A735" s="16"/>
      <c r="B735" s="16"/>
      <c r="C735" s="16"/>
      <c r="D735" s="16"/>
      <c r="E735" s="16"/>
      <c r="F735" s="16"/>
      <c r="G735" s="16"/>
    </row>
    <row r="736" ht="15.75" customHeight="1">
      <c r="A736" s="16"/>
      <c r="B736" s="16"/>
      <c r="C736" s="16"/>
      <c r="D736" s="16"/>
      <c r="E736" s="16"/>
      <c r="F736" s="16"/>
      <c r="G736" s="16"/>
    </row>
    <row r="737" ht="15.75" customHeight="1">
      <c r="A737" s="16"/>
      <c r="B737" s="16"/>
      <c r="C737" s="16"/>
      <c r="D737" s="16"/>
      <c r="E737" s="16"/>
      <c r="F737" s="16"/>
      <c r="G737" s="16"/>
    </row>
    <row r="738" ht="15.75" customHeight="1">
      <c r="A738" s="16"/>
      <c r="B738" s="16"/>
      <c r="C738" s="16"/>
      <c r="D738" s="16"/>
      <c r="E738" s="16"/>
      <c r="F738" s="16"/>
      <c r="G738" s="16"/>
    </row>
    <row r="739" ht="15.75" customHeight="1">
      <c r="A739" s="16"/>
      <c r="B739" s="16"/>
      <c r="C739" s="16"/>
      <c r="D739" s="16"/>
      <c r="E739" s="16"/>
      <c r="F739" s="16"/>
      <c r="G739" s="16"/>
    </row>
    <row r="740" ht="15.75" customHeight="1">
      <c r="A740" s="16"/>
      <c r="B740" s="16"/>
      <c r="C740" s="16"/>
      <c r="D740" s="16"/>
      <c r="E740" s="16"/>
      <c r="F740" s="16"/>
      <c r="G740" s="16"/>
    </row>
    <row r="741" ht="15.75" customHeight="1">
      <c r="A741" s="16"/>
      <c r="B741" s="16"/>
      <c r="C741" s="16"/>
      <c r="D741" s="16"/>
      <c r="E741" s="16"/>
      <c r="F741" s="16"/>
      <c r="G741" s="16"/>
    </row>
    <row r="742" ht="15.75" customHeight="1">
      <c r="A742" s="16"/>
      <c r="B742" s="16"/>
      <c r="C742" s="16"/>
      <c r="D742" s="16"/>
      <c r="E742" s="16"/>
      <c r="F742" s="16"/>
      <c r="G742" s="16"/>
    </row>
    <row r="743" ht="15.75" customHeight="1">
      <c r="A743" s="16"/>
      <c r="B743" s="16"/>
      <c r="C743" s="16"/>
      <c r="D743" s="16"/>
      <c r="E743" s="16"/>
      <c r="F743" s="16"/>
      <c r="G743" s="16"/>
    </row>
    <row r="744" ht="15.75" customHeight="1">
      <c r="A744" s="16"/>
      <c r="B744" s="16"/>
      <c r="C744" s="16"/>
      <c r="D744" s="16"/>
      <c r="E744" s="16"/>
      <c r="F744" s="16"/>
      <c r="G744" s="16"/>
    </row>
    <row r="745" ht="15.75" customHeight="1">
      <c r="A745" s="16"/>
      <c r="B745" s="16"/>
      <c r="C745" s="16"/>
      <c r="D745" s="16"/>
      <c r="E745" s="16"/>
      <c r="F745" s="16"/>
      <c r="G745" s="16"/>
    </row>
    <row r="746" ht="15.75" customHeight="1">
      <c r="A746" s="16"/>
      <c r="B746" s="16"/>
      <c r="C746" s="16"/>
      <c r="D746" s="16"/>
      <c r="E746" s="16"/>
      <c r="F746" s="16"/>
      <c r="G746" s="16"/>
    </row>
    <row r="747" ht="15.75" customHeight="1">
      <c r="A747" s="16"/>
      <c r="B747" s="16"/>
      <c r="C747" s="16"/>
      <c r="D747" s="16"/>
      <c r="E747" s="16"/>
      <c r="F747" s="16"/>
      <c r="G747" s="16"/>
    </row>
    <row r="748" ht="15.75" customHeight="1">
      <c r="A748" s="16"/>
      <c r="B748" s="16"/>
      <c r="C748" s="16"/>
      <c r="D748" s="16"/>
      <c r="E748" s="16"/>
      <c r="F748" s="16"/>
      <c r="G748" s="16"/>
    </row>
    <row r="749" ht="15.75" customHeight="1">
      <c r="A749" s="16"/>
      <c r="B749" s="16"/>
      <c r="C749" s="16"/>
      <c r="D749" s="16"/>
      <c r="E749" s="16"/>
      <c r="F749" s="16"/>
      <c r="G749" s="16"/>
    </row>
    <row r="750" ht="15.75" customHeight="1">
      <c r="A750" s="16"/>
      <c r="B750" s="16"/>
      <c r="C750" s="16"/>
      <c r="D750" s="16"/>
      <c r="E750" s="16"/>
      <c r="F750" s="16"/>
      <c r="G750" s="16"/>
    </row>
    <row r="751" ht="15.75" customHeight="1">
      <c r="A751" s="16"/>
      <c r="B751" s="16"/>
      <c r="C751" s="16"/>
      <c r="D751" s="16"/>
      <c r="E751" s="16"/>
      <c r="F751" s="16"/>
      <c r="G751" s="16"/>
    </row>
    <row r="752" ht="15.75" customHeight="1">
      <c r="A752" s="16"/>
      <c r="B752" s="16"/>
      <c r="C752" s="16"/>
      <c r="D752" s="16"/>
      <c r="E752" s="16"/>
      <c r="F752" s="16"/>
      <c r="G752" s="16"/>
    </row>
    <row r="753" ht="15.75" customHeight="1">
      <c r="A753" s="16"/>
      <c r="B753" s="16"/>
      <c r="C753" s="16"/>
      <c r="D753" s="16"/>
      <c r="E753" s="16"/>
      <c r="F753" s="16"/>
      <c r="G753" s="16"/>
    </row>
    <row r="754" ht="15.75" customHeight="1">
      <c r="A754" s="16"/>
      <c r="B754" s="16"/>
      <c r="C754" s="16"/>
      <c r="D754" s="16"/>
      <c r="E754" s="16"/>
      <c r="F754" s="16"/>
      <c r="G754" s="16"/>
    </row>
    <row r="755" ht="15.75" customHeight="1">
      <c r="A755" s="16"/>
      <c r="B755" s="16"/>
      <c r="C755" s="16"/>
      <c r="D755" s="16"/>
      <c r="E755" s="16"/>
      <c r="F755" s="16"/>
      <c r="G755" s="16"/>
    </row>
    <row r="756" ht="15.75" customHeight="1">
      <c r="A756" s="16"/>
      <c r="B756" s="16"/>
      <c r="C756" s="16"/>
      <c r="D756" s="16"/>
      <c r="E756" s="16"/>
      <c r="F756" s="16"/>
      <c r="G756" s="16"/>
    </row>
    <row r="757" ht="15.75" customHeight="1">
      <c r="A757" s="16"/>
      <c r="B757" s="16"/>
      <c r="C757" s="16"/>
      <c r="D757" s="16"/>
      <c r="E757" s="16"/>
      <c r="F757" s="16"/>
      <c r="G757" s="16"/>
    </row>
    <row r="758" ht="15.75" customHeight="1">
      <c r="A758" s="16"/>
      <c r="B758" s="16"/>
      <c r="C758" s="16"/>
      <c r="D758" s="16"/>
      <c r="E758" s="16"/>
      <c r="F758" s="16"/>
      <c r="G758" s="16"/>
    </row>
    <row r="759" ht="15.75" customHeight="1">
      <c r="A759" s="16"/>
      <c r="B759" s="16"/>
      <c r="C759" s="16"/>
      <c r="D759" s="16"/>
      <c r="E759" s="16"/>
      <c r="F759" s="16"/>
      <c r="G759" s="16"/>
    </row>
    <row r="760" ht="15.75" customHeight="1">
      <c r="A760" s="16"/>
      <c r="B760" s="16"/>
      <c r="C760" s="16"/>
      <c r="D760" s="16"/>
      <c r="E760" s="16"/>
      <c r="F760" s="16"/>
      <c r="G760" s="16"/>
    </row>
    <row r="761" ht="15.75" customHeight="1">
      <c r="A761" s="16"/>
      <c r="B761" s="16"/>
      <c r="C761" s="16"/>
      <c r="D761" s="16"/>
      <c r="E761" s="16"/>
      <c r="F761" s="16"/>
      <c r="G761" s="16"/>
    </row>
    <row r="762" ht="15.75" customHeight="1">
      <c r="A762" s="16"/>
      <c r="B762" s="16"/>
      <c r="C762" s="16"/>
      <c r="D762" s="16"/>
      <c r="E762" s="16"/>
      <c r="F762" s="16"/>
      <c r="G762" s="16"/>
    </row>
    <row r="763" ht="15.75" customHeight="1">
      <c r="A763" s="16"/>
      <c r="B763" s="16"/>
      <c r="C763" s="16"/>
      <c r="D763" s="16"/>
      <c r="E763" s="16"/>
      <c r="F763" s="16"/>
      <c r="G763" s="16"/>
    </row>
    <row r="764" ht="15.75" customHeight="1">
      <c r="A764" s="16"/>
      <c r="B764" s="16"/>
      <c r="C764" s="16"/>
      <c r="D764" s="16"/>
      <c r="E764" s="16"/>
      <c r="F764" s="16"/>
      <c r="G764" s="16"/>
    </row>
    <row r="765" ht="15.75" customHeight="1">
      <c r="A765" s="16"/>
      <c r="B765" s="16"/>
      <c r="C765" s="16"/>
      <c r="D765" s="16"/>
      <c r="E765" s="16"/>
      <c r="F765" s="16"/>
      <c r="G765" s="16"/>
    </row>
    <row r="766" ht="15.75" customHeight="1">
      <c r="A766" s="16"/>
      <c r="B766" s="16"/>
      <c r="C766" s="16"/>
      <c r="D766" s="16"/>
      <c r="E766" s="16"/>
      <c r="F766" s="16"/>
      <c r="G766" s="16"/>
    </row>
    <row r="767" ht="15.75" customHeight="1">
      <c r="A767" s="16"/>
      <c r="B767" s="16"/>
      <c r="C767" s="16"/>
      <c r="D767" s="16"/>
      <c r="E767" s="16"/>
      <c r="F767" s="16"/>
      <c r="G767" s="16"/>
    </row>
    <row r="768" ht="15.75" customHeight="1">
      <c r="A768" s="16"/>
      <c r="B768" s="16"/>
      <c r="C768" s="16"/>
      <c r="D768" s="16"/>
      <c r="E768" s="16"/>
      <c r="F768" s="16"/>
      <c r="G768" s="16"/>
    </row>
    <row r="769" ht="15.75" customHeight="1">
      <c r="A769" s="16"/>
      <c r="B769" s="16"/>
      <c r="C769" s="16"/>
      <c r="D769" s="16"/>
      <c r="E769" s="16"/>
      <c r="F769" s="16"/>
      <c r="G769" s="16"/>
    </row>
    <row r="770" ht="15.75" customHeight="1">
      <c r="A770" s="16"/>
      <c r="B770" s="16"/>
      <c r="C770" s="16"/>
      <c r="D770" s="16"/>
      <c r="E770" s="16"/>
      <c r="F770" s="16"/>
      <c r="G770" s="16"/>
    </row>
    <row r="771" ht="15.75" customHeight="1">
      <c r="A771" s="16"/>
      <c r="B771" s="16"/>
      <c r="C771" s="16"/>
      <c r="D771" s="16"/>
      <c r="E771" s="16"/>
      <c r="F771" s="16"/>
      <c r="G771" s="16"/>
    </row>
    <row r="772" ht="15.75" customHeight="1">
      <c r="A772" s="16"/>
      <c r="B772" s="16"/>
      <c r="C772" s="16"/>
      <c r="D772" s="16"/>
      <c r="E772" s="16"/>
      <c r="F772" s="16"/>
      <c r="G772" s="16"/>
    </row>
    <row r="773" ht="15.75" customHeight="1">
      <c r="A773" s="16"/>
      <c r="B773" s="16"/>
      <c r="C773" s="16"/>
      <c r="D773" s="16"/>
      <c r="E773" s="16"/>
      <c r="F773" s="16"/>
      <c r="G773" s="16"/>
    </row>
    <row r="774" ht="15.75" customHeight="1">
      <c r="A774" s="16"/>
      <c r="B774" s="16"/>
      <c r="C774" s="16"/>
      <c r="D774" s="16"/>
      <c r="E774" s="16"/>
      <c r="F774" s="16"/>
      <c r="G774" s="16"/>
    </row>
    <row r="775" ht="15.75" customHeight="1">
      <c r="A775" s="16"/>
      <c r="B775" s="16"/>
      <c r="C775" s="16"/>
      <c r="D775" s="16"/>
      <c r="E775" s="16"/>
      <c r="F775" s="16"/>
      <c r="G775" s="16"/>
    </row>
    <row r="776" ht="15.75" customHeight="1">
      <c r="A776" s="16"/>
      <c r="B776" s="16"/>
      <c r="C776" s="16"/>
      <c r="D776" s="16"/>
      <c r="E776" s="16"/>
      <c r="F776" s="16"/>
      <c r="G776" s="16"/>
    </row>
    <row r="777" ht="15.75" customHeight="1">
      <c r="A777" s="16"/>
      <c r="B777" s="16"/>
      <c r="C777" s="16"/>
      <c r="D777" s="16"/>
      <c r="E777" s="16"/>
      <c r="F777" s="16"/>
      <c r="G777" s="16"/>
    </row>
    <row r="778" ht="15.75" customHeight="1">
      <c r="A778" s="16"/>
      <c r="B778" s="16"/>
      <c r="C778" s="16"/>
      <c r="D778" s="16"/>
      <c r="E778" s="16"/>
      <c r="F778" s="16"/>
      <c r="G778" s="16"/>
    </row>
    <row r="779" ht="15.75" customHeight="1">
      <c r="A779" s="16"/>
      <c r="B779" s="16"/>
      <c r="C779" s="16"/>
      <c r="D779" s="16"/>
      <c r="E779" s="16"/>
      <c r="F779" s="16"/>
      <c r="G779" s="16"/>
    </row>
    <row r="780" ht="15.75" customHeight="1">
      <c r="A780" s="16"/>
      <c r="B780" s="16"/>
      <c r="C780" s="16"/>
      <c r="D780" s="16"/>
      <c r="E780" s="16"/>
      <c r="F780" s="16"/>
      <c r="G780" s="16"/>
    </row>
    <row r="781" ht="15.75" customHeight="1">
      <c r="A781" s="16"/>
      <c r="B781" s="16"/>
      <c r="C781" s="16"/>
      <c r="D781" s="16"/>
      <c r="E781" s="16"/>
      <c r="F781" s="16"/>
      <c r="G781" s="16"/>
    </row>
    <row r="782" ht="15.75" customHeight="1">
      <c r="A782" s="16"/>
      <c r="B782" s="16"/>
      <c r="C782" s="16"/>
      <c r="D782" s="16"/>
      <c r="E782" s="16"/>
      <c r="F782" s="16"/>
      <c r="G782" s="16"/>
    </row>
    <row r="783" ht="15.75" customHeight="1">
      <c r="A783" s="16"/>
      <c r="B783" s="16"/>
      <c r="C783" s="16"/>
      <c r="D783" s="16"/>
      <c r="E783" s="16"/>
      <c r="F783" s="16"/>
      <c r="G783" s="16"/>
    </row>
    <row r="784" ht="15.75" customHeight="1">
      <c r="A784" s="16"/>
      <c r="B784" s="16"/>
      <c r="C784" s="16"/>
      <c r="D784" s="16"/>
      <c r="E784" s="16"/>
      <c r="F784" s="16"/>
      <c r="G784" s="16"/>
    </row>
    <row r="785" ht="15.75" customHeight="1">
      <c r="A785" s="16"/>
      <c r="B785" s="16"/>
      <c r="C785" s="16"/>
      <c r="D785" s="16"/>
      <c r="E785" s="16"/>
      <c r="F785" s="16"/>
      <c r="G785" s="16"/>
    </row>
    <row r="786" ht="15.75" customHeight="1">
      <c r="A786" s="16"/>
      <c r="B786" s="16"/>
      <c r="C786" s="16"/>
      <c r="D786" s="16"/>
      <c r="E786" s="16"/>
      <c r="F786" s="16"/>
      <c r="G786" s="16"/>
    </row>
    <row r="787" ht="15.75" customHeight="1">
      <c r="A787" s="16"/>
      <c r="B787" s="16"/>
      <c r="C787" s="16"/>
      <c r="D787" s="16"/>
      <c r="E787" s="16"/>
      <c r="F787" s="16"/>
      <c r="G787" s="16"/>
    </row>
    <row r="788" ht="15.75" customHeight="1">
      <c r="A788" s="16"/>
      <c r="B788" s="16"/>
      <c r="C788" s="16"/>
      <c r="D788" s="16"/>
      <c r="E788" s="16"/>
      <c r="F788" s="16"/>
      <c r="G788" s="16"/>
    </row>
    <row r="789" ht="15.75" customHeight="1">
      <c r="A789" s="16"/>
      <c r="B789" s="16"/>
      <c r="C789" s="16"/>
      <c r="D789" s="16"/>
      <c r="E789" s="16"/>
      <c r="F789" s="16"/>
      <c r="G789" s="16"/>
    </row>
    <row r="790" ht="15.75" customHeight="1">
      <c r="A790" s="16"/>
      <c r="B790" s="16"/>
      <c r="C790" s="16"/>
      <c r="D790" s="16"/>
      <c r="E790" s="16"/>
      <c r="F790" s="16"/>
      <c r="G790" s="16"/>
    </row>
    <row r="791" ht="15.75" customHeight="1">
      <c r="A791" s="16"/>
      <c r="B791" s="16"/>
      <c r="C791" s="16"/>
      <c r="D791" s="16"/>
      <c r="E791" s="16"/>
      <c r="F791" s="16"/>
      <c r="G791" s="16"/>
    </row>
    <row r="792" ht="15.75" customHeight="1">
      <c r="A792" s="16"/>
      <c r="B792" s="16"/>
      <c r="C792" s="16"/>
      <c r="D792" s="16"/>
      <c r="E792" s="16"/>
      <c r="F792" s="16"/>
      <c r="G792" s="16"/>
    </row>
    <row r="793" ht="15.75" customHeight="1">
      <c r="A793" s="16"/>
      <c r="B793" s="16"/>
      <c r="C793" s="16"/>
      <c r="D793" s="16"/>
      <c r="E793" s="16"/>
      <c r="F793" s="16"/>
      <c r="G793" s="16"/>
    </row>
    <row r="794" ht="15.75" customHeight="1">
      <c r="A794" s="16"/>
      <c r="B794" s="16"/>
      <c r="C794" s="16"/>
      <c r="D794" s="16"/>
      <c r="E794" s="16"/>
      <c r="F794" s="16"/>
      <c r="G794" s="16"/>
    </row>
    <row r="795" ht="15.75" customHeight="1">
      <c r="A795" s="16"/>
      <c r="B795" s="16"/>
      <c r="C795" s="16"/>
      <c r="D795" s="16"/>
      <c r="E795" s="16"/>
      <c r="F795" s="16"/>
      <c r="G795" s="16"/>
    </row>
    <row r="796" ht="15.75" customHeight="1">
      <c r="A796" s="16"/>
      <c r="B796" s="16"/>
      <c r="C796" s="16"/>
      <c r="D796" s="16"/>
      <c r="E796" s="16"/>
      <c r="F796" s="16"/>
      <c r="G796" s="16"/>
    </row>
    <row r="797" ht="15.75" customHeight="1">
      <c r="A797" s="16"/>
      <c r="B797" s="16"/>
      <c r="C797" s="16"/>
      <c r="D797" s="16"/>
      <c r="E797" s="16"/>
      <c r="F797" s="16"/>
      <c r="G797" s="16"/>
    </row>
    <row r="798" ht="15.75" customHeight="1">
      <c r="A798" s="16"/>
      <c r="B798" s="16"/>
      <c r="C798" s="16"/>
      <c r="D798" s="16"/>
      <c r="E798" s="16"/>
      <c r="F798" s="16"/>
      <c r="G798" s="16"/>
    </row>
    <row r="799" ht="15.75" customHeight="1">
      <c r="A799" s="16"/>
      <c r="B799" s="16"/>
      <c r="C799" s="16"/>
      <c r="D799" s="16"/>
      <c r="E799" s="16"/>
      <c r="F799" s="16"/>
      <c r="G799" s="16"/>
    </row>
    <row r="800" ht="15.75" customHeight="1">
      <c r="A800" s="16"/>
      <c r="B800" s="16"/>
      <c r="C800" s="16"/>
      <c r="D800" s="16"/>
      <c r="E800" s="16"/>
      <c r="F800" s="16"/>
      <c r="G800" s="16"/>
    </row>
    <row r="801" ht="15.75" customHeight="1">
      <c r="A801" s="16"/>
      <c r="B801" s="16"/>
      <c r="C801" s="16"/>
      <c r="D801" s="16"/>
      <c r="E801" s="16"/>
      <c r="F801" s="16"/>
      <c r="G801" s="16"/>
    </row>
    <row r="802" ht="15.75" customHeight="1">
      <c r="A802" s="16"/>
      <c r="B802" s="16"/>
      <c r="C802" s="16"/>
      <c r="D802" s="16"/>
      <c r="E802" s="16"/>
      <c r="F802" s="16"/>
      <c r="G802" s="16"/>
    </row>
    <row r="803" ht="15.75" customHeight="1">
      <c r="A803" s="16"/>
      <c r="B803" s="16"/>
      <c r="C803" s="16"/>
      <c r="D803" s="16"/>
      <c r="E803" s="16"/>
      <c r="F803" s="16"/>
      <c r="G803" s="16"/>
    </row>
    <row r="804" ht="15.75" customHeight="1">
      <c r="A804" s="16"/>
      <c r="B804" s="16"/>
      <c r="C804" s="16"/>
      <c r="D804" s="16"/>
      <c r="E804" s="16"/>
      <c r="F804" s="16"/>
      <c r="G804" s="16"/>
    </row>
    <row r="805" ht="15.75" customHeight="1">
      <c r="A805" s="16"/>
      <c r="B805" s="16"/>
      <c r="C805" s="16"/>
      <c r="D805" s="16"/>
      <c r="E805" s="16"/>
      <c r="F805" s="16"/>
      <c r="G805" s="16"/>
    </row>
    <row r="806" ht="15.75" customHeight="1">
      <c r="A806" s="16"/>
      <c r="B806" s="16"/>
      <c r="C806" s="16"/>
      <c r="D806" s="16"/>
      <c r="E806" s="16"/>
      <c r="F806" s="16"/>
      <c r="G806" s="16"/>
    </row>
    <row r="807" ht="15.75" customHeight="1">
      <c r="A807" s="16"/>
      <c r="B807" s="16"/>
      <c r="C807" s="16"/>
      <c r="D807" s="16"/>
      <c r="E807" s="16"/>
      <c r="F807" s="16"/>
      <c r="G807" s="16"/>
    </row>
    <row r="808" ht="15.75" customHeight="1">
      <c r="A808" s="16"/>
      <c r="B808" s="16"/>
      <c r="C808" s="16"/>
      <c r="D808" s="16"/>
      <c r="E808" s="16"/>
      <c r="F808" s="16"/>
      <c r="G808" s="16"/>
    </row>
    <row r="809" ht="15.75" customHeight="1">
      <c r="A809" s="16"/>
      <c r="B809" s="16"/>
      <c r="C809" s="16"/>
      <c r="D809" s="16"/>
      <c r="E809" s="16"/>
      <c r="F809" s="16"/>
      <c r="G809" s="16"/>
    </row>
    <row r="810" ht="15.75" customHeight="1">
      <c r="A810" s="16"/>
      <c r="B810" s="16"/>
      <c r="C810" s="16"/>
      <c r="D810" s="16"/>
      <c r="E810" s="16"/>
      <c r="F810" s="16"/>
      <c r="G810" s="16"/>
    </row>
    <row r="811" ht="15.75" customHeight="1">
      <c r="A811" s="16"/>
      <c r="B811" s="16"/>
      <c r="C811" s="16"/>
      <c r="D811" s="16"/>
      <c r="E811" s="16"/>
      <c r="F811" s="16"/>
      <c r="G811" s="16"/>
    </row>
    <row r="812" ht="15.75" customHeight="1">
      <c r="A812" s="16"/>
      <c r="B812" s="16"/>
      <c r="C812" s="16"/>
      <c r="D812" s="16"/>
      <c r="E812" s="16"/>
      <c r="F812" s="16"/>
      <c r="G812" s="16"/>
    </row>
    <row r="813" ht="15.75" customHeight="1">
      <c r="A813" s="16"/>
      <c r="B813" s="16"/>
      <c r="C813" s="16"/>
      <c r="D813" s="16"/>
      <c r="E813" s="16"/>
      <c r="F813" s="16"/>
      <c r="G813" s="16"/>
    </row>
    <row r="814" ht="15.75" customHeight="1">
      <c r="A814" s="16"/>
      <c r="B814" s="16"/>
      <c r="C814" s="16"/>
      <c r="D814" s="16"/>
      <c r="E814" s="16"/>
      <c r="F814" s="16"/>
      <c r="G814" s="16"/>
    </row>
    <row r="815" ht="15.75" customHeight="1">
      <c r="A815" s="16"/>
      <c r="B815" s="16"/>
      <c r="C815" s="16"/>
      <c r="D815" s="16"/>
      <c r="E815" s="16"/>
      <c r="F815" s="16"/>
      <c r="G815" s="16"/>
    </row>
    <row r="816" ht="15.75" customHeight="1">
      <c r="A816" s="16"/>
      <c r="B816" s="16"/>
      <c r="C816" s="16"/>
      <c r="D816" s="16"/>
      <c r="E816" s="16"/>
      <c r="F816" s="16"/>
      <c r="G816" s="16"/>
    </row>
    <row r="817" ht="15.75" customHeight="1">
      <c r="A817" s="16"/>
      <c r="B817" s="16"/>
      <c r="C817" s="16"/>
      <c r="D817" s="16"/>
      <c r="E817" s="16"/>
      <c r="F817" s="16"/>
      <c r="G817" s="16"/>
    </row>
    <row r="818" ht="15.75" customHeight="1">
      <c r="A818" s="16"/>
      <c r="B818" s="16"/>
      <c r="C818" s="16"/>
      <c r="D818" s="16"/>
      <c r="E818" s="16"/>
      <c r="F818" s="16"/>
      <c r="G818" s="16"/>
    </row>
    <row r="819" ht="15.75" customHeight="1">
      <c r="A819" s="16"/>
      <c r="B819" s="16"/>
      <c r="C819" s="16"/>
      <c r="D819" s="16"/>
      <c r="E819" s="16"/>
      <c r="F819" s="16"/>
      <c r="G819" s="16"/>
    </row>
    <row r="820" ht="15.75" customHeight="1">
      <c r="A820" s="16"/>
      <c r="B820" s="16"/>
      <c r="C820" s="16"/>
      <c r="D820" s="16"/>
      <c r="E820" s="16"/>
      <c r="F820" s="16"/>
      <c r="G820" s="16"/>
    </row>
    <row r="821" ht="15.75" customHeight="1">
      <c r="A821" s="16"/>
      <c r="B821" s="16"/>
      <c r="C821" s="16"/>
      <c r="D821" s="16"/>
      <c r="E821" s="16"/>
      <c r="F821" s="16"/>
      <c r="G821" s="16"/>
    </row>
    <row r="822" ht="15.75" customHeight="1">
      <c r="A822" s="16"/>
      <c r="B822" s="16"/>
      <c r="C822" s="16"/>
      <c r="D822" s="16"/>
      <c r="E822" s="16"/>
      <c r="F822" s="16"/>
      <c r="G822" s="16"/>
    </row>
    <row r="823" ht="15.75" customHeight="1">
      <c r="A823" s="16"/>
      <c r="B823" s="16"/>
      <c r="C823" s="16"/>
      <c r="D823" s="16"/>
      <c r="E823" s="16"/>
      <c r="F823" s="16"/>
      <c r="G823" s="16"/>
    </row>
    <row r="824" ht="15.75" customHeight="1">
      <c r="A824" s="16"/>
      <c r="B824" s="16"/>
      <c r="C824" s="16"/>
      <c r="D824" s="16"/>
      <c r="E824" s="16"/>
      <c r="F824" s="16"/>
      <c r="G824" s="16"/>
    </row>
    <row r="825" ht="15.75" customHeight="1">
      <c r="A825" s="16"/>
      <c r="B825" s="16"/>
      <c r="C825" s="16"/>
      <c r="D825" s="16"/>
      <c r="E825" s="16"/>
      <c r="F825" s="16"/>
      <c r="G825" s="16"/>
    </row>
    <row r="826" ht="15.75" customHeight="1">
      <c r="A826" s="16"/>
      <c r="B826" s="16"/>
      <c r="C826" s="16"/>
      <c r="D826" s="16"/>
      <c r="E826" s="16"/>
      <c r="F826" s="16"/>
      <c r="G826" s="16"/>
    </row>
    <row r="827" ht="15.75" customHeight="1">
      <c r="A827" s="16"/>
      <c r="B827" s="16"/>
      <c r="C827" s="16"/>
      <c r="D827" s="16"/>
      <c r="E827" s="16"/>
      <c r="F827" s="16"/>
      <c r="G827" s="16"/>
    </row>
    <row r="828" ht="15.75" customHeight="1">
      <c r="A828" s="16"/>
      <c r="B828" s="16"/>
      <c r="C828" s="16"/>
      <c r="D828" s="16"/>
      <c r="E828" s="16"/>
      <c r="F828" s="16"/>
      <c r="G828" s="16"/>
    </row>
    <row r="829" ht="15.75" customHeight="1">
      <c r="A829" s="16"/>
      <c r="B829" s="16"/>
      <c r="C829" s="16"/>
      <c r="D829" s="16"/>
      <c r="E829" s="16"/>
      <c r="F829" s="16"/>
      <c r="G829" s="16"/>
    </row>
    <row r="830" ht="15.75" customHeight="1">
      <c r="A830" s="16"/>
      <c r="B830" s="16"/>
      <c r="C830" s="16"/>
      <c r="D830" s="16"/>
      <c r="E830" s="16"/>
      <c r="F830" s="16"/>
      <c r="G830" s="16"/>
    </row>
    <row r="831" ht="15.75" customHeight="1">
      <c r="A831" s="16"/>
      <c r="B831" s="16"/>
      <c r="C831" s="16"/>
      <c r="D831" s="16"/>
      <c r="E831" s="16"/>
      <c r="F831" s="16"/>
      <c r="G831" s="16"/>
    </row>
    <row r="832" ht="15.75" customHeight="1">
      <c r="A832" s="16"/>
      <c r="B832" s="16"/>
      <c r="C832" s="16"/>
      <c r="D832" s="16"/>
      <c r="E832" s="16"/>
      <c r="F832" s="16"/>
      <c r="G832" s="16"/>
    </row>
    <row r="833" ht="15.75" customHeight="1">
      <c r="A833" s="16"/>
      <c r="B833" s="16"/>
      <c r="C833" s="16"/>
      <c r="D833" s="16"/>
      <c r="E833" s="16"/>
      <c r="F833" s="16"/>
      <c r="G833" s="16"/>
    </row>
    <row r="834" ht="15.75" customHeight="1">
      <c r="A834" s="16"/>
      <c r="B834" s="16"/>
      <c r="C834" s="16"/>
      <c r="D834" s="16"/>
      <c r="E834" s="16"/>
      <c r="F834" s="16"/>
      <c r="G834" s="16"/>
    </row>
    <row r="835" ht="15.75" customHeight="1">
      <c r="A835" s="16"/>
      <c r="B835" s="16"/>
      <c r="C835" s="16"/>
      <c r="D835" s="16"/>
      <c r="E835" s="16"/>
      <c r="F835" s="16"/>
      <c r="G835" s="16"/>
    </row>
    <row r="836" ht="15.75" customHeight="1">
      <c r="A836" s="16"/>
      <c r="B836" s="16"/>
      <c r="C836" s="16"/>
      <c r="D836" s="16"/>
      <c r="E836" s="16"/>
      <c r="F836" s="16"/>
      <c r="G836" s="16"/>
    </row>
    <row r="837" ht="15.75" customHeight="1">
      <c r="A837" s="16"/>
      <c r="B837" s="16"/>
      <c r="C837" s="16"/>
      <c r="D837" s="16"/>
      <c r="E837" s="16"/>
      <c r="F837" s="16"/>
      <c r="G837" s="16"/>
    </row>
    <row r="838" ht="15.75" customHeight="1">
      <c r="A838" s="16"/>
      <c r="B838" s="16"/>
      <c r="C838" s="16"/>
      <c r="D838" s="16"/>
      <c r="E838" s="16"/>
      <c r="F838" s="16"/>
      <c r="G838" s="16"/>
    </row>
    <row r="839" ht="15.75" customHeight="1">
      <c r="A839" s="16"/>
      <c r="B839" s="16"/>
      <c r="C839" s="16"/>
      <c r="D839" s="16"/>
      <c r="E839" s="16"/>
      <c r="F839" s="16"/>
      <c r="G839" s="16"/>
    </row>
    <row r="840" ht="15.75" customHeight="1">
      <c r="A840" s="16"/>
      <c r="B840" s="16"/>
      <c r="C840" s="16"/>
      <c r="D840" s="16"/>
      <c r="E840" s="16"/>
      <c r="F840" s="16"/>
      <c r="G840" s="16"/>
    </row>
    <row r="841" ht="15.75" customHeight="1">
      <c r="A841" s="16"/>
      <c r="B841" s="16"/>
      <c r="C841" s="16"/>
      <c r="D841" s="16"/>
      <c r="E841" s="16"/>
      <c r="F841" s="16"/>
      <c r="G841" s="16"/>
    </row>
    <row r="842" ht="15.75" customHeight="1">
      <c r="A842" s="16"/>
      <c r="B842" s="16"/>
      <c r="C842" s="16"/>
      <c r="D842" s="16"/>
      <c r="E842" s="16"/>
      <c r="F842" s="16"/>
      <c r="G842" s="16"/>
    </row>
    <row r="843" ht="15.75" customHeight="1">
      <c r="A843" s="16"/>
      <c r="B843" s="16"/>
      <c r="C843" s="16"/>
      <c r="D843" s="16"/>
      <c r="E843" s="16"/>
      <c r="F843" s="16"/>
      <c r="G843" s="16"/>
    </row>
    <row r="844" ht="15.75" customHeight="1">
      <c r="A844" s="16"/>
      <c r="B844" s="16"/>
      <c r="C844" s="16"/>
      <c r="D844" s="16"/>
      <c r="E844" s="16"/>
      <c r="F844" s="16"/>
      <c r="G844" s="16"/>
    </row>
    <row r="845" ht="15.75" customHeight="1">
      <c r="A845" s="16"/>
      <c r="B845" s="16"/>
      <c r="C845" s="16"/>
      <c r="D845" s="16"/>
      <c r="E845" s="16"/>
      <c r="F845" s="16"/>
      <c r="G845" s="16"/>
    </row>
    <row r="846" ht="15.75" customHeight="1">
      <c r="A846" s="16"/>
      <c r="B846" s="16"/>
      <c r="C846" s="16"/>
      <c r="D846" s="16"/>
      <c r="E846" s="16"/>
      <c r="F846" s="16"/>
      <c r="G846" s="16"/>
    </row>
    <row r="847" ht="15.75" customHeight="1">
      <c r="A847" s="16"/>
      <c r="B847" s="16"/>
      <c r="C847" s="16"/>
      <c r="D847" s="16"/>
      <c r="E847" s="16"/>
      <c r="F847" s="16"/>
      <c r="G847" s="16"/>
    </row>
    <row r="848" ht="15.75" customHeight="1">
      <c r="A848" s="16"/>
      <c r="B848" s="16"/>
      <c r="C848" s="16"/>
      <c r="D848" s="16"/>
      <c r="E848" s="16"/>
      <c r="F848" s="16"/>
      <c r="G848" s="16"/>
    </row>
    <row r="849" ht="15.75" customHeight="1">
      <c r="A849" s="16"/>
      <c r="B849" s="16"/>
      <c r="C849" s="16"/>
      <c r="D849" s="16"/>
      <c r="E849" s="16"/>
      <c r="F849" s="16"/>
      <c r="G849" s="16"/>
    </row>
    <row r="850" ht="15.75" customHeight="1">
      <c r="A850" s="16"/>
      <c r="B850" s="16"/>
      <c r="C850" s="16"/>
      <c r="D850" s="16"/>
      <c r="E850" s="16"/>
      <c r="F850" s="16"/>
      <c r="G850" s="16"/>
    </row>
    <row r="851" ht="15.75" customHeight="1">
      <c r="A851" s="16"/>
      <c r="B851" s="16"/>
      <c r="C851" s="16"/>
      <c r="D851" s="16"/>
      <c r="E851" s="16"/>
      <c r="F851" s="16"/>
      <c r="G851" s="16"/>
    </row>
    <row r="852" ht="15.75" customHeight="1">
      <c r="A852" s="16"/>
      <c r="B852" s="16"/>
      <c r="C852" s="16"/>
      <c r="D852" s="16"/>
      <c r="E852" s="16"/>
      <c r="F852" s="16"/>
      <c r="G852" s="16"/>
    </row>
    <row r="853" ht="15.75" customHeight="1">
      <c r="A853" s="16"/>
      <c r="B853" s="16"/>
      <c r="C853" s="16"/>
      <c r="D853" s="16"/>
      <c r="E853" s="16"/>
      <c r="F853" s="16"/>
      <c r="G853" s="16"/>
    </row>
    <row r="854" ht="15.75" customHeight="1">
      <c r="A854" s="16"/>
      <c r="B854" s="16"/>
      <c r="C854" s="16"/>
      <c r="D854" s="16"/>
      <c r="E854" s="16"/>
      <c r="F854" s="16"/>
      <c r="G854" s="16"/>
    </row>
    <row r="855" ht="15.75" customHeight="1">
      <c r="A855" s="16"/>
      <c r="B855" s="16"/>
      <c r="C855" s="16"/>
      <c r="D855" s="16"/>
      <c r="E855" s="16"/>
      <c r="F855" s="16"/>
      <c r="G855" s="16"/>
    </row>
    <row r="856" ht="15.75" customHeight="1">
      <c r="A856" s="16"/>
      <c r="B856" s="16"/>
      <c r="C856" s="16"/>
      <c r="D856" s="16"/>
      <c r="E856" s="16"/>
      <c r="F856" s="16"/>
      <c r="G856" s="16"/>
    </row>
    <row r="857" ht="15.75" customHeight="1">
      <c r="A857" s="16"/>
      <c r="B857" s="16"/>
      <c r="C857" s="16"/>
      <c r="D857" s="16"/>
      <c r="E857" s="16"/>
      <c r="F857" s="16"/>
      <c r="G857" s="16"/>
    </row>
    <row r="858" ht="15.75" customHeight="1">
      <c r="A858" s="16"/>
      <c r="B858" s="16"/>
      <c r="C858" s="16"/>
      <c r="D858" s="16"/>
      <c r="E858" s="16"/>
      <c r="F858" s="16"/>
      <c r="G858" s="16"/>
    </row>
    <row r="859" ht="15.75" customHeight="1">
      <c r="A859" s="16"/>
      <c r="B859" s="16"/>
      <c r="C859" s="16"/>
      <c r="D859" s="16"/>
      <c r="E859" s="16"/>
      <c r="F859" s="16"/>
      <c r="G859" s="16"/>
    </row>
    <row r="860" ht="15.75" customHeight="1">
      <c r="A860" s="16"/>
      <c r="B860" s="16"/>
      <c r="C860" s="16"/>
      <c r="D860" s="16"/>
      <c r="E860" s="16"/>
      <c r="F860" s="16"/>
      <c r="G860" s="16"/>
    </row>
    <row r="861" ht="15.75" customHeight="1">
      <c r="A861" s="16"/>
      <c r="B861" s="16"/>
      <c r="C861" s="16"/>
      <c r="D861" s="16"/>
      <c r="E861" s="16"/>
      <c r="F861" s="16"/>
      <c r="G861" s="16"/>
    </row>
    <row r="862" ht="15.75" customHeight="1">
      <c r="A862" s="16"/>
      <c r="B862" s="16"/>
      <c r="C862" s="16"/>
      <c r="D862" s="16"/>
      <c r="E862" s="16"/>
      <c r="F862" s="16"/>
      <c r="G862" s="16"/>
    </row>
    <row r="863" ht="15.75" customHeight="1">
      <c r="A863" s="16"/>
      <c r="B863" s="16"/>
      <c r="C863" s="16"/>
      <c r="D863" s="16"/>
      <c r="E863" s="16"/>
      <c r="F863" s="16"/>
      <c r="G863" s="16"/>
    </row>
    <row r="864" ht="15.75" customHeight="1">
      <c r="A864" s="16"/>
      <c r="B864" s="16"/>
      <c r="C864" s="16"/>
      <c r="D864" s="16"/>
      <c r="E864" s="16"/>
      <c r="F864" s="16"/>
      <c r="G864" s="16"/>
    </row>
    <row r="865" ht="15.75" customHeight="1">
      <c r="A865" s="16"/>
      <c r="B865" s="16"/>
      <c r="C865" s="16"/>
      <c r="D865" s="16"/>
      <c r="E865" s="16"/>
      <c r="F865" s="16"/>
      <c r="G865" s="16"/>
    </row>
    <row r="866" ht="15.75" customHeight="1">
      <c r="A866" s="16"/>
      <c r="B866" s="16"/>
      <c r="C866" s="16"/>
      <c r="D866" s="16"/>
      <c r="E866" s="16"/>
      <c r="F866" s="16"/>
      <c r="G866" s="16"/>
    </row>
    <row r="867" ht="15.75" customHeight="1">
      <c r="A867" s="16"/>
      <c r="B867" s="16"/>
      <c r="C867" s="16"/>
      <c r="D867" s="16"/>
      <c r="E867" s="16"/>
      <c r="F867" s="16"/>
      <c r="G867" s="16"/>
    </row>
    <row r="868" ht="15.75" customHeight="1">
      <c r="A868" s="16"/>
      <c r="B868" s="16"/>
      <c r="C868" s="16"/>
      <c r="D868" s="16"/>
      <c r="E868" s="16"/>
      <c r="F868" s="16"/>
      <c r="G868" s="16"/>
    </row>
    <row r="869" ht="15.75" customHeight="1">
      <c r="A869" s="16"/>
      <c r="B869" s="16"/>
      <c r="C869" s="16"/>
      <c r="D869" s="16"/>
      <c r="E869" s="16"/>
      <c r="F869" s="16"/>
      <c r="G869" s="16"/>
    </row>
    <row r="870" ht="15.75" customHeight="1">
      <c r="A870" s="16"/>
      <c r="B870" s="16"/>
      <c r="C870" s="16"/>
      <c r="D870" s="16"/>
      <c r="E870" s="16"/>
      <c r="F870" s="16"/>
      <c r="G870" s="16"/>
    </row>
    <row r="871" ht="15.75" customHeight="1">
      <c r="A871" s="16"/>
      <c r="B871" s="16"/>
      <c r="C871" s="16"/>
      <c r="D871" s="16"/>
      <c r="E871" s="16"/>
      <c r="F871" s="16"/>
      <c r="G871" s="16"/>
    </row>
    <row r="872" ht="15.75" customHeight="1">
      <c r="A872" s="16"/>
      <c r="B872" s="16"/>
      <c r="C872" s="16"/>
      <c r="D872" s="16"/>
      <c r="E872" s="16"/>
      <c r="F872" s="16"/>
      <c r="G872" s="16"/>
    </row>
    <row r="873" ht="15.75" customHeight="1">
      <c r="A873" s="16"/>
      <c r="B873" s="16"/>
      <c r="C873" s="16"/>
      <c r="D873" s="16"/>
      <c r="E873" s="16"/>
      <c r="F873" s="16"/>
      <c r="G873" s="16"/>
    </row>
    <row r="874" ht="15.75" customHeight="1">
      <c r="A874" s="16"/>
      <c r="B874" s="16"/>
      <c r="C874" s="16"/>
      <c r="D874" s="16"/>
      <c r="E874" s="16"/>
      <c r="F874" s="16"/>
      <c r="G874" s="16"/>
    </row>
    <row r="875" ht="15.75" customHeight="1">
      <c r="A875" s="16"/>
      <c r="B875" s="16"/>
      <c r="C875" s="16"/>
      <c r="D875" s="16"/>
      <c r="E875" s="16"/>
      <c r="F875" s="16"/>
      <c r="G875" s="16"/>
    </row>
    <row r="876" ht="15.75" customHeight="1">
      <c r="A876" s="16"/>
      <c r="B876" s="16"/>
      <c r="C876" s="16"/>
      <c r="D876" s="16"/>
      <c r="E876" s="16"/>
      <c r="F876" s="16"/>
      <c r="G876" s="16"/>
    </row>
    <row r="877" ht="15.75" customHeight="1">
      <c r="A877" s="16"/>
      <c r="B877" s="16"/>
      <c r="C877" s="16"/>
      <c r="D877" s="16"/>
      <c r="E877" s="16"/>
      <c r="F877" s="16"/>
      <c r="G877" s="16"/>
    </row>
    <row r="878" ht="15.75" customHeight="1">
      <c r="A878" s="16"/>
      <c r="B878" s="16"/>
      <c r="C878" s="16"/>
      <c r="D878" s="16"/>
      <c r="E878" s="16"/>
      <c r="F878" s="16"/>
      <c r="G878" s="16"/>
    </row>
    <row r="879" ht="15.75" customHeight="1">
      <c r="A879" s="16"/>
      <c r="B879" s="16"/>
      <c r="C879" s="16"/>
      <c r="D879" s="16"/>
      <c r="E879" s="16"/>
      <c r="F879" s="16"/>
      <c r="G879" s="16"/>
    </row>
    <row r="880" ht="15.75" customHeight="1">
      <c r="A880" s="16"/>
      <c r="B880" s="16"/>
      <c r="C880" s="16"/>
      <c r="D880" s="16"/>
      <c r="E880" s="16"/>
      <c r="F880" s="16"/>
      <c r="G880" s="16"/>
    </row>
    <row r="881" ht="15.75" customHeight="1">
      <c r="A881" s="16"/>
      <c r="B881" s="16"/>
      <c r="C881" s="16"/>
      <c r="D881" s="16"/>
      <c r="E881" s="16"/>
      <c r="F881" s="16"/>
      <c r="G881" s="16"/>
    </row>
    <row r="882" ht="15.75" customHeight="1">
      <c r="A882" s="16"/>
      <c r="B882" s="16"/>
      <c r="C882" s="16"/>
      <c r="D882" s="16"/>
      <c r="E882" s="16"/>
      <c r="F882" s="16"/>
      <c r="G882" s="16"/>
    </row>
    <row r="883" ht="15.75" customHeight="1">
      <c r="A883" s="16"/>
      <c r="B883" s="16"/>
      <c r="C883" s="16"/>
      <c r="D883" s="16"/>
      <c r="E883" s="16"/>
      <c r="F883" s="16"/>
      <c r="G883" s="16"/>
    </row>
    <row r="884" ht="15.75" customHeight="1">
      <c r="A884" s="16"/>
      <c r="B884" s="16"/>
      <c r="C884" s="16"/>
      <c r="D884" s="16"/>
      <c r="E884" s="16"/>
      <c r="F884" s="16"/>
      <c r="G884" s="16"/>
    </row>
    <row r="885" ht="15.75" customHeight="1">
      <c r="A885" s="16"/>
      <c r="B885" s="16"/>
      <c r="C885" s="16"/>
      <c r="D885" s="16"/>
      <c r="E885" s="16"/>
      <c r="F885" s="16"/>
      <c r="G885" s="16"/>
    </row>
    <row r="886" ht="15.75" customHeight="1">
      <c r="A886" s="16"/>
      <c r="B886" s="16"/>
      <c r="C886" s="16"/>
      <c r="D886" s="16"/>
      <c r="E886" s="16"/>
      <c r="F886" s="16"/>
      <c r="G886" s="16"/>
    </row>
    <row r="887" ht="15.75" customHeight="1">
      <c r="A887" s="16"/>
      <c r="B887" s="16"/>
      <c r="C887" s="16"/>
      <c r="D887" s="16"/>
      <c r="E887" s="16"/>
      <c r="F887" s="16"/>
      <c r="G887" s="16"/>
    </row>
    <row r="888" ht="15.75" customHeight="1">
      <c r="A888" s="16"/>
      <c r="B888" s="16"/>
      <c r="C888" s="16"/>
      <c r="D888" s="16"/>
      <c r="E888" s="16"/>
      <c r="F888" s="16"/>
      <c r="G888" s="16"/>
    </row>
    <row r="889" ht="15.75" customHeight="1">
      <c r="A889" s="16"/>
      <c r="B889" s="16"/>
      <c r="C889" s="16"/>
      <c r="D889" s="16"/>
      <c r="E889" s="16"/>
      <c r="F889" s="16"/>
      <c r="G889" s="16"/>
    </row>
    <row r="890" ht="15.75" customHeight="1">
      <c r="A890" s="16"/>
      <c r="B890" s="16"/>
      <c r="C890" s="16"/>
      <c r="D890" s="16"/>
      <c r="E890" s="16"/>
      <c r="F890" s="16"/>
      <c r="G890" s="16"/>
    </row>
    <row r="891" ht="15.75" customHeight="1">
      <c r="A891" s="16"/>
      <c r="B891" s="16"/>
      <c r="C891" s="16"/>
      <c r="D891" s="16"/>
      <c r="E891" s="16"/>
      <c r="F891" s="16"/>
      <c r="G891" s="16"/>
    </row>
    <row r="892" ht="15.75" customHeight="1">
      <c r="A892" s="16"/>
      <c r="B892" s="16"/>
      <c r="C892" s="16"/>
      <c r="D892" s="16"/>
      <c r="E892" s="16"/>
      <c r="F892" s="16"/>
      <c r="G892" s="16"/>
    </row>
    <row r="893" ht="15.75" customHeight="1">
      <c r="A893" s="16"/>
      <c r="B893" s="16"/>
      <c r="C893" s="16"/>
      <c r="D893" s="16"/>
      <c r="E893" s="16"/>
      <c r="F893" s="16"/>
      <c r="G893" s="16"/>
    </row>
    <row r="894" ht="15.75" customHeight="1">
      <c r="A894" s="16"/>
      <c r="B894" s="16"/>
      <c r="C894" s="16"/>
      <c r="D894" s="16"/>
      <c r="E894" s="16"/>
      <c r="F894" s="16"/>
      <c r="G894" s="16"/>
    </row>
    <row r="895" ht="15.75" customHeight="1">
      <c r="A895" s="16"/>
      <c r="B895" s="16"/>
      <c r="C895" s="16"/>
      <c r="D895" s="16"/>
      <c r="E895" s="16"/>
      <c r="F895" s="16"/>
      <c r="G895" s="16"/>
    </row>
    <row r="896" ht="15.75" customHeight="1">
      <c r="A896" s="16"/>
      <c r="B896" s="16"/>
      <c r="C896" s="16"/>
      <c r="D896" s="16"/>
      <c r="E896" s="16"/>
      <c r="F896" s="16"/>
      <c r="G896" s="16"/>
    </row>
    <row r="897" ht="15.75" customHeight="1">
      <c r="A897" s="16"/>
      <c r="B897" s="16"/>
      <c r="C897" s="16"/>
      <c r="D897" s="16"/>
      <c r="E897" s="16"/>
      <c r="F897" s="16"/>
      <c r="G897" s="16"/>
    </row>
    <row r="898" ht="15.75" customHeight="1">
      <c r="A898" s="16"/>
      <c r="B898" s="16"/>
      <c r="C898" s="16"/>
      <c r="D898" s="16"/>
      <c r="E898" s="16"/>
      <c r="F898" s="16"/>
      <c r="G898" s="16"/>
    </row>
    <row r="899" ht="15.75" customHeight="1">
      <c r="A899" s="16"/>
      <c r="B899" s="16"/>
      <c r="C899" s="16"/>
      <c r="D899" s="16"/>
      <c r="E899" s="16"/>
      <c r="F899" s="16"/>
      <c r="G899" s="16"/>
    </row>
    <row r="900" ht="15.75" customHeight="1">
      <c r="A900" s="16"/>
      <c r="B900" s="16"/>
      <c r="C900" s="16"/>
      <c r="D900" s="16"/>
      <c r="E900" s="16"/>
      <c r="F900" s="16"/>
      <c r="G900" s="16"/>
    </row>
    <row r="901" ht="15.75" customHeight="1">
      <c r="A901" s="16"/>
      <c r="B901" s="16"/>
      <c r="C901" s="16"/>
      <c r="D901" s="16"/>
      <c r="E901" s="16"/>
      <c r="F901" s="16"/>
      <c r="G901" s="16"/>
    </row>
    <row r="902" ht="15.75" customHeight="1">
      <c r="A902" s="16"/>
      <c r="B902" s="16"/>
      <c r="C902" s="16"/>
      <c r="D902" s="16"/>
      <c r="E902" s="16"/>
      <c r="F902" s="16"/>
      <c r="G902" s="16"/>
    </row>
    <row r="903" ht="15.75" customHeight="1">
      <c r="A903" s="16"/>
      <c r="B903" s="16"/>
      <c r="C903" s="16"/>
      <c r="D903" s="16"/>
      <c r="E903" s="16"/>
      <c r="F903" s="16"/>
      <c r="G903" s="16"/>
    </row>
    <row r="904" ht="15.75" customHeight="1">
      <c r="A904" s="16"/>
      <c r="B904" s="16"/>
      <c r="C904" s="16"/>
      <c r="D904" s="16"/>
      <c r="E904" s="16"/>
      <c r="F904" s="16"/>
      <c r="G904" s="16"/>
    </row>
    <row r="905" ht="15.75" customHeight="1">
      <c r="A905" s="16"/>
      <c r="B905" s="16"/>
      <c r="C905" s="16"/>
      <c r="D905" s="16"/>
      <c r="E905" s="16"/>
      <c r="F905" s="16"/>
      <c r="G905" s="16"/>
    </row>
    <row r="906" ht="15.75" customHeight="1">
      <c r="A906" s="16"/>
      <c r="B906" s="16"/>
      <c r="C906" s="16"/>
      <c r="D906" s="16"/>
      <c r="E906" s="16"/>
      <c r="F906" s="16"/>
      <c r="G906" s="16"/>
    </row>
    <row r="907" ht="15.75" customHeight="1">
      <c r="A907" s="16"/>
      <c r="B907" s="16"/>
      <c r="C907" s="16"/>
      <c r="D907" s="16"/>
      <c r="E907" s="16"/>
      <c r="F907" s="16"/>
      <c r="G907" s="16"/>
    </row>
    <row r="908" ht="15.75" customHeight="1">
      <c r="A908" s="16"/>
      <c r="B908" s="16"/>
      <c r="C908" s="16"/>
      <c r="D908" s="16"/>
      <c r="E908" s="16"/>
      <c r="F908" s="16"/>
      <c r="G908" s="16"/>
    </row>
    <row r="909" ht="15.75" customHeight="1">
      <c r="A909" s="16"/>
      <c r="B909" s="16"/>
      <c r="C909" s="16"/>
      <c r="D909" s="16"/>
      <c r="E909" s="16"/>
      <c r="F909" s="16"/>
      <c r="G909" s="16"/>
    </row>
    <row r="910" ht="15.75" customHeight="1">
      <c r="A910" s="16"/>
      <c r="B910" s="16"/>
      <c r="C910" s="16"/>
      <c r="D910" s="16"/>
      <c r="E910" s="16"/>
      <c r="F910" s="16"/>
      <c r="G910" s="16"/>
    </row>
    <row r="911" ht="15.75" customHeight="1">
      <c r="A911" s="16"/>
      <c r="B911" s="16"/>
      <c r="C911" s="16"/>
      <c r="D911" s="16"/>
      <c r="E911" s="16"/>
      <c r="F911" s="16"/>
      <c r="G911" s="16"/>
    </row>
    <row r="912" ht="15.75" customHeight="1">
      <c r="A912" s="16"/>
      <c r="B912" s="16"/>
      <c r="C912" s="16"/>
      <c r="D912" s="16"/>
      <c r="E912" s="16"/>
      <c r="F912" s="16"/>
      <c r="G912" s="16"/>
    </row>
    <row r="913" ht="15.75" customHeight="1">
      <c r="A913" s="16"/>
      <c r="B913" s="16"/>
      <c r="C913" s="16"/>
      <c r="D913" s="16"/>
      <c r="E913" s="16"/>
      <c r="F913" s="16"/>
      <c r="G913" s="16"/>
    </row>
    <row r="914" ht="15.75" customHeight="1">
      <c r="A914" s="16"/>
      <c r="B914" s="16"/>
      <c r="C914" s="16"/>
      <c r="D914" s="16"/>
      <c r="E914" s="16"/>
      <c r="F914" s="16"/>
      <c r="G914" s="16"/>
    </row>
    <row r="915" ht="15.75" customHeight="1">
      <c r="A915" s="16"/>
      <c r="B915" s="16"/>
      <c r="C915" s="16"/>
      <c r="D915" s="16"/>
      <c r="E915" s="16"/>
      <c r="F915" s="16"/>
      <c r="G915" s="16"/>
    </row>
    <row r="916" ht="15.75" customHeight="1">
      <c r="A916" s="16"/>
      <c r="B916" s="16"/>
      <c r="C916" s="16"/>
      <c r="D916" s="16"/>
      <c r="E916" s="16"/>
      <c r="F916" s="16"/>
      <c r="G916" s="16"/>
    </row>
    <row r="917" ht="15.75" customHeight="1">
      <c r="A917" s="16"/>
      <c r="B917" s="16"/>
      <c r="C917" s="16"/>
      <c r="D917" s="16"/>
      <c r="E917" s="16"/>
      <c r="F917" s="16"/>
      <c r="G917" s="16"/>
    </row>
    <row r="918" ht="15.75" customHeight="1">
      <c r="A918" s="16"/>
      <c r="B918" s="16"/>
      <c r="C918" s="16"/>
      <c r="D918" s="16"/>
      <c r="E918" s="16"/>
      <c r="F918" s="16"/>
      <c r="G918" s="16"/>
    </row>
    <row r="919" ht="15.75" customHeight="1">
      <c r="A919" s="16"/>
      <c r="B919" s="16"/>
      <c r="C919" s="16"/>
      <c r="D919" s="16"/>
      <c r="E919" s="16"/>
      <c r="F919" s="16"/>
      <c r="G919" s="16"/>
    </row>
    <row r="920" ht="15.75" customHeight="1">
      <c r="A920" s="16"/>
      <c r="B920" s="16"/>
      <c r="C920" s="16"/>
      <c r="D920" s="16"/>
      <c r="E920" s="16"/>
      <c r="F920" s="16"/>
      <c r="G920" s="16"/>
    </row>
    <row r="921" ht="15.75" customHeight="1">
      <c r="A921" s="16"/>
      <c r="B921" s="16"/>
      <c r="C921" s="16"/>
      <c r="D921" s="16"/>
      <c r="E921" s="16"/>
      <c r="F921" s="16"/>
      <c r="G921" s="16"/>
    </row>
    <row r="922" ht="15.75" customHeight="1">
      <c r="A922" s="16"/>
      <c r="B922" s="16"/>
      <c r="C922" s="16"/>
      <c r="D922" s="16"/>
      <c r="E922" s="16"/>
      <c r="F922" s="16"/>
      <c r="G922" s="16"/>
    </row>
    <row r="923" ht="15.75" customHeight="1">
      <c r="A923" s="16"/>
      <c r="B923" s="16"/>
      <c r="C923" s="16"/>
      <c r="D923" s="16"/>
      <c r="E923" s="16"/>
      <c r="F923" s="16"/>
      <c r="G923" s="16"/>
    </row>
    <row r="924" ht="15.75" customHeight="1">
      <c r="A924" s="16"/>
      <c r="B924" s="16"/>
      <c r="C924" s="16"/>
      <c r="D924" s="16"/>
      <c r="E924" s="16"/>
      <c r="F924" s="16"/>
      <c r="G924" s="16"/>
    </row>
    <row r="925" ht="15.75" customHeight="1">
      <c r="A925" s="16"/>
      <c r="B925" s="16"/>
      <c r="C925" s="16"/>
      <c r="D925" s="16"/>
      <c r="E925" s="16"/>
      <c r="F925" s="16"/>
      <c r="G925" s="16"/>
    </row>
    <row r="926" ht="15.75" customHeight="1">
      <c r="A926" s="16"/>
      <c r="B926" s="16"/>
      <c r="C926" s="16"/>
      <c r="D926" s="16"/>
      <c r="E926" s="16"/>
      <c r="F926" s="16"/>
      <c r="G926" s="16"/>
    </row>
    <row r="927" ht="15.75" customHeight="1">
      <c r="A927" s="16"/>
      <c r="B927" s="16"/>
      <c r="C927" s="16"/>
      <c r="D927" s="16"/>
      <c r="E927" s="16"/>
      <c r="F927" s="16"/>
      <c r="G927" s="16"/>
    </row>
    <row r="928" ht="15.75" customHeight="1">
      <c r="A928" s="16"/>
      <c r="B928" s="16"/>
      <c r="C928" s="16"/>
      <c r="D928" s="16"/>
      <c r="E928" s="16"/>
      <c r="F928" s="16"/>
      <c r="G928" s="16"/>
    </row>
    <row r="929" ht="15.75" customHeight="1">
      <c r="A929" s="16"/>
      <c r="B929" s="16"/>
      <c r="C929" s="16"/>
      <c r="D929" s="16"/>
      <c r="E929" s="16"/>
      <c r="F929" s="16"/>
      <c r="G929" s="16"/>
    </row>
    <row r="930" ht="15.75" customHeight="1">
      <c r="A930" s="16"/>
      <c r="B930" s="16"/>
      <c r="C930" s="16"/>
      <c r="D930" s="16"/>
      <c r="E930" s="16"/>
      <c r="F930" s="16"/>
      <c r="G930" s="16"/>
    </row>
    <row r="931" ht="15.75" customHeight="1">
      <c r="A931" s="16"/>
      <c r="B931" s="16"/>
      <c r="C931" s="16"/>
      <c r="D931" s="16"/>
      <c r="E931" s="16"/>
      <c r="F931" s="16"/>
      <c r="G931" s="16"/>
    </row>
    <row r="932" ht="15.75" customHeight="1">
      <c r="A932" s="16"/>
      <c r="B932" s="16"/>
      <c r="C932" s="16"/>
      <c r="D932" s="16"/>
      <c r="E932" s="16"/>
      <c r="F932" s="16"/>
      <c r="G932" s="16"/>
    </row>
    <row r="933" ht="15.75" customHeight="1">
      <c r="A933" s="16"/>
      <c r="B933" s="16"/>
      <c r="C933" s="16"/>
      <c r="D933" s="16"/>
      <c r="E933" s="16"/>
      <c r="F933" s="16"/>
      <c r="G933" s="16"/>
    </row>
    <row r="934" ht="15.75" customHeight="1">
      <c r="A934" s="16"/>
      <c r="B934" s="16"/>
      <c r="C934" s="16"/>
      <c r="D934" s="16"/>
      <c r="E934" s="16"/>
      <c r="F934" s="16"/>
      <c r="G934" s="16"/>
    </row>
    <row r="935" ht="15.75" customHeight="1">
      <c r="A935" s="16"/>
      <c r="B935" s="16"/>
      <c r="C935" s="16"/>
      <c r="D935" s="16"/>
      <c r="E935" s="16"/>
      <c r="F935" s="16"/>
      <c r="G935" s="16"/>
    </row>
    <row r="936" ht="15.75" customHeight="1">
      <c r="A936" s="16"/>
      <c r="B936" s="16"/>
      <c r="C936" s="16"/>
      <c r="D936" s="16"/>
      <c r="E936" s="16"/>
      <c r="F936" s="16"/>
      <c r="G936" s="16"/>
    </row>
    <row r="937" ht="15.75" customHeight="1">
      <c r="A937" s="16"/>
      <c r="B937" s="16"/>
      <c r="C937" s="16"/>
      <c r="D937" s="16"/>
      <c r="E937" s="16"/>
      <c r="F937" s="16"/>
      <c r="G937" s="16"/>
    </row>
    <row r="938" ht="15.75" customHeight="1">
      <c r="A938" s="16"/>
      <c r="B938" s="16"/>
      <c r="C938" s="16"/>
      <c r="D938" s="16"/>
      <c r="E938" s="16"/>
      <c r="F938" s="16"/>
      <c r="G938" s="16"/>
    </row>
    <row r="939" ht="15.75" customHeight="1">
      <c r="A939" s="16"/>
      <c r="B939" s="16"/>
      <c r="C939" s="16"/>
      <c r="D939" s="16"/>
      <c r="E939" s="16"/>
      <c r="F939" s="16"/>
      <c r="G939" s="16"/>
    </row>
    <row r="940" ht="15.75" customHeight="1">
      <c r="A940" s="16"/>
      <c r="B940" s="16"/>
      <c r="C940" s="16"/>
      <c r="D940" s="16"/>
      <c r="E940" s="16"/>
      <c r="F940" s="16"/>
      <c r="G940" s="16"/>
    </row>
    <row r="941" ht="15.75" customHeight="1">
      <c r="A941" s="16"/>
      <c r="B941" s="16"/>
      <c r="C941" s="16"/>
      <c r="D941" s="16"/>
      <c r="E941" s="16"/>
      <c r="F941" s="16"/>
      <c r="G941" s="16"/>
    </row>
    <row r="942" ht="15.75" customHeight="1">
      <c r="A942" s="16"/>
      <c r="B942" s="16"/>
      <c r="C942" s="16"/>
      <c r="D942" s="16"/>
      <c r="E942" s="16"/>
      <c r="F942" s="16"/>
      <c r="G942" s="16"/>
    </row>
    <row r="943" ht="15.75" customHeight="1">
      <c r="A943" s="16"/>
      <c r="B943" s="16"/>
      <c r="C943" s="16"/>
      <c r="D943" s="16"/>
      <c r="E943" s="16"/>
      <c r="F943" s="16"/>
      <c r="G943" s="16"/>
    </row>
    <row r="944" ht="15.75" customHeight="1">
      <c r="A944" s="16"/>
      <c r="B944" s="16"/>
      <c r="C944" s="16"/>
      <c r="D944" s="16"/>
      <c r="E944" s="16"/>
      <c r="F944" s="16"/>
      <c r="G944" s="16"/>
    </row>
    <row r="945" ht="15.75" customHeight="1">
      <c r="A945" s="16"/>
      <c r="B945" s="16"/>
      <c r="C945" s="16"/>
      <c r="D945" s="16"/>
      <c r="E945" s="16"/>
      <c r="F945" s="16"/>
      <c r="G945" s="16"/>
    </row>
    <row r="946" ht="15.75" customHeight="1">
      <c r="A946" s="16"/>
      <c r="B946" s="16"/>
      <c r="C946" s="16"/>
      <c r="D946" s="16"/>
      <c r="E946" s="16"/>
      <c r="F946" s="16"/>
      <c r="G946" s="16"/>
    </row>
    <row r="947" ht="15.75" customHeight="1">
      <c r="A947" s="16"/>
      <c r="B947" s="16"/>
      <c r="C947" s="16"/>
      <c r="D947" s="16"/>
      <c r="E947" s="16"/>
      <c r="F947" s="16"/>
      <c r="G947" s="16"/>
    </row>
    <row r="948" ht="15.75" customHeight="1">
      <c r="A948" s="16"/>
      <c r="B948" s="16"/>
      <c r="C948" s="16"/>
      <c r="D948" s="16"/>
      <c r="E948" s="16"/>
      <c r="F948" s="16"/>
      <c r="G948" s="16"/>
    </row>
    <row r="949" ht="15.75" customHeight="1">
      <c r="A949" s="16"/>
      <c r="B949" s="16"/>
      <c r="C949" s="16"/>
      <c r="D949" s="16"/>
      <c r="E949" s="16"/>
      <c r="F949" s="16"/>
      <c r="G949" s="16"/>
    </row>
    <row r="950" ht="15.75" customHeight="1">
      <c r="A950" s="16"/>
      <c r="B950" s="16"/>
      <c r="C950" s="16"/>
      <c r="D950" s="16"/>
      <c r="E950" s="16"/>
      <c r="F950" s="16"/>
      <c r="G950" s="16"/>
    </row>
    <row r="951" ht="15.75" customHeight="1">
      <c r="A951" s="16"/>
      <c r="B951" s="16"/>
      <c r="C951" s="16"/>
      <c r="D951" s="16"/>
      <c r="E951" s="16"/>
      <c r="F951" s="16"/>
      <c r="G951" s="16"/>
    </row>
    <row r="952" ht="15.75" customHeight="1">
      <c r="A952" s="16"/>
      <c r="B952" s="16"/>
      <c r="C952" s="16"/>
      <c r="D952" s="16"/>
      <c r="E952" s="16"/>
      <c r="F952" s="16"/>
      <c r="G952" s="16"/>
    </row>
    <row r="953" ht="15.75" customHeight="1">
      <c r="A953" s="16"/>
      <c r="B953" s="16"/>
      <c r="C953" s="16"/>
      <c r="D953" s="16"/>
      <c r="E953" s="16"/>
      <c r="F953" s="16"/>
      <c r="G953" s="16"/>
    </row>
    <row r="954" ht="15.75" customHeight="1">
      <c r="A954" s="16"/>
      <c r="B954" s="16"/>
      <c r="C954" s="16"/>
      <c r="D954" s="16"/>
      <c r="E954" s="16"/>
      <c r="F954" s="16"/>
      <c r="G954" s="16"/>
    </row>
    <row r="955" ht="15.75" customHeight="1">
      <c r="A955" s="16"/>
      <c r="B955" s="16"/>
      <c r="C955" s="16"/>
      <c r="D955" s="16"/>
      <c r="E955" s="16"/>
      <c r="F955" s="16"/>
      <c r="G955" s="16"/>
    </row>
    <row r="956" ht="15.75" customHeight="1">
      <c r="A956" s="16"/>
      <c r="B956" s="16"/>
      <c r="C956" s="16"/>
      <c r="D956" s="16"/>
      <c r="E956" s="16"/>
      <c r="F956" s="16"/>
      <c r="G956" s="16"/>
    </row>
    <row r="957" ht="15.75" customHeight="1">
      <c r="A957" s="16"/>
      <c r="B957" s="16"/>
      <c r="C957" s="16"/>
      <c r="D957" s="16"/>
      <c r="E957" s="16"/>
      <c r="F957" s="16"/>
      <c r="G957" s="16"/>
    </row>
    <row r="958" ht="15.75" customHeight="1">
      <c r="A958" s="16"/>
      <c r="B958" s="16"/>
      <c r="C958" s="16"/>
      <c r="D958" s="16"/>
      <c r="E958" s="16"/>
      <c r="F958" s="16"/>
      <c r="G958" s="16"/>
    </row>
    <row r="959" ht="15.75" customHeight="1">
      <c r="A959" s="16"/>
      <c r="B959" s="16"/>
      <c r="C959" s="16"/>
      <c r="D959" s="16"/>
      <c r="E959" s="16"/>
      <c r="F959" s="16"/>
      <c r="G959" s="16"/>
    </row>
    <row r="960" ht="15.75" customHeight="1">
      <c r="A960" s="16"/>
      <c r="B960" s="16"/>
      <c r="C960" s="16"/>
      <c r="D960" s="16"/>
      <c r="E960" s="16"/>
      <c r="F960" s="16"/>
      <c r="G960" s="16"/>
    </row>
    <row r="961" ht="15.75" customHeight="1">
      <c r="A961" s="16"/>
      <c r="B961" s="16"/>
      <c r="C961" s="16"/>
      <c r="D961" s="16"/>
      <c r="E961" s="16"/>
      <c r="F961" s="16"/>
      <c r="G961" s="16"/>
    </row>
    <row r="962" ht="15.75" customHeight="1">
      <c r="A962" s="16"/>
      <c r="B962" s="16"/>
      <c r="C962" s="16"/>
      <c r="D962" s="16"/>
      <c r="E962" s="16"/>
      <c r="F962" s="16"/>
      <c r="G962" s="16"/>
    </row>
    <row r="963" ht="15.75" customHeight="1">
      <c r="A963" s="16"/>
      <c r="B963" s="16"/>
      <c r="C963" s="16"/>
      <c r="D963" s="16"/>
      <c r="E963" s="16"/>
      <c r="F963" s="16"/>
      <c r="G963" s="16"/>
    </row>
    <row r="964" ht="15.75" customHeight="1">
      <c r="A964" s="16"/>
      <c r="B964" s="16"/>
      <c r="C964" s="16"/>
      <c r="D964" s="16"/>
      <c r="E964" s="16"/>
      <c r="F964" s="16"/>
      <c r="G964" s="16"/>
    </row>
    <row r="965" ht="15.75" customHeight="1">
      <c r="A965" s="16"/>
      <c r="B965" s="16"/>
      <c r="C965" s="16"/>
      <c r="D965" s="16"/>
      <c r="E965" s="16"/>
      <c r="F965" s="16"/>
      <c r="G965" s="16"/>
    </row>
    <row r="966" ht="15.75" customHeight="1">
      <c r="A966" s="16"/>
      <c r="B966" s="16"/>
      <c r="C966" s="16"/>
      <c r="D966" s="16"/>
      <c r="E966" s="16"/>
      <c r="F966" s="16"/>
      <c r="G966" s="16"/>
    </row>
    <row r="967" ht="15.75" customHeight="1">
      <c r="A967" s="16"/>
      <c r="B967" s="16"/>
      <c r="C967" s="16"/>
      <c r="D967" s="16"/>
      <c r="E967" s="16"/>
      <c r="F967" s="16"/>
      <c r="G967" s="16"/>
    </row>
    <row r="968" ht="15.75" customHeight="1">
      <c r="A968" s="16"/>
      <c r="B968" s="16"/>
      <c r="C968" s="16"/>
      <c r="D968" s="16"/>
      <c r="E968" s="16"/>
      <c r="F968" s="16"/>
      <c r="G968" s="16"/>
    </row>
    <row r="969" ht="15.75" customHeight="1">
      <c r="A969" s="16"/>
      <c r="B969" s="16"/>
      <c r="C969" s="16"/>
      <c r="D969" s="16"/>
      <c r="E969" s="16"/>
      <c r="F969" s="16"/>
      <c r="G969" s="16"/>
    </row>
    <row r="970" ht="15.75" customHeight="1">
      <c r="A970" s="16"/>
      <c r="B970" s="16"/>
      <c r="C970" s="16"/>
      <c r="D970" s="16"/>
      <c r="E970" s="16"/>
      <c r="F970" s="16"/>
      <c r="G970" s="16"/>
    </row>
    <row r="971" ht="15.75" customHeight="1">
      <c r="A971" s="16"/>
      <c r="B971" s="16"/>
      <c r="C971" s="16"/>
      <c r="D971" s="16"/>
      <c r="E971" s="16"/>
      <c r="F971" s="16"/>
      <c r="G971" s="16"/>
    </row>
    <row r="972" ht="15.75" customHeight="1">
      <c r="A972" s="16"/>
      <c r="B972" s="16"/>
      <c r="C972" s="16"/>
      <c r="D972" s="16"/>
      <c r="E972" s="16"/>
      <c r="F972" s="16"/>
      <c r="G972" s="16"/>
    </row>
    <row r="973" ht="15.75" customHeight="1">
      <c r="A973" s="16"/>
      <c r="B973" s="16"/>
      <c r="C973" s="16"/>
      <c r="D973" s="16"/>
      <c r="E973" s="16"/>
      <c r="F973" s="16"/>
      <c r="G973" s="16"/>
    </row>
    <row r="974" ht="15.75" customHeight="1">
      <c r="A974" s="16"/>
      <c r="B974" s="16"/>
      <c r="C974" s="16"/>
      <c r="D974" s="16"/>
      <c r="E974" s="16"/>
      <c r="F974" s="16"/>
      <c r="G974" s="16"/>
    </row>
    <row r="975" ht="15.75" customHeight="1">
      <c r="A975" s="16"/>
      <c r="B975" s="16"/>
      <c r="C975" s="16"/>
      <c r="D975" s="16"/>
      <c r="E975" s="16"/>
      <c r="F975" s="16"/>
      <c r="G975" s="16"/>
    </row>
    <row r="976" ht="15.75" customHeight="1">
      <c r="A976" s="16"/>
      <c r="B976" s="16"/>
      <c r="C976" s="16"/>
      <c r="D976" s="16"/>
      <c r="E976" s="16"/>
      <c r="F976" s="16"/>
      <c r="G976" s="16"/>
    </row>
    <row r="977" ht="15.75" customHeight="1">
      <c r="A977" s="16"/>
      <c r="B977" s="16"/>
      <c r="C977" s="16"/>
      <c r="D977" s="16"/>
      <c r="E977" s="16"/>
      <c r="F977" s="16"/>
      <c r="G977" s="16"/>
    </row>
    <row r="978" ht="15.75" customHeight="1">
      <c r="A978" s="16"/>
      <c r="B978" s="16"/>
      <c r="C978" s="16"/>
      <c r="D978" s="16"/>
      <c r="E978" s="16"/>
      <c r="F978" s="16"/>
      <c r="G978" s="16"/>
    </row>
    <row r="979" ht="15.75" customHeight="1">
      <c r="A979" s="16"/>
      <c r="B979" s="16"/>
      <c r="C979" s="16"/>
      <c r="D979" s="16"/>
      <c r="E979" s="16"/>
      <c r="F979" s="16"/>
      <c r="G979" s="16"/>
    </row>
    <row r="980" ht="15.75" customHeight="1">
      <c r="A980" s="16"/>
      <c r="B980" s="16"/>
      <c r="C980" s="16"/>
      <c r="D980" s="16"/>
      <c r="E980" s="16"/>
      <c r="F980" s="16"/>
      <c r="G980" s="16"/>
    </row>
    <row r="981" ht="15.75" customHeight="1">
      <c r="A981" s="16"/>
      <c r="B981" s="16"/>
      <c r="C981" s="16"/>
      <c r="D981" s="16"/>
      <c r="E981" s="16"/>
      <c r="F981" s="16"/>
      <c r="G981" s="16"/>
    </row>
    <row r="982" ht="15.75" customHeight="1">
      <c r="A982" s="16"/>
      <c r="B982" s="16"/>
      <c r="C982" s="16"/>
      <c r="D982" s="16"/>
      <c r="E982" s="16"/>
      <c r="F982" s="16"/>
      <c r="G982" s="16"/>
    </row>
    <row r="983" ht="15.75" customHeight="1">
      <c r="A983" s="16"/>
      <c r="B983" s="16"/>
      <c r="C983" s="16"/>
      <c r="D983" s="16"/>
      <c r="E983" s="16"/>
      <c r="F983" s="16"/>
      <c r="G983" s="16"/>
    </row>
    <row r="984" ht="15.75" customHeight="1">
      <c r="A984" s="16"/>
      <c r="B984" s="16"/>
      <c r="C984" s="16"/>
      <c r="D984" s="16"/>
      <c r="E984" s="16"/>
      <c r="F984" s="16"/>
      <c r="G984" s="16"/>
    </row>
    <row r="985" ht="15.75" customHeight="1">
      <c r="A985" s="16"/>
      <c r="B985" s="16"/>
      <c r="C985" s="16"/>
      <c r="D985" s="16"/>
      <c r="E985" s="16"/>
      <c r="F985" s="16"/>
      <c r="G985" s="16"/>
    </row>
    <row r="986" ht="15.75" customHeight="1">
      <c r="A986" s="16"/>
      <c r="B986" s="16"/>
      <c r="C986" s="16"/>
      <c r="D986" s="16"/>
      <c r="E986" s="16"/>
      <c r="F986" s="16"/>
      <c r="G986" s="16"/>
    </row>
    <row r="987" ht="15.75" customHeight="1">
      <c r="A987" s="16"/>
      <c r="B987" s="16"/>
      <c r="C987" s="16"/>
      <c r="D987" s="16"/>
      <c r="E987" s="16"/>
      <c r="F987" s="16"/>
      <c r="G987" s="16"/>
    </row>
    <row r="988" ht="15.75" customHeight="1">
      <c r="A988" s="16"/>
      <c r="B988" s="16"/>
      <c r="C988" s="16"/>
      <c r="D988" s="16"/>
      <c r="E988" s="16"/>
      <c r="F988" s="16"/>
      <c r="G988" s="16"/>
    </row>
    <row r="989" ht="15.75" customHeight="1">
      <c r="A989" s="16"/>
      <c r="B989" s="16"/>
      <c r="C989" s="16"/>
      <c r="D989" s="16"/>
      <c r="E989" s="16"/>
      <c r="F989" s="16"/>
      <c r="G989" s="16"/>
    </row>
    <row r="990" ht="15.75" customHeight="1">
      <c r="A990" s="16"/>
      <c r="B990" s="16"/>
      <c r="C990" s="16"/>
      <c r="D990" s="16"/>
      <c r="E990" s="16"/>
      <c r="F990" s="16"/>
      <c r="G990" s="16"/>
    </row>
    <row r="991" ht="15.75" customHeight="1">
      <c r="A991" s="16"/>
      <c r="B991" s="16"/>
      <c r="C991" s="16"/>
      <c r="D991" s="16"/>
      <c r="E991" s="16"/>
      <c r="F991" s="16"/>
      <c r="G991" s="16"/>
    </row>
    <row r="992" ht="15.75" customHeight="1">
      <c r="A992" s="16"/>
      <c r="B992" s="16"/>
      <c r="C992" s="16"/>
      <c r="D992" s="16"/>
      <c r="E992" s="16"/>
      <c r="F992" s="16"/>
      <c r="G992" s="16"/>
    </row>
    <row r="993" ht="15.75" customHeight="1">
      <c r="A993" s="16"/>
      <c r="B993" s="16"/>
      <c r="C993" s="16"/>
      <c r="D993" s="16"/>
      <c r="E993" s="16"/>
      <c r="F993" s="16"/>
      <c r="G993" s="16"/>
    </row>
    <row r="994" ht="15.75" customHeight="1">
      <c r="A994" s="16"/>
      <c r="B994" s="16"/>
      <c r="C994" s="16"/>
      <c r="D994" s="16"/>
      <c r="E994" s="16"/>
      <c r="F994" s="16"/>
      <c r="G994" s="16"/>
    </row>
    <row r="995" ht="15.75" customHeight="1">
      <c r="A995" s="16"/>
      <c r="B995" s="16"/>
      <c r="C995" s="16"/>
      <c r="D995" s="16"/>
      <c r="E995" s="16"/>
      <c r="F995" s="16"/>
      <c r="G995" s="16"/>
    </row>
    <row r="996" ht="15.75" customHeight="1">
      <c r="A996" s="16"/>
      <c r="B996" s="16"/>
      <c r="C996" s="16"/>
      <c r="D996" s="16"/>
      <c r="E996" s="16"/>
      <c r="F996" s="16"/>
      <c r="G996" s="16"/>
    </row>
    <row r="997" ht="15.75" customHeight="1">
      <c r="A997" s="16"/>
      <c r="B997" s="16"/>
      <c r="C997" s="16"/>
      <c r="D997" s="16"/>
      <c r="E997" s="16"/>
      <c r="F997" s="16"/>
      <c r="G997" s="16"/>
    </row>
    <row r="998" ht="15.75" customHeight="1">
      <c r="A998" s="16"/>
      <c r="B998" s="16"/>
      <c r="C998" s="16"/>
      <c r="D998" s="16"/>
      <c r="E998" s="16"/>
      <c r="F998" s="16"/>
      <c r="G998" s="16"/>
    </row>
    <row r="999" ht="15.75" customHeight="1">
      <c r="A999" s="16"/>
      <c r="B999" s="16"/>
      <c r="C999" s="16"/>
      <c r="D999" s="16"/>
      <c r="E999" s="16"/>
      <c r="F999" s="16"/>
      <c r="G999" s="16"/>
    </row>
  </sheetData>
  <mergeCells count="12">
    <mergeCell ref="A3:A19"/>
    <mergeCell ref="A20:A34"/>
    <mergeCell ref="A35:A41"/>
    <mergeCell ref="A42:A53"/>
    <mergeCell ref="A54:A58"/>
    <mergeCell ref="G1:N1"/>
    <mergeCell ref="P1:U1"/>
    <mergeCell ref="W1:AC1"/>
    <mergeCell ref="AD1:AJ1"/>
    <mergeCell ref="AK1:AQ1"/>
    <mergeCell ref="AR1:AT1"/>
    <mergeCell ref="AU1:AW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9.13"/>
    <col customWidth="1" min="4" max="4" width="16.75"/>
    <col customWidth="1" min="5" max="5" width="15.63"/>
    <col customWidth="1" min="7" max="8" width="35.13"/>
    <col customWidth="1" min="9" max="9" width="21.63"/>
    <col customWidth="1" min="10" max="10" width="22.38"/>
    <col customWidth="1" min="11" max="11" width="23.13"/>
    <col customWidth="1" min="12" max="12" width="22.38"/>
    <col customWidth="1" min="13" max="13" width="24.25"/>
    <col customWidth="1" min="14" max="14" width="25.25"/>
    <col customWidth="1" min="16" max="16" width="14.75"/>
    <col customWidth="1" min="17" max="17" width="18.13"/>
    <col customWidth="1" min="18" max="18" width="18.38"/>
    <col customWidth="1" min="19" max="19" width="23.38"/>
    <col customWidth="1" min="20" max="20" width="20.25"/>
    <col customWidth="1" min="21" max="21" width="24.13"/>
    <col customWidth="1" min="22" max="22" width="33.13"/>
    <col customWidth="1" min="23" max="23" width="17.63"/>
    <col customWidth="1" min="24" max="24" width="24.63"/>
    <col customWidth="1" min="25" max="25" width="25.13"/>
    <col customWidth="1" min="26" max="27" width="25.63"/>
    <col customWidth="1" min="28" max="28" width="22.38"/>
    <col customWidth="1" min="29" max="29" width="28.63"/>
    <col customWidth="1" min="30" max="30" width="14.38"/>
    <col customWidth="1" min="31" max="31" width="22.38"/>
    <col customWidth="1" min="32" max="32" width="21.13"/>
    <col customWidth="1" min="33" max="33" width="22.88"/>
    <col customWidth="1" min="34" max="34" width="23.25"/>
    <col customWidth="1" min="35" max="35" width="20.88"/>
    <col customWidth="1" min="36" max="36" width="25.38"/>
    <col customWidth="1" min="37" max="37" width="16.75"/>
    <col customWidth="1" min="38" max="38" width="27.25"/>
    <col customWidth="1" min="39" max="39" width="26.38"/>
    <col customWidth="1" min="40" max="40" width="23.63"/>
    <col customWidth="1" min="41" max="41" width="29.88"/>
    <col customWidth="1" min="42" max="42" width="22.38"/>
    <col customWidth="1" min="43" max="43" width="26.88"/>
    <col customWidth="1" min="44" max="44" width="14.75"/>
    <col customWidth="1" min="45" max="45" width="25.25"/>
    <col customWidth="1" min="46" max="46" width="25.38"/>
    <col customWidth="1" min="47" max="47" width="13.75"/>
    <col customWidth="1" min="48" max="48" width="25.75"/>
    <col customWidth="1" min="49" max="49" width="24.13"/>
    <col customWidth="1" min="50" max="50" width="34.5"/>
    <col customWidth="1" min="51" max="52" width="36.88"/>
    <col customWidth="1" min="53" max="53" width="20.75"/>
  </cols>
  <sheetData>
    <row r="1" ht="15.75" customHeight="1">
      <c r="A1" s="193" t="s">
        <v>0</v>
      </c>
      <c r="B1" s="194" t="s">
        <v>405</v>
      </c>
      <c r="C1" s="195" t="s">
        <v>406</v>
      </c>
      <c r="D1" s="196" t="s">
        <v>3</v>
      </c>
      <c r="E1" s="196" t="s">
        <v>4</v>
      </c>
      <c r="F1" s="196" t="s">
        <v>8</v>
      </c>
      <c r="G1" s="197" t="s">
        <v>407</v>
      </c>
      <c r="H1" s="38"/>
      <c r="I1" s="38"/>
      <c r="J1" s="38"/>
      <c r="K1" s="38"/>
      <c r="L1" s="38"/>
      <c r="M1" s="38"/>
      <c r="N1" s="39"/>
      <c r="O1" s="40" t="s">
        <v>408</v>
      </c>
      <c r="P1" s="41" t="s">
        <v>409</v>
      </c>
      <c r="Q1" s="38"/>
      <c r="R1" s="38"/>
      <c r="S1" s="38"/>
      <c r="T1" s="38"/>
      <c r="U1" s="39"/>
      <c r="V1" s="42" t="s">
        <v>410</v>
      </c>
      <c r="W1" s="41" t="s">
        <v>411</v>
      </c>
      <c r="X1" s="38"/>
      <c r="Y1" s="38"/>
      <c r="Z1" s="38"/>
      <c r="AA1" s="38"/>
      <c r="AB1" s="38"/>
      <c r="AC1" s="39"/>
      <c r="AD1" s="43" t="s">
        <v>412</v>
      </c>
      <c r="AE1" s="44"/>
      <c r="AF1" s="44"/>
      <c r="AG1" s="44"/>
      <c r="AH1" s="44"/>
      <c r="AI1" s="44"/>
      <c r="AJ1" s="45"/>
      <c r="AK1" s="46" t="s">
        <v>413</v>
      </c>
      <c r="AL1" s="44"/>
      <c r="AM1" s="44"/>
      <c r="AN1" s="44"/>
      <c r="AO1" s="44"/>
      <c r="AP1" s="44"/>
      <c r="AQ1" s="45"/>
      <c r="AR1" s="43" t="s">
        <v>414</v>
      </c>
      <c r="AS1" s="44"/>
      <c r="AT1" s="45"/>
      <c r="AU1" s="43" t="s">
        <v>415</v>
      </c>
      <c r="AV1" s="44"/>
      <c r="AW1" s="45"/>
      <c r="AX1" s="47" t="s">
        <v>416</v>
      </c>
      <c r="AY1" s="48" t="s">
        <v>417</v>
      </c>
      <c r="AZ1" s="48" t="s">
        <v>418</v>
      </c>
      <c r="BA1" s="49" t="s">
        <v>463</v>
      </c>
    </row>
    <row r="2" ht="15.75" customHeight="1">
      <c r="A2" s="198"/>
      <c r="B2" s="31"/>
      <c r="C2" s="31"/>
      <c r="D2" s="32"/>
      <c r="E2" s="32"/>
      <c r="F2" s="32"/>
      <c r="G2" s="32" t="s">
        <v>419</v>
      </c>
      <c r="H2" s="52" t="s">
        <v>420</v>
      </c>
      <c r="I2" s="53" t="s">
        <v>610</v>
      </c>
      <c r="J2" s="53" t="s">
        <v>422</v>
      </c>
      <c r="K2" s="54" t="s">
        <v>423</v>
      </c>
      <c r="L2" s="7" t="s">
        <v>424</v>
      </c>
      <c r="M2" s="55" t="s">
        <v>425</v>
      </c>
      <c r="N2" s="56" t="s">
        <v>426</v>
      </c>
      <c r="O2" s="57"/>
      <c r="P2" s="58" t="s">
        <v>427</v>
      </c>
      <c r="Q2" s="55" t="s">
        <v>428</v>
      </c>
      <c r="R2" s="55" t="s">
        <v>429</v>
      </c>
      <c r="S2" s="59" t="s">
        <v>430</v>
      </c>
      <c r="T2" s="7" t="s">
        <v>431</v>
      </c>
      <c r="U2" s="60" t="s">
        <v>432</v>
      </c>
      <c r="V2" s="61" t="s">
        <v>433</v>
      </c>
      <c r="W2" s="58" t="s">
        <v>434</v>
      </c>
      <c r="X2" s="62" t="s">
        <v>435</v>
      </c>
      <c r="Y2" s="55" t="s">
        <v>436</v>
      </c>
      <c r="Z2" s="59" t="s">
        <v>437</v>
      </c>
      <c r="AA2" s="54" t="s">
        <v>438</v>
      </c>
      <c r="AB2" s="54" t="s">
        <v>439</v>
      </c>
      <c r="AC2" s="63" t="s">
        <v>440</v>
      </c>
      <c r="AD2" s="58" t="s">
        <v>441</v>
      </c>
      <c r="AE2" s="62" t="s">
        <v>442</v>
      </c>
      <c r="AF2" s="64" t="s">
        <v>443</v>
      </c>
      <c r="AG2" s="65" t="s">
        <v>444</v>
      </c>
      <c r="AH2" s="13" t="s">
        <v>445</v>
      </c>
      <c r="AI2" s="13" t="s">
        <v>446</v>
      </c>
      <c r="AJ2" s="66" t="s">
        <v>447</v>
      </c>
      <c r="AK2" s="67" t="s">
        <v>448</v>
      </c>
      <c r="AL2" s="64" t="s">
        <v>449</v>
      </c>
      <c r="AM2" s="64" t="s">
        <v>450</v>
      </c>
      <c r="AN2" s="65" t="s">
        <v>451</v>
      </c>
      <c r="AO2" s="13" t="s">
        <v>452</v>
      </c>
      <c r="AP2" s="13" t="s">
        <v>453</v>
      </c>
      <c r="AQ2" s="66" t="s">
        <v>454</v>
      </c>
      <c r="AR2" s="67" t="s">
        <v>455</v>
      </c>
      <c r="AS2" s="64" t="s">
        <v>456</v>
      </c>
      <c r="AT2" s="66" t="s">
        <v>457</v>
      </c>
      <c r="AU2" s="67" t="s">
        <v>458</v>
      </c>
      <c r="AV2" s="64" t="s">
        <v>459</v>
      </c>
      <c r="AW2" s="66" t="s">
        <v>460</v>
      </c>
      <c r="AX2" s="68" t="s">
        <v>461</v>
      </c>
      <c r="AY2" s="68" t="s">
        <v>462</v>
      </c>
      <c r="AZ2" s="98"/>
    </row>
    <row r="3" ht="15.75" customHeight="1">
      <c r="A3" s="71" t="s">
        <v>13</v>
      </c>
      <c r="B3" s="168" t="s">
        <v>14</v>
      </c>
      <c r="C3" s="168" t="s">
        <v>91</v>
      </c>
      <c r="D3" s="169" t="s">
        <v>472</v>
      </c>
      <c r="E3" s="169" t="s">
        <v>93</v>
      </c>
      <c r="F3" s="169" t="s">
        <v>51</v>
      </c>
      <c r="G3" s="169" t="s">
        <v>611</v>
      </c>
      <c r="H3" s="76">
        <v>4.0</v>
      </c>
      <c r="I3" s="74"/>
      <c r="J3" s="74"/>
      <c r="K3" s="77"/>
      <c r="L3" s="74">
        <v>180.0</v>
      </c>
      <c r="M3" s="74">
        <v>1.0</v>
      </c>
      <c r="N3" s="78">
        <f t="shared" ref="N3:N62" si="1">(I3*M3)+(L3*M3*H3)+(J3*O3)</f>
        <v>720</v>
      </c>
      <c r="O3" s="121">
        <v>8.0</v>
      </c>
      <c r="P3" s="151">
        <v>11.0</v>
      </c>
      <c r="Q3" s="76">
        <v>12.0</v>
      </c>
      <c r="R3" s="76">
        <v>400.0</v>
      </c>
      <c r="S3" s="74">
        <f t="shared" ref="S3:S62" si="2">Q3*R3*O3</f>
        <v>38400</v>
      </c>
      <c r="T3" s="74">
        <f t="shared" ref="T3:T62" si="3">Q3*(1+P3%)</f>
        <v>13.32</v>
      </c>
      <c r="U3" s="78">
        <f t="shared" ref="U3:U62" si="4">T3*R3</f>
        <v>5328</v>
      </c>
      <c r="V3" s="80">
        <f t="shared" ref="V3:V62" si="5">(U3*O3)-S3</f>
        <v>4224</v>
      </c>
      <c r="W3" s="151">
        <v>30.0</v>
      </c>
      <c r="X3" s="76">
        <v>450.0</v>
      </c>
      <c r="Y3" s="121">
        <v>1.3</v>
      </c>
      <c r="Z3" s="9">
        <f t="shared" ref="Z3:Z62" si="6">Y3*X3</f>
        <v>585</v>
      </c>
      <c r="AA3" s="9">
        <f t="shared" ref="AA3:AA62" si="7">X3*(1-W3%)</f>
        <v>315</v>
      </c>
      <c r="AB3" s="74">
        <f t="shared" ref="AB3:AB62" si="8"> Z3-(AA3*Y3)</f>
        <v>175.5</v>
      </c>
      <c r="AC3" s="81">
        <f t="shared" ref="AC3:AC62" si="9">AB3*O3</f>
        <v>1404</v>
      </c>
      <c r="AD3" s="84">
        <v>20.0</v>
      </c>
      <c r="AE3" s="89">
        <v>1200.0</v>
      </c>
      <c r="AF3" s="83">
        <v>0.6</v>
      </c>
      <c r="AG3" s="9">
        <f t="shared" ref="AG3:AG62" si="10">AF3*AE3</f>
        <v>720</v>
      </c>
      <c r="AH3" s="9">
        <f t="shared" ref="AH3:AH62" si="11">AE3*(1-AD3%)</f>
        <v>960</v>
      </c>
      <c r="AI3" s="9">
        <f t="shared" ref="AI3:AI62" si="12">AG3-(AH3*AF3)</f>
        <v>144</v>
      </c>
      <c r="AJ3" s="12">
        <f t="shared" ref="AJ3:AJ62" si="13">AI3*O3</f>
        <v>1152</v>
      </c>
      <c r="AK3" s="84">
        <v>35.0</v>
      </c>
      <c r="AL3" s="83">
        <v>2.5</v>
      </c>
      <c r="AM3" s="83">
        <v>22.0</v>
      </c>
      <c r="AN3" s="9">
        <f t="shared" ref="AN3:AN62" si="14">AM3*AL3</f>
        <v>55</v>
      </c>
      <c r="AO3" s="9">
        <f t="shared" ref="AO3:AO62" si="15">AL3*(1-AK3%)</f>
        <v>1.625</v>
      </c>
      <c r="AP3" s="9">
        <f t="shared" ref="AP3:AP62" si="16">AN3-(AO3*AM3)</f>
        <v>19.25</v>
      </c>
      <c r="AQ3" s="12">
        <f t="shared" ref="AQ3:AQ62" si="17">AP3*O3</f>
        <v>154</v>
      </c>
      <c r="AR3" s="85">
        <v>0.0</v>
      </c>
      <c r="AS3" s="83">
        <v>20000.0</v>
      </c>
      <c r="AT3" s="12">
        <f t="shared" ref="AT3:AT62" si="18">AS3-(AS3*(1-AR3%))</f>
        <v>0</v>
      </c>
      <c r="AU3" s="85">
        <v>0.0</v>
      </c>
      <c r="AV3" s="83">
        <v>4500.0</v>
      </c>
      <c r="AW3" s="12">
        <f t="shared" ref="AW3:AW62" si="19">AV3-(AV3*(1-AU3%))</f>
        <v>0</v>
      </c>
      <c r="AX3" s="84">
        <f t="shared" ref="AX3:AX62" si="20">(AW3+AT3+AQ3+AJ3+AC3+V3)*H3</f>
        <v>27736</v>
      </c>
      <c r="AY3" s="199">
        <f t="shared" ref="AY3:AY7" si="21">(AW3+AT3+AQ3+AJ3+AC3+V3)/(N3)*100</f>
        <v>963.0555556</v>
      </c>
      <c r="AZ3" s="12">
        <f t="shared" ref="AZ3:AZ62" si="22">AX3-N3</f>
        <v>27016</v>
      </c>
      <c r="BA3" s="171"/>
    </row>
    <row r="4" ht="15.75" customHeight="1">
      <c r="A4" s="14"/>
      <c r="B4" s="16" t="s">
        <v>14</v>
      </c>
      <c r="C4" s="16" t="s">
        <v>91</v>
      </c>
      <c r="D4" s="173" t="s">
        <v>475</v>
      </c>
      <c r="E4" s="173" t="s">
        <v>93</v>
      </c>
      <c r="F4" s="173" t="s">
        <v>51</v>
      </c>
      <c r="G4" s="173" t="s">
        <v>612</v>
      </c>
      <c r="H4" s="200">
        <v>4.0</v>
      </c>
      <c r="I4" s="175"/>
      <c r="J4" s="175"/>
      <c r="K4" s="175"/>
      <c r="L4" s="175">
        <v>340.0</v>
      </c>
      <c r="M4" s="176">
        <v>1.0</v>
      </c>
      <c r="N4" s="60">
        <f t="shared" si="1"/>
        <v>1360</v>
      </c>
      <c r="O4" s="201">
        <v>8.0</v>
      </c>
      <c r="P4" s="51">
        <v>11.0</v>
      </c>
      <c r="Q4" s="200">
        <v>12.0</v>
      </c>
      <c r="R4" s="200">
        <v>400.0</v>
      </c>
      <c r="S4" s="176">
        <f t="shared" si="2"/>
        <v>38400</v>
      </c>
      <c r="T4" s="176">
        <f t="shared" si="3"/>
        <v>13.32</v>
      </c>
      <c r="U4" s="177">
        <f t="shared" si="4"/>
        <v>5328</v>
      </c>
      <c r="V4" s="178">
        <f t="shared" si="5"/>
        <v>4224</v>
      </c>
      <c r="W4" s="51">
        <v>30.0</v>
      </c>
      <c r="X4" s="200">
        <v>450.0</v>
      </c>
      <c r="Y4" s="89">
        <v>1.3</v>
      </c>
      <c r="Z4" s="176">
        <f t="shared" si="6"/>
        <v>585</v>
      </c>
      <c r="AA4" s="176">
        <f t="shared" si="7"/>
        <v>315</v>
      </c>
      <c r="AB4" s="176">
        <f t="shared" si="8"/>
        <v>175.5</v>
      </c>
      <c r="AC4" s="177">
        <f t="shared" si="9"/>
        <v>1404</v>
      </c>
      <c r="AD4" s="202">
        <v>20.0</v>
      </c>
      <c r="AE4" s="203">
        <v>1200.0</v>
      </c>
      <c r="AF4" s="200">
        <v>0.6</v>
      </c>
      <c r="AG4" s="176">
        <f t="shared" si="10"/>
        <v>720</v>
      </c>
      <c r="AH4" s="176">
        <f t="shared" si="11"/>
        <v>960</v>
      </c>
      <c r="AI4" s="176">
        <f t="shared" si="12"/>
        <v>144</v>
      </c>
      <c r="AJ4" s="177">
        <f t="shared" si="13"/>
        <v>1152</v>
      </c>
      <c r="AK4" s="96">
        <v>35.0</v>
      </c>
      <c r="AL4" s="200">
        <v>2.5</v>
      </c>
      <c r="AM4" s="200">
        <v>22.0</v>
      </c>
      <c r="AN4" s="176">
        <f t="shared" si="14"/>
        <v>55</v>
      </c>
      <c r="AO4" s="176">
        <f t="shared" si="15"/>
        <v>1.625</v>
      </c>
      <c r="AP4" s="176">
        <f t="shared" si="16"/>
        <v>19.25</v>
      </c>
      <c r="AQ4" s="177">
        <f t="shared" si="17"/>
        <v>154</v>
      </c>
      <c r="AR4" s="97">
        <v>0.0</v>
      </c>
      <c r="AS4" s="200">
        <v>20000.0</v>
      </c>
      <c r="AT4" s="177">
        <f t="shared" si="18"/>
        <v>0</v>
      </c>
      <c r="AU4" s="97">
        <v>0.0</v>
      </c>
      <c r="AV4" s="200">
        <v>4500.0</v>
      </c>
      <c r="AW4" s="177">
        <f t="shared" si="19"/>
        <v>0</v>
      </c>
      <c r="AX4" s="202">
        <f t="shared" si="20"/>
        <v>27736</v>
      </c>
      <c r="AY4" s="204">
        <f t="shared" si="21"/>
        <v>509.8529412</v>
      </c>
      <c r="AZ4" s="177">
        <f t="shared" si="22"/>
        <v>26376</v>
      </c>
      <c r="BA4" s="179"/>
    </row>
    <row r="5" ht="15.75" customHeight="1">
      <c r="A5" s="14"/>
      <c r="B5" s="31" t="s">
        <v>14</v>
      </c>
      <c r="C5" s="31" t="s">
        <v>91</v>
      </c>
      <c r="D5" s="32" t="s">
        <v>97</v>
      </c>
      <c r="E5" s="32" t="s">
        <v>98</v>
      </c>
      <c r="F5" s="32" t="s">
        <v>51</v>
      </c>
      <c r="G5" s="32" t="s">
        <v>479</v>
      </c>
      <c r="H5" s="200">
        <v>4.0</v>
      </c>
      <c r="I5" s="7"/>
      <c r="J5" s="7"/>
      <c r="K5" s="13">
        <v>20.0</v>
      </c>
      <c r="L5" s="7">
        <f>K5*12</f>
        <v>240</v>
      </c>
      <c r="M5" s="7">
        <v>1.0</v>
      </c>
      <c r="N5" s="60">
        <f t="shared" si="1"/>
        <v>960</v>
      </c>
      <c r="O5" s="201">
        <v>8.0</v>
      </c>
      <c r="P5" s="51">
        <v>11.0</v>
      </c>
      <c r="Q5" s="200">
        <v>12.0</v>
      </c>
      <c r="R5" s="200">
        <v>400.0</v>
      </c>
      <c r="S5" s="7">
        <f t="shared" si="2"/>
        <v>38400</v>
      </c>
      <c r="T5" s="7">
        <f t="shared" si="3"/>
        <v>13.32</v>
      </c>
      <c r="U5" s="60">
        <f t="shared" si="4"/>
        <v>5328</v>
      </c>
      <c r="V5" s="125">
        <f t="shared" si="5"/>
        <v>4224</v>
      </c>
      <c r="W5" s="51">
        <v>30.0</v>
      </c>
      <c r="X5" s="200">
        <v>450.0</v>
      </c>
      <c r="Y5" s="89">
        <v>1.3</v>
      </c>
      <c r="Z5" s="13">
        <f t="shared" si="6"/>
        <v>585</v>
      </c>
      <c r="AA5" s="13">
        <f t="shared" si="7"/>
        <v>315</v>
      </c>
      <c r="AB5" s="7">
        <f t="shared" si="8"/>
        <v>175.5</v>
      </c>
      <c r="AC5" s="93">
        <f t="shared" si="9"/>
        <v>1404</v>
      </c>
      <c r="AD5" s="96">
        <v>20.0</v>
      </c>
      <c r="AE5" s="203">
        <v>1200.0</v>
      </c>
      <c r="AF5" s="200">
        <v>0.6</v>
      </c>
      <c r="AG5" s="13">
        <f t="shared" si="10"/>
        <v>720</v>
      </c>
      <c r="AH5" s="13">
        <f t="shared" si="11"/>
        <v>960</v>
      </c>
      <c r="AI5" s="13">
        <f t="shared" si="12"/>
        <v>144</v>
      </c>
      <c r="AJ5" s="17">
        <f t="shared" si="13"/>
        <v>1152</v>
      </c>
      <c r="AK5" s="96">
        <v>35.0</v>
      </c>
      <c r="AL5" s="200">
        <v>2.5</v>
      </c>
      <c r="AM5" s="200">
        <v>22.0</v>
      </c>
      <c r="AN5" s="13">
        <f t="shared" si="14"/>
        <v>55</v>
      </c>
      <c r="AO5" s="13">
        <f t="shared" si="15"/>
        <v>1.625</v>
      </c>
      <c r="AP5" s="13">
        <f t="shared" si="16"/>
        <v>19.25</v>
      </c>
      <c r="AQ5" s="17">
        <f t="shared" si="17"/>
        <v>154</v>
      </c>
      <c r="AR5" s="97">
        <v>0.0</v>
      </c>
      <c r="AS5" s="200">
        <v>20000.0</v>
      </c>
      <c r="AT5" s="17">
        <f t="shared" si="18"/>
        <v>0</v>
      </c>
      <c r="AU5" s="97">
        <v>0.0</v>
      </c>
      <c r="AV5" s="200">
        <v>4500.0</v>
      </c>
      <c r="AW5" s="17">
        <f t="shared" si="19"/>
        <v>0</v>
      </c>
      <c r="AX5" s="96">
        <f t="shared" si="20"/>
        <v>27736</v>
      </c>
      <c r="AY5" s="204">
        <f t="shared" si="21"/>
        <v>722.2916667</v>
      </c>
      <c r="AZ5" s="17">
        <f t="shared" si="22"/>
        <v>26776</v>
      </c>
      <c r="BA5" s="172"/>
    </row>
    <row r="6" ht="15.75" customHeight="1">
      <c r="A6" s="14"/>
      <c r="B6" s="31" t="s">
        <v>14</v>
      </c>
      <c r="C6" s="31" t="s">
        <v>91</v>
      </c>
      <c r="D6" s="32" t="s">
        <v>108</v>
      </c>
      <c r="E6" s="32" t="s">
        <v>109</v>
      </c>
      <c r="F6" s="32" t="s">
        <v>51</v>
      </c>
      <c r="G6" s="32" t="s">
        <v>576</v>
      </c>
      <c r="H6" s="200">
        <v>4.0</v>
      </c>
      <c r="I6" s="7">
        <v>3300.0</v>
      </c>
      <c r="J6" s="7"/>
      <c r="K6" s="54"/>
      <c r="L6" s="7"/>
      <c r="M6" s="7">
        <v>1.0</v>
      </c>
      <c r="N6" s="60">
        <f t="shared" si="1"/>
        <v>3300</v>
      </c>
      <c r="O6" s="201">
        <v>8.0</v>
      </c>
      <c r="P6" s="51">
        <v>11.0</v>
      </c>
      <c r="Q6" s="200">
        <v>12.0</v>
      </c>
      <c r="R6" s="200">
        <v>400.0</v>
      </c>
      <c r="S6" s="7">
        <f t="shared" si="2"/>
        <v>38400</v>
      </c>
      <c r="T6" s="7">
        <f t="shared" si="3"/>
        <v>13.32</v>
      </c>
      <c r="U6" s="60">
        <f t="shared" si="4"/>
        <v>5328</v>
      </c>
      <c r="V6" s="125">
        <f t="shared" si="5"/>
        <v>4224</v>
      </c>
      <c r="W6" s="51">
        <v>30.0</v>
      </c>
      <c r="X6" s="200">
        <v>450.0</v>
      </c>
      <c r="Y6" s="89">
        <v>1.3</v>
      </c>
      <c r="Z6" s="13">
        <f t="shared" si="6"/>
        <v>585</v>
      </c>
      <c r="AA6" s="13">
        <f t="shared" si="7"/>
        <v>315</v>
      </c>
      <c r="AB6" s="7">
        <f t="shared" si="8"/>
        <v>175.5</v>
      </c>
      <c r="AC6" s="93">
        <f t="shared" si="9"/>
        <v>1404</v>
      </c>
      <c r="AD6" s="96">
        <v>20.0</v>
      </c>
      <c r="AE6" s="203">
        <v>1200.0</v>
      </c>
      <c r="AF6" s="200">
        <v>0.6</v>
      </c>
      <c r="AG6" s="13">
        <f t="shared" si="10"/>
        <v>720</v>
      </c>
      <c r="AH6" s="13">
        <f t="shared" si="11"/>
        <v>960</v>
      </c>
      <c r="AI6" s="13">
        <f t="shared" si="12"/>
        <v>144</v>
      </c>
      <c r="AJ6" s="17">
        <f t="shared" si="13"/>
        <v>1152</v>
      </c>
      <c r="AK6" s="96">
        <v>35.0</v>
      </c>
      <c r="AL6" s="200">
        <v>2.5</v>
      </c>
      <c r="AM6" s="200">
        <v>22.0</v>
      </c>
      <c r="AN6" s="13">
        <f t="shared" si="14"/>
        <v>55</v>
      </c>
      <c r="AO6" s="13">
        <f t="shared" si="15"/>
        <v>1.625</v>
      </c>
      <c r="AP6" s="13">
        <f t="shared" si="16"/>
        <v>19.25</v>
      </c>
      <c r="AQ6" s="17">
        <f t="shared" si="17"/>
        <v>154</v>
      </c>
      <c r="AR6" s="97">
        <v>0.0</v>
      </c>
      <c r="AS6" s="200">
        <v>20000.0</v>
      </c>
      <c r="AT6" s="17">
        <f t="shared" si="18"/>
        <v>0</v>
      </c>
      <c r="AU6" s="97">
        <v>0.0</v>
      </c>
      <c r="AV6" s="200">
        <v>4500.0</v>
      </c>
      <c r="AW6" s="17">
        <f t="shared" si="19"/>
        <v>0</v>
      </c>
      <c r="AX6" s="96">
        <f t="shared" si="20"/>
        <v>27736</v>
      </c>
      <c r="AY6" s="204">
        <f t="shared" si="21"/>
        <v>210.1212121</v>
      </c>
      <c r="AZ6" s="17">
        <f t="shared" si="22"/>
        <v>24436</v>
      </c>
      <c r="BA6" s="172"/>
    </row>
    <row r="7" ht="15.75" customHeight="1">
      <c r="A7" s="14"/>
      <c r="B7" s="31" t="s">
        <v>14</v>
      </c>
      <c r="C7" s="31" t="s">
        <v>91</v>
      </c>
      <c r="D7" s="32" t="s">
        <v>113</v>
      </c>
      <c r="E7" s="32" t="s">
        <v>109</v>
      </c>
      <c r="F7" s="32" t="s">
        <v>51</v>
      </c>
      <c r="G7" s="32" t="s">
        <v>495</v>
      </c>
      <c r="H7" s="200">
        <v>4.0</v>
      </c>
      <c r="I7" s="7">
        <v>6300.0</v>
      </c>
      <c r="J7" s="7"/>
      <c r="L7" s="7"/>
      <c r="M7" s="7">
        <v>1.0</v>
      </c>
      <c r="N7" s="60">
        <f t="shared" si="1"/>
        <v>6300</v>
      </c>
      <c r="O7" s="201">
        <v>8.0</v>
      </c>
      <c r="P7" s="51">
        <v>11.0</v>
      </c>
      <c r="Q7" s="200">
        <v>12.0</v>
      </c>
      <c r="R7" s="200">
        <v>400.0</v>
      </c>
      <c r="S7" s="7">
        <f t="shared" si="2"/>
        <v>38400</v>
      </c>
      <c r="T7" s="7">
        <f t="shared" si="3"/>
        <v>13.32</v>
      </c>
      <c r="U7" s="60">
        <f t="shared" si="4"/>
        <v>5328</v>
      </c>
      <c r="V7" s="125">
        <f t="shared" si="5"/>
        <v>4224</v>
      </c>
      <c r="W7" s="51">
        <v>30.0</v>
      </c>
      <c r="X7" s="200">
        <v>450.0</v>
      </c>
      <c r="Y7" s="89">
        <v>1.3</v>
      </c>
      <c r="Z7" s="13">
        <f t="shared" si="6"/>
        <v>585</v>
      </c>
      <c r="AA7" s="13">
        <f t="shared" si="7"/>
        <v>315</v>
      </c>
      <c r="AB7" s="7">
        <f t="shared" si="8"/>
        <v>175.5</v>
      </c>
      <c r="AC7" s="93">
        <f t="shared" si="9"/>
        <v>1404</v>
      </c>
      <c r="AD7" s="96">
        <v>20.0</v>
      </c>
      <c r="AE7" s="203">
        <v>1200.0</v>
      </c>
      <c r="AF7" s="200">
        <v>0.6</v>
      </c>
      <c r="AG7" s="13">
        <f t="shared" si="10"/>
        <v>720</v>
      </c>
      <c r="AH7" s="13">
        <f t="shared" si="11"/>
        <v>960</v>
      </c>
      <c r="AI7" s="13">
        <f t="shared" si="12"/>
        <v>144</v>
      </c>
      <c r="AJ7" s="17">
        <f t="shared" si="13"/>
        <v>1152</v>
      </c>
      <c r="AK7" s="96">
        <v>35.0</v>
      </c>
      <c r="AL7" s="200">
        <v>2.5</v>
      </c>
      <c r="AM7" s="200">
        <v>22.0</v>
      </c>
      <c r="AN7" s="13">
        <f t="shared" si="14"/>
        <v>55</v>
      </c>
      <c r="AO7" s="13">
        <f t="shared" si="15"/>
        <v>1.625</v>
      </c>
      <c r="AP7" s="13">
        <f t="shared" si="16"/>
        <v>19.25</v>
      </c>
      <c r="AQ7" s="17">
        <f t="shared" si="17"/>
        <v>154</v>
      </c>
      <c r="AR7" s="97">
        <v>0.0</v>
      </c>
      <c r="AS7" s="200">
        <v>20000.0</v>
      </c>
      <c r="AT7" s="17">
        <f t="shared" si="18"/>
        <v>0</v>
      </c>
      <c r="AU7" s="97">
        <v>0.0</v>
      </c>
      <c r="AV7" s="200">
        <v>4500.0</v>
      </c>
      <c r="AW7" s="17">
        <f t="shared" si="19"/>
        <v>0</v>
      </c>
      <c r="AX7" s="96">
        <f t="shared" si="20"/>
        <v>27736</v>
      </c>
      <c r="AY7" s="204">
        <f t="shared" si="21"/>
        <v>110.0634921</v>
      </c>
      <c r="AZ7" s="17">
        <f t="shared" si="22"/>
        <v>21436</v>
      </c>
      <c r="BA7" s="172"/>
    </row>
    <row r="8" ht="15.75" customHeight="1">
      <c r="A8" s="14"/>
      <c r="B8" s="31" t="s">
        <v>36</v>
      </c>
      <c r="C8" s="31" t="s">
        <v>613</v>
      </c>
      <c r="D8" s="32" t="s">
        <v>38</v>
      </c>
      <c r="E8" s="32" t="s">
        <v>614</v>
      </c>
      <c r="F8" s="32" t="s">
        <v>43</v>
      </c>
      <c r="G8" s="32" t="s">
        <v>44</v>
      </c>
      <c r="H8" s="200">
        <v>4.0</v>
      </c>
      <c r="I8" s="7">
        <v>0.0</v>
      </c>
      <c r="J8" s="7"/>
      <c r="L8" s="7"/>
      <c r="M8" s="7">
        <v>1.0</v>
      </c>
      <c r="N8" s="60">
        <f t="shared" si="1"/>
        <v>0</v>
      </c>
      <c r="O8" s="201">
        <v>8.0</v>
      </c>
      <c r="P8" s="51">
        <v>11.0</v>
      </c>
      <c r="Q8" s="200">
        <v>12.0</v>
      </c>
      <c r="R8" s="200">
        <v>400.0</v>
      </c>
      <c r="S8" s="7">
        <f t="shared" si="2"/>
        <v>38400</v>
      </c>
      <c r="T8" s="7">
        <f t="shared" si="3"/>
        <v>13.32</v>
      </c>
      <c r="U8" s="60">
        <f t="shared" si="4"/>
        <v>5328</v>
      </c>
      <c r="V8" s="125">
        <f t="shared" si="5"/>
        <v>4224</v>
      </c>
      <c r="W8" s="51">
        <v>30.0</v>
      </c>
      <c r="X8" s="200">
        <v>450.0</v>
      </c>
      <c r="Y8" s="89">
        <v>1.3</v>
      </c>
      <c r="Z8" s="13">
        <f t="shared" si="6"/>
        <v>585</v>
      </c>
      <c r="AA8" s="13">
        <f t="shared" si="7"/>
        <v>315</v>
      </c>
      <c r="AB8" s="7">
        <f t="shared" si="8"/>
        <v>175.5</v>
      </c>
      <c r="AC8" s="93">
        <f t="shared" si="9"/>
        <v>1404</v>
      </c>
      <c r="AD8" s="96">
        <v>20.0</v>
      </c>
      <c r="AE8" s="203">
        <v>1200.0</v>
      </c>
      <c r="AF8" s="200">
        <v>0.6</v>
      </c>
      <c r="AG8" s="13">
        <f t="shared" si="10"/>
        <v>720</v>
      </c>
      <c r="AH8" s="13">
        <f t="shared" si="11"/>
        <v>960</v>
      </c>
      <c r="AI8" s="13">
        <f t="shared" si="12"/>
        <v>144</v>
      </c>
      <c r="AJ8" s="17">
        <f t="shared" si="13"/>
        <v>1152</v>
      </c>
      <c r="AK8" s="96">
        <v>35.0</v>
      </c>
      <c r="AL8" s="200">
        <v>2.5</v>
      </c>
      <c r="AM8" s="200">
        <v>22.0</v>
      </c>
      <c r="AN8" s="13">
        <f t="shared" si="14"/>
        <v>55</v>
      </c>
      <c r="AO8" s="13">
        <f t="shared" si="15"/>
        <v>1.625</v>
      </c>
      <c r="AP8" s="13">
        <f t="shared" si="16"/>
        <v>19.25</v>
      </c>
      <c r="AQ8" s="17">
        <f t="shared" si="17"/>
        <v>154</v>
      </c>
      <c r="AR8" s="97">
        <v>0.0</v>
      </c>
      <c r="AS8" s="200">
        <v>20000.0</v>
      </c>
      <c r="AT8" s="17">
        <f t="shared" si="18"/>
        <v>0</v>
      </c>
      <c r="AU8" s="97">
        <v>0.0</v>
      </c>
      <c r="AV8" s="200">
        <v>4500.0</v>
      </c>
      <c r="AW8" s="17">
        <f t="shared" si="19"/>
        <v>0</v>
      </c>
      <c r="AX8" s="96">
        <f t="shared" si="20"/>
        <v>27736</v>
      </c>
      <c r="AY8" s="205" t="s">
        <v>547</v>
      </c>
      <c r="AZ8" s="17">
        <f t="shared" si="22"/>
        <v>27736</v>
      </c>
      <c r="BA8" s="172"/>
    </row>
    <row r="9" ht="15.75" customHeight="1">
      <c r="A9" s="14"/>
      <c r="B9" s="31" t="s">
        <v>36</v>
      </c>
      <c r="C9" s="31" t="s">
        <v>91</v>
      </c>
      <c r="D9" s="32" t="s">
        <v>46</v>
      </c>
      <c r="E9" s="32" t="s">
        <v>47</v>
      </c>
      <c r="F9" s="32" t="s">
        <v>51</v>
      </c>
      <c r="G9" s="32" t="s">
        <v>52</v>
      </c>
      <c r="H9" s="200">
        <v>4.0</v>
      </c>
      <c r="I9" s="7">
        <v>4900.0</v>
      </c>
      <c r="J9" s="7"/>
      <c r="K9" s="13">
        <v>150.0</v>
      </c>
      <c r="L9" s="7">
        <f t="shared" ref="L9:L10" si="23">K9*12</f>
        <v>1800</v>
      </c>
      <c r="M9" s="7">
        <v>1.0</v>
      </c>
      <c r="N9" s="60">
        <f t="shared" si="1"/>
        <v>12100</v>
      </c>
      <c r="O9" s="201">
        <v>8.0</v>
      </c>
      <c r="P9" s="51">
        <v>11.0</v>
      </c>
      <c r="Q9" s="200">
        <v>12.0</v>
      </c>
      <c r="R9" s="200">
        <v>400.0</v>
      </c>
      <c r="S9" s="7">
        <f t="shared" si="2"/>
        <v>38400</v>
      </c>
      <c r="T9" s="7">
        <f t="shared" si="3"/>
        <v>13.32</v>
      </c>
      <c r="U9" s="60">
        <f t="shared" si="4"/>
        <v>5328</v>
      </c>
      <c r="V9" s="125">
        <f t="shared" si="5"/>
        <v>4224</v>
      </c>
      <c r="W9" s="51">
        <v>30.0</v>
      </c>
      <c r="X9" s="200">
        <v>450.0</v>
      </c>
      <c r="Y9" s="89">
        <v>1.3</v>
      </c>
      <c r="Z9" s="13">
        <f t="shared" si="6"/>
        <v>585</v>
      </c>
      <c r="AA9" s="13">
        <f t="shared" si="7"/>
        <v>315</v>
      </c>
      <c r="AB9" s="7">
        <f t="shared" si="8"/>
        <v>175.5</v>
      </c>
      <c r="AC9" s="93">
        <f t="shared" si="9"/>
        <v>1404</v>
      </c>
      <c r="AD9" s="96">
        <v>20.0</v>
      </c>
      <c r="AE9" s="203">
        <v>1200.0</v>
      </c>
      <c r="AF9" s="200">
        <v>0.6</v>
      </c>
      <c r="AG9" s="13">
        <f t="shared" si="10"/>
        <v>720</v>
      </c>
      <c r="AH9" s="13">
        <f t="shared" si="11"/>
        <v>960</v>
      </c>
      <c r="AI9" s="13">
        <f t="shared" si="12"/>
        <v>144</v>
      </c>
      <c r="AJ9" s="17">
        <f t="shared" si="13"/>
        <v>1152</v>
      </c>
      <c r="AK9" s="96">
        <v>35.0</v>
      </c>
      <c r="AL9" s="200">
        <v>2.5</v>
      </c>
      <c r="AM9" s="200">
        <v>22.0</v>
      </c>
      <c r="AN9" s="13">
        <f t="shared" si="14"/>
        <v>55</v>
      </c>
      <c r="AO9" s="13">
        <f t="shared" si="15"/>
        <v>1.625</v>
      </c>
      <c r="AP9" s="13">
        <f t="shared" si="16"/>
        <v>19.25</v>
      </c>
      <c r="AQ9" s="17">
        <f t="shared" si="17"/>
        <v>154</v>
      </c>
      <c r="AR9" s="97">
        <v>0.0</v>
      </c>
      <c r="AS9" s="200">
        <v>20000.0</v>
      </c>
      <c r="AT9" s="17">
        <f t="shared" si="18"/>
        <v>0</v>
      </c>
      <c r="AU9" s="97">
        <v>0.0</v>
      </c>
      <c r="AV9" s="200">
        <v>4500.0</v>
      </c>
      <c r="AW9" s="17">
        <f t="shared" si="19"/>
        <v>0</v>
      </c>
      <c r="AX9" s="96">
        <f t="shared" si="20"/>
        <v>27736</v>
      </c>
      <c r="AY9" s="204">
        <f t="shared" ref="AY9:AY53" si="24">(AW9+AT9+AQ9+AJ9+AC9+V9)/(N9)*100</f>
        <v>57.30578512</v>
      </c>
      <c r="AZ9" s="17">
        <f t="shared" si="22"/>
        <v>15636</v>
      </c>
      <c r="BA9" s="172"/>
    </row>
    <row r="10" ht="15.75" customHeight="1">
      <c r="A10" s="14"/>
      <c r="B10" s="31" t="s">
        <v>36</v>
      </c>
      <c r="C10" s="31" t="s">
        <v>91</v>
      </c>
      <c r="D10" s="32" t="s">
        <v>53</v>
      </c>
      <c r="E10" s="32" t="s">
        <v>54</v>
      </c>
      <c r="F10" s="32" t="s">
        <v>51</v>
      </c>
      <c r="G10" s="32" t="s">
        <v>484</v>
      </c>
      <c r="H10" s="200">
        <v>4.0</v>
      </c>
      <c r="I10" s="7"/>
      <c r="J10" s="7"/>
      <c r="K10" s="13">
        <v>30.0</v>
      </c>
      <c r="L10" s="7">
        <f t="shared" si="23"/>
        <v>360</v>
      </c>
      <c r="M10" s="7">
        <v>1.0</v>
      </c>
      <c r="N10" s="60">
        <f t="shared" si="1"/>
        <v>1440</v>
      </c>
      <c r="O10" s="201">
        <v>8.0</v>
      </c>
      <c r="P10" s="51">
        <v>11.0</v>
      </c>
      <c r="Q10" s="200">
        <v>12.0</v>
      </c>
      <c r="R10" s="200">
        <v>400.0</v>
      </c>
      <c r="S10" s="7">
        <f t="shared" si="2"/>
        <v>38400</v>
      </c>
      <c r="T10" s="7">
        <f t="shared" si="3"/>
        <v>13.32</v>
      </c>
      <c r="U10" s="60">
        <f t="shared" si="4"/>
        <v>5328</v>
      </c>
      <c r="V10" s="125">
        <f t="shared" si="5"/>
        <v>4224</v>
      </c>
      <c r="W10" s="51">
        <v>30.0</v>
      </c>
      <c r="X10" s="200">
        <v>450.0</v>
      </c>
      <c r="Y10" s="89">
        <v>1.3</v>
      </c>
      <c r="Z10" s="13">
        <f t="shared" si="6"/>
        <v>585</v>
      </c>
      <c r="AA10" s="13">
        <f t="shared" si="7"/>
        <v>315</v>
      </c>
      <c r="AB10" s="7">
        <f t="shared" si="8"/>
        <v>175.5</v>
      </c>
      <c r="AC10" s="93">
        <f t="shared" si="9"/>
        <v>1404</v>
      </c>
      <c r="AD10" s="96">
        <v>20.0</v>
      </c>
      <c r="AE10" s="203">
        <v>1200.0</v>
      </c>
      <c r="AF10" s="200">
        <v>0.6</v>
      </c>
      <c r="AG10" s="13">
        <f t="shared" si="10"/>
        <v>720</v>
      </c>
      <c r="AH10" s="13">
        <f t="shared" si="11"/>
        <v>960</v>
      </c>
      <c r="AI10" s="13">
        <f t="shared" si="12"/>
        <v>144</v>
      </c>
      <c r="AJ10" s="17">
        <f t="shared" si="13"/>
        <v>1152</v>
      </c>
      <c r="AK10" s="96">
        <v>35.0</v>
      </c>
      <c r="AL10" s="200">
        <v>2.5</v>
      </c>
      <c r="AM10" s="200">
        <v>22.0</v>
      </c>
      <c r="AN10" s="13">
        <f t="shared" si="14"/>
        <v>55</v>
      </c>
      <c r="AO10" s="13">
        <f t="shared" si="15"/>
        <v>1.625</v>
      </c>
      <c r="AP10" s="13">
        <f t="shared" si="16"/>
        <v>19.25</v>
      </c>
      <c r="AQ10" s="17">
        <f t="shared" si="17"/>
        <v>154</v>
      </c>
      <c r="AR10" s="97">
        <v>0.0</v>
      </c>
      <c r="AS10" s="200">
        <v>20000.0</v>
      </c>
      <c r="AT10" s="17">
        <f t="shared" si="18"/>
        <v>0</v>
      </c>
      <c r="AU10" s="97">
        <v>0.0</v>
      </c>
      <c r="AV10" s="200">
        <v>4500.0</v>
      </c>
      <c r="AW10" s="17">
        <f t="shared" si="19"/>
        <v>0</v>
      </c>
      <c r="AX10" s="96">
        <f t="shared" si="20"/>
        <v>27736</v>
      </c>
      <c r="AY10" s="204">
        <f t="shared" si="24"/>
        <v>481.5277778</v>
      </c>
      <c r="AZ10" s="17">
        <f t="shared" si="22"/>
        <v>26296</v>
      </c>
      <c r="BA10" s="172"/>
    </row>
    <row r="11" ht="15.75" customHeight="1">
      <c r="A11" s="14"/>
      <c r="B11" s="31" t="s">
        <v>36</v>
      </c>
      <c r="C11" s="31" t="s">
        <v>91</v>
      </c>
      <c r="D11" s="32" t="s">
        <v>485</v>
      </c>
      <c r="E11" s="32" t="s">
        <v>60</v>
      </c>
      <c r="F11" s="32" t="s">
        <v>51</v>
      </c>
      <c r="G11" s="32" t="s">
        <v>486</v>
      </c>
      <c r="H11" s="200">
        <v>4.0</v>
      </c>
      <c r="I11" s="7"/>
      <c r="J11" s="7"/>
      <c r="L11" s="7">
        <v>250.0</v>
      </c>
      <c r="M11" s="7">
        <v>1.0</v>
      </c>
      <c r="N11" s="60">
        <f t="shared" si="1"/>
        <v>1000</v>
      </c>
      <c r="O11" s="201">
        <v>8.0</v>
      </c>
      <c r="P11" s="51">
        <v>11.0</v>
      </c>
      <c r="Q11" s="200">
        <v>12.0</v>
      </c>
      <c r="R11" s="200">
        <v>400.0</v>
      </c>
      <c r="S11" s="7">
        <f t="shared" si="2"/>
        <v>38400</v>
      </c>
      <c r="T11" s="7">
        <f t="shared" si="3"/>
        <v>13.32</v>
      </c>
      <c r="U11" s="60">
        <f t="shared" si="4"/>
        <v>5328</v>
      </c>
      <c r="V11" s="125">
        <f t="shared" si="5"/>
        <v>4224</v>
      </c>
      <c r="W11" s="51">
        <v>30.0</v>
      </c>
      <c r="X11" s="200">
        <v>450.0</v>
      </c>
      <c r="Y11" s="89">
        <v>1.3</v>
      </c>
      <c r="Z11" s="13">
        <f t="shared" si="6"/>
        <v>585</v>
      </c>
      <c r="AA11" s="13">
        <f t="shared" si="7"/>
        <v>315</v>
      </c>
      <c r="AB11" s="7">
        <f t="shared" si="8"/>
        <v>175.5</v>
      </c>
      <c r="AC11" s="93">
        <f t="shared" si="9"/>
        <v>1404</v>
      </c>
      <c r="AD11" s="96">
        <v>20.0</v>
      </c>
      <c r="AE11" s="203">
        <v>1200.0</v>
      </c>
      <c r="AF11" s="200">
        <v>0.6</v>
      </c>
      <c r="AG11" s="13">
        <f t="shared" si="10"/>
        <v>720</v>
      </c>
      <c r="AH11" s="13">
        <f t="shared" si="11"/>
        <v>960</v>
      </c>
      <c r="AI11" s="13">
        <f t="shared" si="12"/>
        <v>144</v>
      </c>
      <c r="AJ11" s="17">
        <f t="shared" si="13"/>
        <v>1152</v>
      </c>
      <c r="AK11" s="96">
        <v>35.0</v>
      </c>
      <c r="AL11" s="200">
        <v>2.5</v>
      </c>
      <c r="AM11" s="200">
        <v>22.0</v>
      </c>
      <c r="AN11" s="13">
        <f t="shared" si="14"/>
        <v>55</v>
      </c>
      <c r="AO11" s="13">
        <f t="shared" si="15"/>
        <v>1.625</v>
      </c>
      <c r="AP11" s="13">
        <f t="shared" si="16"/>
        <v>19.25</v>
      </c>
      <c r="AQ11" s="17">
        <f t="shared" si="17"/>
        <v>154</v>
      </c>
      <c r="AR11" s="97">
        <v>0.0</v>
      </c>
      <c r="AS11" s="200">
        <v>20000.0</v>
      </c>
      <c r="AT11" s="17">
        <f t="shared" si="18"/>
        <v>0</v>
      </c>
      <c r="AU11" s="97">
        <v>0.0</v>
      </c>
      <c r="AV11" s="200">
        <v>4500.0</v>
      </c>
      <c r="AW11" s="17">
        <f t="shared" si="19"/>
        <v>0</v>
      </c>
      <c r="AX11" s="96">
        <f t="shared" si="20"/>
        <v>27736</v>
      </c>
      <c r="AY11" s="204">
        <f t="shared" si="24"/>
        <v>693.4</v>
      </c>
      <c r="AZ11" s="17">
        <f t="shared" si="22"/>
        <v>26736</v>
      </c>
      <c r="BA11" s="172"/>
    </row>
    <row r="12" ht="15.75" customHeight="1">
      <c r="A12" s="14"/>
      <c r="B12" s="31" t="s">
        <v>36</v>
      </c>
      <c r="C12" s="31" t="s">
        <v>91</v>
      </c>
      <c r="D12" s="32" t="s">
        <v>615</v>
      </c>
      <c r="E12" s="32"/>
      <c r="F12" s="32" t="s">
        <v>51</v>
      </c>
      <c r="G12" s="32" t="s">
        <v>489</v>
      </c>
      <c r="H12" s="200">
        <v>4.0</v>
      </c>
      <c r="I12" s="7"/>
      <c r="J12" s="7"/>
      <c r="L12" s="7">
        <v>950.0</v>
      </c>
      <c r="M12" s="7">
        <v>1.0</v>
      </c>
      <c r="N12" s="60">
        <f t="shared" si="1"/>
        <v>3800</v>
      </c>
      <c r="O12" s="201">
        <v>8.0</v>
      </c>
      <c r="P12" s="51">
        <v>11.0</v>
      </c>
      <c r="Q12" s="200">
        <v>12.0</v>
      </c>
      <c r="R12" s="200">
        <v>400.0</v>
      </c>
      <c r="S12" s="7">
        <f t="shared" si="2"/>
        <v>38400</v>
      </c>
      <c r="T12" s="7">
        <f t="shared" si="3"/>
        <v>13.32</v>
      </c>
      <c r="U12" s="60">
        <f t="shared" si="4"/>
        <v>5328</v>
      </c>
      <c r="V12" s="125">
        <f t="shared" si="5"/>
        <v>4224</v>
      </c>
      <c r="W12" s="51">
        <v>30.0</v>
      </c>
      <c r="X12" s="200">
        <v>450.0</v>
      </c>
      <c r="Y12" s="89">
        <v>1.3</v>
      </c>
      <c r="Z12" s="13">
        <f t="shared" si="6"/>
        <v>585</v>
      </c>
      <c r="AA12" s="13">
        <f t="shared" si="7"/>
        <v>315</v>
      </c>
      <c r="AB12" s="7">
        <f t="shared" si="8"/>
        <v>175.5</v>
      </c>
      <c r="AC12" s="93">
        <f t="shared" si="9"/>
        <v>1404</v>
      </c>
      <c r="AD12" s="92">
        <v>0.0</v>
      </c>
      <c r="AE12" s="203">
        <v>1200.0</v>
      </c>
      <c r="AF12" s="200">
        <v>0.6</v>
      </c>
      <c r="AG12" s="13">
        <f t="shared" si="10"/>
        <v>720</v>
      </c>
      <c r="AH12" s="13">
        <f t="shared" si="11"/>
        <v>1200</v>
      </c>
      <c r="AI12" s="13">
        <f t="shared" si="12"/>
        <v>0</v>
      </c>
      <c r="AJ12" s="17">
        <f t="shared" si="13"/>
        <v>0</v>
      </c>
      <c r="AK12" s="96">
        <v>35.0</v>
      </c>
      <c r="AL12" s="200">
        <v>2.5</v>
      </c>
      <c r="AM12" s="200">
        <v>22.0</v>
      </c>
      <c r="AN12" s="13">
        <f t="shared" si="14"/>
        <v>55</v>
      </c>
      <c r="AO12" s="13">
        <f t="shared" si="15"/>
        <v>1.625</v>
      </c>
      <c r="AP12" s="13">
        <f t="shared" si="16"/>
        <v>19.25</v>
      </c>
      <c r="AQ12" s="17">
        <f t="shared" si="17"/>
        <v>154</v>
      </c>
      <c r="AR12" s="97">
        <v>0.0</v>
      </c>
      <c r="AS12" s="200">
        <v>20000.0</v>
      </c>
      <c r="AT12" s="17">
        <f t="shared" si="18"/>
        <v>0</v>
      </c>
      <c r="AU12" s="97">
        <v>0.0</v>
      </c>
      <c r="AV12" s="200">
        <v>4500.0</v>
      </c>
      <c r="AW12" s="17">
        <f t="shared" si="19"/>
        <v>0</v>
      </c>
      <c r="AX12" s="96">
        <f t="shared" si="20"/>
        <v>23128</v>
      </c>
      <c r="AY12" s="204">
        <f t="shared" si="24"/>
        <v>152.1578947</v>
      </c>
      <c r="AZ12" s="17">
        <f t="shared" si="22"/>
        <v>19328</v>
      </c>
      <c r="BA12" s="172"/>
    </row>
    <row r="13" ht="15.75" customHeight="1">
      <c r="A13" s="14"/>
      <c r="B13" s="31" t="s">
        <v>36</v>
      </c>
      <c r="C13" s="31" t="s">
        <v>91</v>
      </c>
      <c r="D13" s="32" t="s">
        <v>490</v>
      </c>
      <c r="E13" s="32" t="s">
        <v>72</v>
      </c>
      <c r="F13" s="32" t="s">
        <v>51</v>
      </c>
      <c r="G13" s="32" t="s">
        <v>491</v>
      </c>
      <c r="H13" s="200">
        <v>4.0</v>
      </c>
      <c r="I13" s="7"/>
      <c r="J13" s="7"/>
      <c r="L13" s="7">
        <v>60.0</v>
      </c>
      <c r="M13" s="7">
        <v>1.0</v>
      </c>
      <c r="N13" s="60">
        <f t="shared" si="1"/>
        <v>240</v>
      </c>
      <c r="O13" s="201">
        <v>8.0</v>
      </c>
      <c r="P13" s="51">
        <v>11.0</v>
      </c>
      <c r="Q13" s="200">
        <v>12.0</v>
      </c>
      <c r="R13" s="200">
        <v>400.0</v>
      </c>
      <c r="S13" s="7">
        <f t="shared" si="2"/>
        <v>38400</v>
      </c>
      <c r="T13" s="7">
        <f t="shared" si="3"/>
        <v>13.32</v>
      </c>
      <c r="U13" s="60">
        <f t="shared" si="4"/>
        <v>5328</v>
      </c>
      <c r="V13" s="125">
        <f t="shared" si="5"/>
        <v>4224</v>
      </c>
      <c r="W13" s="101">
        <v>0.0</v>
      </c>
      <c r="X13" s="200">
        <v>450.0</v>
      </c>
      <c r="Y13" s="89">
        <v>1.3</v>
      </c>
      <c r="Z13" s="13">
        <f t="shared" si="6"/>
        <v>585</v>
      </c>
      <c r="AA13" s="13">
        <f t="shared" si="7"/>
        <v>450</v>
      </c>
      <c r="AB13" s="7">
        <f t="shared" si="8"/>
        <v>0</v>
      </c>
      <c r="AC13" s="93">
        <f t="shared" si="9"/>
        <v>0</v>
      </c>
      <c r="AD13" s="101">
        <v>25.0</v>
      </c>
      <c r="AE13" s="203">
        <v>1200.0</v>
      </c>
      <c r="AF13" s="200">
        <v>0.6</v>
      </c>
      <c r="AG13" s="13">
        <f t="shared" si="10"/>
        <v>720</v>
      </c>
      <c r="AH13" s="13">
        <f t="shared" si="11"/>
        <v>900</v>
      </c>
      <c r="AI13" s="13">
        <f t="shared" si="12"/>
        <v>180</v>
      </c>
      <c r="AJ13" s="17">
        <f t="shared" si="13"/>
        <v>1440</v>
      </c>
      <c r="AK13" s="94">
        <v>0.0</v>
      </c>
      <c r="AL13" s="200">
        <v>2.5</v>
      </c>
      <c r="AM13" s="200">
        <v>22.0</v>
      </c>
      <c r="AN13" s="13">
        <f t="shared" si="14"/>
        <v>55</v>
      </c>
      <c r="AO13" s="13">
        <f t="shared" si="15"/>
        <v>2.5</v>
      </c>
      <c r="AP13" s="13">
        <f t="shared" si="16"/>
        <v>0</v>
      </c>
      <c r="AQ13" s="17">
        <f t="shared" si="17"/>
        <v>0</v>
      </c>
      <c r="AR13" s="97">
        <v>0.0</v>
      </c>
      <c r="AS13" s="200">
        <v>20000.0</v>
      </c>
      <c r="AT13" s="17">
        <f t="shared" si="18"/>
        <v>0</v>
      </c>
      <c r="AU13" s="97">
        <v>0.0</v>
      </c>
      <c r="AV13" s="200">
        <v>4500.0</v>
      </c>
      <c r="AW13" s="17">
        <f t="shared" si="19"/>
        <v>0</v>
      </c>
      <c r="AX13" s="96">
        <f t="shared" si="20"/>
        <v>22656</v>
      </c>
      <c r="AY13" s="204">
        <f t="shared" si="24"/>
        <v>2360</v>
      </c>
      <c r="AZ13" s="17">
        <f t="shared" si="22"/>
        <v>22416</v>
      </c>
      <c r="BA13" s="172"/>
    </row>
    <row r="14" ht="15.75" customHeight="1">
      <c r="A14" s="14"/>
      <c r="B14" s="31" t="s">
        <v>502</v>
      </c>
      <c r="C14" s="31" t="s">
        <v>91</v>
      </c>
      <c r="D14" s="32" t="s">
        <v>616</v>
      </c>
      <c r="E14" s="32" t="s">
        <v>80</v>
      </c>
      <c r="F14" s="32" t="s">
        <v>51</v>
      </c>
      <c r="G14" s="32" t="s">
        <v>492</v>
      </c>
      <c r="H14" s="200">
        <v>4.0</v>
      </c>
      <c r="I14" s="7"/>
      <c r="J14" s="7">
        <v>6.0</v>
      </c>
      <c r="L14" s="7"/>
      <c r="M14" s="7">
        <v>1.0</v>
      </c>
      <c r="N14" s="60">
        <f t="shared" si="1"/>
        <v>48</v>
      </c>
      <c r="O14" s="201">
        <v>8.0</v>
      </c>
      <c r="P14" s="51">
        <v>11.0</v>
      </c>
      <c r="Q14" s="200">
        <v>12.0</v>
      </c>
      <c r="R14" s="200">
        <v>400.0</v>
      </c>
      <c r="S14" s="7">
        <f t="shared" si="2"/>
        <v>38400</v>
      </c>
      <c r="T14" s="7">
        <f t="shared" si="3"/>
        <v>13.32</v>
      </c>
      <c r="U14" s="60">
        <f t="shared" si="4"/>
        <v>5328</v>
      </c>
      <c r="V14" s="125">
        <f t="shared" si="5"/>
        <v>4224</v>
      </c>
      <c r="W14" s="51">
        <v>30.0</v>
      </c>
      <c r="X14" s="200">
        <v>450.0</v>
      </c>
      <c r="Y14" s="89">
        <v>1.3</v>
      </c>
      <c r="Z14" s="13">
        <f t="shared" si="6"/>
        <v>585</v>
      </c>
      <c r="AA14" s="13">
        <f t="shared" si="7"/>
        <v>315</v>
      </c>
      <c r="AB14" s="7">
        <f t="shared" si="8"/>
        <v>175.5</v>
      </c>
      <c r="AC14" s="93">
        <f t="shared" si="9"/>
        <v>1404</v>
      </c>
      <c r="AD14" s="92">
        <v>0.0</v>
      </c>
      <c r="AE14" s="203">
        <v>1200.0</v>
      </c>
      <c r="AF14" s="200">
        <v>0.6</v>
      </c>
      <c r="AG14" s="13">
        <f t="shared" si="10"/>
        <v>720</v>
      </c>
      <c r="AH14" s="13">
        <f t="shared" si="11"/>
        <v>1200</v>
      </c>
      <c r="AI14" s="13">
        <f t="shared" si="12"/>
        <v>0</v>
      </c>
      <c r="AJ14" s="17">
        <f t="shared" si="13"/>
        <v>0</v>
      </c>
      <c r="AK14" s="96">
        <v>35.0</v>
      </c>
      <c r="AL14" s="200">
        <v>2.5</v>
      </c>
      <c r="AM14" s="200">
        <v>22.0</v>
      </c>
      <c r="AN14" s="13">
        <f t="shared" si="14"/>
        <v>55</v>
      </c>
      <c r="AO14" s="13">
        <f t="shared" si="15"/>
        <v>1.625</v>
      </c>
      <c r="AP14" s="13">
        <f t="shared" si="16"/>
        <v>19.25</v>
      </c>
      <c r="AQ14" s="17">
        <f t="shared" si="17"/>
        <v>154</v>
      </c>
      <c r="AR14" s="97">
        <v>0.0</v>
      </c>
      <c r="AS14" s="200">
        <v>20000.0</v>
      </c>
      <c r="AT14" s="17">
        <f t="shared" si="18"/>
        <v>0</v>
      </c>
      <c r="AU14" s="97">
        <v>0.0</v>
      </c>
      <c r="AV14" s="200">
        <v>4500.0</v>
      </c>
      <c r="AW14" s="17">
        <f t="shared" si="19"/>
        <v>0</v>
      </c>
      <c r="AX14" s="96">
        <f t="shared" si="20"/>
        <v>23128</v>
      </c>
      <c r="AY14" s="204">
        <f t="shared" si="24"/>
        <v>12045.83333</v>
      </c>
      <c r="AZ14" s="17">
        <f t="shared" si="22"/>
        <v>23080</v>
      </c>
      <c r="BA14" s="172"/>
    </row>
    <row r="15" ht="15.75" customHeight="1">
      <c r="A15" s="14"/>
      <c r="B15" s="31" t="s">
        <v>14</v>
      </c>
      <c r="C15" s="31" t="s">
        <v>15</v>
      </c>
      <c r="D15" s="32" t="s">
        <v>124</v>
      </c>
      <c r="E15" s="32" t="s">
        <v>125</v>
      </c>
      <c r="F15" s="32" t="s">
        <v>51</v>
      </c>
      <c r="G15" s="32" t="s">
        <v>128</v>
      </c>
      <c r="H15" s="200">
        <v>4.0</v>
      </c>
      <c r="I15" s="7"/>
      <c r="J15" s="7"/>
      <c r="L15" s="7">
        <v>400.0</v>
      </c>
      <c r="M15" s="7">
        <v>1.0</v>
      </c>
      <c r="N15" s="60">
        <f t="shared" si="1"/>
        <v>1600</v>
      </c>
      <c r="O15" s="201">
        <v>8.0</v>
      </c>
      <c r="P15" s="51">
        <v>11.0</v>
      </c>
      <c r="Q15" s="200">
        <v>12.0</v>
      </c>
      <c r="R15" s="200">
        <v>400.0</v>
      </c>
      <c r="S15" s="7">
        <f t="shared" si="2"/>
        <v>38400</v>
      </c>
      <c r="T15" s="7">
        <f t="shared" si="3"/>
        <v>13.32</v>
      </c>
      <c r="U15" s="60">
        <f t="shared" si="4"/>
        <v>5328</v>
      </c>
      <c r="V15" s="125">
        <f t="shared" si="5"/>
        <v>4224</v>
      </c>
      <c r="W15" s="92">
        <v>0.0</v>
      </c>
      <c r="X15" s="200">
        <v>450.0</v>
      </c>
      <c r="Y15" s="89">
        <v>1.3</v>
      </c>
      <c r="Z15" s="13">
        <f t="shared" si="6"/>
        <v>585</v>
      </c>
      <c r="AA15" s="13">
        <f t="shared" si="7"/>
        <v>450</v>
      </c>
      <c r="AB15" s="7">
        <f t="shared" si="8"/>
        <v>0</v>
      </c>
      <c r="AC15" s="93">
        <f t="shared" si="9"/>
        <v>0</v>
      </c>
      <c r="AD15" s="51">
        <v>25.0</v>
      </c>
      <c r="AE15" s="203">
        <v>1200.0</v>
      </c>
      <c r="AF15" s="200">
        <v>0.6</v>
      </c>
      <c r="AG15" s="13">
        <f t="shared" si="10"/>
        <v>720</v>
      </c>
      <c r="AH15" s="13">
        <f t="shared" si="11"/>
        <v>900</v>
      </c>
      <c r="AI15" s="13">
        <f t="shared" si="12"/>
        <v>180</v>
      </c>
      <c r="AJ15" s="17">
        <f t="shared" si="13"/>
        <v>1440</v>
      </c>
      <c r="AK15" s="92">
        <v>0.0</v>
      </c>
      <c r="AL15" s="200">
        <v>2.5</v>
      </c>
      <c r="AM15" s="200">
        <v>22.0</v>
      </c>
      <c r="AN15" s="13">
        <f t="shared" si="14"/>
        <v>55</v>
      </c>
      <c r="AO15" s="13">
        <f t="shared" si="15"/>
        <v>2.5</v>
      </c>
      <c r="AP15" s="13">
        <f t="shared" si="16"/>
        <v>0</v>
      </c>
      <c r="AQ15" s="17">
        <f t="shared" si="17"/>
        <v>0</v>
      </c>
      <c r="AR15" s="97">
        <v>0.0</v>
      </c>
      <c r="AS15" s="200">
        <v>20000.0</v>
      </c>
      <c r="AT15" s="17">
        <f t="shared" si="18"/>
        <v>0</v>
      </c>
      <c r="AU15" s="97">
        <v>0.0</v>
      </c>
      <c r="AV15" s="200">
        <v>4500.0</v>
      </c>
      <c r="AW15" s="17">
        <f t="shared" si="19"/>
        <v>0</v>
      </c>
      <c r="AX15" s="96">
        <f t="shared" si="20"/>
        <v>22656</v>
      </c>
      <c r="AY15" s="204">
        <f t="shared" si="24"/>
        <v>354</v>
      </c>
      <c r="AZ15" s="17">
        <f t="shared" si="22"/>
        <v>21056</v>
      </c>
      <c r="BA15" s="172"/>
    </row>
    <row r="16" ht="15.75" customHeight="1">
      <c r="A16" s="14"/>
      <c r="B16" s="31" t="s">
        <v>14</v>
      </c>
      <c r="C16" s="31" t="s">
        <v>15</v>
      </c>
      <c r="D16" s="32" t="s">
        <v>85</v>
      </c>
      <c r="E16" s="32" t="s">
        <v>86</v>
      </c>
      <c r="F16" s="32" t="s">
        <v>89</v>
      </c>
      <c r="G16" s="32" t="s">
        <v>471</v>
      </c>
      <c r="H16" s="200">
        <v>4.0</v>
      </c>
      <c r="I16" s="7">
        <v>200.0</v>
      </c>
      <c r="J16" s="7"/>
      <c r="L16" s="7"/>
      <c r="M16" s="7">
        <v>1.0</v>
      </c>
      <c r="N16" s="60">
        <f t="shared" si="1"/>
        <v>200</v>
      </c>
      <c r="O16" s="201">
        <v>8.0</v>
      </c>
      <c r="P16" s="51">
        <v>11.0</v>
      </c>
      <c r="Q16" s="200">
        <v>12.0</v>
      </c>
      <c r="R16" s="200">
        <v>400.0</v>
      </c>
      <c r="S16" s="7">
        <f t="shared" si="2"/>
        <v>38400</v>
      </c>
      <c r="T16" s="7">
        <f t="shared" si="3"/>
        <v>13.32</v>
      </c>
      <c r="U16" s="60">
        <f t="shared" si="4"/>
        <v>5328</v>
      </c>
      <c r="V16" s="125">
        <f t="shared" si="5"/>
        <v>4224</v>
      </c>
      <c r="W16" s="92">
        <v>0.0</v>
      </c>
      <c r="X16" s="200">
        <v>450.0</v>
      </c>
      <c r="Y16" s="89">
        <v>1.3</v>
      </c>
      <c r="Z16" s="13">
        <f t="shared" si="6"/>
        <v>585</v>
      </c>
      <c r="AA16" s="13">
        <f t="shared" si="7"/>
        <v>450</v>
      </c>
      <c r="AB16" s="7">
        <f t="shared" si="8"/>
        <v>0</v>
      </c>
      <c r="AC16" s="93">
        <f t="shared" si="9"/>
        <v>0</v>
      </c>
      <c r="AD16" s="51">
        <v>25.0</v>
      </c>
      <c r="AE16" s="203">
        <v>1200.0</v>
      </c>
      <c r="AF16" s="200">
        <v>0.6</v>
      </c>
      <c r="AG16" s="13">
        <f t="shared" si="10"/>
        <v>720</v>
      </c>
      <c r="AH16" s="13">
        <f t="shared" si="11"/>
        <v>900</v>
      </c>
      <c r="AI16" s="13">
        <f t="shared" si="12"/>
        <v>180</v>
      </c>
      <c r="AJ16" s="17">
        <f t="shared" si="13"/>
        <v>1440</v>
      </c>
      <c r="AK16" s="92">
        <v>0.0</v>
      </c>
      <c r="AL16" s="200">
        <v>2.5</v>
      </c>
      <c r="AM16" s="200">
        <v>22.0</v>
      </c>
      <c r="AN16" s="13">
        <f t="shared" si="14"/>
        <v>55</v>
      </c>
      <c r="AO16" s="13">
        <f t="shared" si="15"/>
        <v>2.5</v>
      </c>
      <c r="AP16" s="13">
        <f t="shared" si="16"/>
        <v>0</v>
      </c>
      <c r="AQ16" s="17">
        <f t="shared" si="17"/>
        <v>0</v>
      </c>
      <c r="AR16" s="97">
        <v>0.0</v>
      </c>
      <c r="AS16" s="200">
        <v>20000.0</v>
      </c>
      <c r="AT16" s="17">
        <f t="shared" si="18"/>
        <v>0</v>
      </c>
      <c r="AU16" s="97">
        <v>0.0</v>
      </c>
      <c r="AV16" s="200">
        <v>4500.0</v>
      </c>
      <c r="AW16" s="17">
        <f t="shared" si="19"/>
        <v>0</v>
      </c>
      <c r="AX16" s="96">
        <f t="shared" si="20"/>
        <v>22656</v>
      </c>
      <c r="AY16" s="204">
        <f t="shared" si="24"/>
        <v>2832</v>
      </c>
      <c r="AZ16" s="17">
        <f t="shared" si="22"/>
        <v>22456</v>
      </c>
      <c r="BA16" s="172"/>
    </row>
    <row r="17" ht="15.75" customHeight="1">
      <c r="A17" s="14"/>
      <c r="B17" s="31" t="s">
        <v>14</v>
      </c>
      <c r="C17" s="31" t="s">
        <v>15</v>
      </c>
      <c r="D17" s="32" t="s">
        <v>16</v>
      </c>
      <c r="E17" s="32" t="s">
        <v>17</v>
      </c>
      <c r="F17" s="32"/>
      <c r="G17" s="32" t="s">
        <v>617</v>
      </c>
      <c r="H17" s="200">
        <v>4.0</v>
      </c>
      <c r="I17" s="7"/>
      <c r="J17" s="7"/>
      <c r="L17" s="7">
        <v>700.0</v>
      </c>
      <c r="M17" s="7">
        <v>1.0</v>
      </c>
      <c r="N17" s="60">
        <f t="shared" si="1"/>
        <v>2800</v>
      </c>
      <c r="O17" s="201">
        <v>8.0</v>
      </c>
      <c r="P17" s="51">
        <v>11.0</v>
      </c>
      <c r="Q17" s="200">
        <v>12.0</v>
      </c>
      <c r="R17" s="200">
        <v>400.0</v>
      </c>
      <c r="S17" s="7">
        <f t="shared" si="2"/>
        <v>38400</v>
      </c>
      <c r="T17" s="7">
        <f t="shared" si="3"/>
        <v>13.32</v>
      </c>
      <c r="U17" s="60">
        <f t="shared" si="4"/>
        <v>5328</v>
      </c>
      <c r="V17" s="125">
        <f t="shared" si="5"/>
        <v>4224</v>
      </c>
      <c r="W17" s="92">
        <v>0.0</v>
      </c>
      <c r="X17" s="200">
        <v>450.0</v>
      </c>
      <c r="Y17" s="89">
        <v>1.3</v>
      </c>
      <c r="Z17" s="13">
        <f t="shared" si="6"/>
        <v>585</v>
      </c>
      <c r="AA17" s="13">
        <f t="shared" si="7"/>
        <v>450</v>
      </c>
      <c r="AB17" s="7">
        <f t="shared" si="8"/>
        <v>0</v>
      </c>
      <c r="AC17" s="93">
        <f t="shared" si="9"/>
        <v>0</v>
      </c>
      <c r="AD17" s="51">
        <v>25.0</v>
      </c>
      <c r="AE17" s="203">
        <v>1200.0</v>
      </c>
      <c r="AF17" s="200">
        <v>0.6</v>
      </c>
      <c r="AG17" s="13">
        <f t="shared" si="10"/>
        <v>720</v>
      </c>
      <c r="AH17" s="13">
        <f t="shared" si="11"/>
        <v>900</v>
      </c>
      <c r="AI17" s="13">
        <f t="shared" si="12"/>
        <v>180</v>
      </c>
      <c r="AJ17" s="17">
        <f t="shared" si="13"/>
        <v>1440</v>
      </c>
      <c r="AK17" s="92">
        <v>0.0</v>
      </c>
      <c r="AL17" s="200">
        <v>2.5</v>
      </c>
      <c r="AM17" s="200">
        <v>22.0</v>
      </c>
      <c r="AN17" s="13">
        <f t="shared" si="14"/>
        <v>55</v>
      </c>
      <c r="AO17" s="13">
        <f t="shared" si="15"/>
        <v>2.5</v>
      </c>
      <c r="AP17" s="13">
        <f t="shared" si="16"/>
        <v>0</v>
      </c>
      <c r="AQ17" s="17">
        <f t="shared" si="17"/>
        <v>0</v>
      </c>
      <c r="AR17" s="97">
        <v>0.0</v>
      </c>
      <c r="AS17" s="200">
        <v>20000.0</v>
      </c>
      <c r="AT17" s="17">
        <f t="shared" si="18"/>
        <v>0</v>
      </c>
      <c r="AU17" s="97">
        <v>0.0</v>
      </c>
      <c r="AV17" s="200">
        <v>4500.0</v>
      </c>
      <c r="AW17" s="17">
        <f t="shared" si="19"/>
        <v>0</v>
      </c>
      <c r="AX17" s="96">
        <f t="shared" si="20"/>
        <v>22656</v>
      </c>
      <c r="AY17" s="204">
        <f t="shared" si="24"/>
        <v>202.2857143</v>
      </c>
      <c r="AZ17" s="17">
        <f t="shared" si="22"/>
        <v>19856</v>
      </c>
      <c r="BA17" s="172"/>
    </row>
    <row r="18" ht="15.75" customHeight="1">
      <c r="A18" s="14"/>
      <c r="B18" s="31" t="s">
        <v>14</v>
      </c>
      <c r="C18" s="31" t="s">
        <v>613</v>
      </c>
      <c r="D18" s="32" t="s">
        <v>31</v>
      </c>
      <c r="E18" s="32" t="s">
        <v>467</v>
      </c>
      <c r="F18" s="32" t="s">
        <v>34</v>
      </c>
      <c r="G18" s="32" t="s">
        <v>489</v>
      </c>
      <c r="H18" s="200">
        <v>4.0</v>
      </c>
      <c r="I18" s="7"/>
      <c r="J18" s="7"/>
      <c r="L18" s="7">
        <v>950.0</v>
      </c>
      <c r="M18" s="7">
        <v>1.0</v>
      </c>
      <c r="N18" s="60">
        <f t="shared" si="1"/>
        <v>3800</v>
      </c>
      <c r="O18" s="201">
        <v>8.0</v>
      </c>
      <c r="P18" s="51">
        <v>11.0</v>
      </c>
      <c r="Q18" s="200">
        <v>12.0</v>
      </c>
      <c r="R18" s="200">
        <v>400.0</v>
      </c>
      <c r="S18" s="7">
        <f t="shared" si="2"/>
        <v>38400</v>
      </c>
      <c r="T18" s="7">
        <f t="shared" si="3"/>
        <v>13.32</v>
      </c>
      <c r="U18" s="60">
        <f t="shared" si="4"/>
        <v>5328</v>
      </c>
      <c r="V18" s="125">
        <f t="shared" si="5"/>
        <v>4224</v>
      </c>
      <c r="W18" s="51">
        <v>30.0</v>
      </c>
      <c r="X18" s="200">
        <v>450.0</v>
      </c>
      <c r="Y18" s="89">
        <v>1.3</v>
      </c>
      <c r="Z18" s="13">
        <f t="shared" si="6"/>
        <v>585</v>
      </c>
      <c r="AA18" s="13">
        <f t="shared" si="7"/>
        <v>315</v>
      </c>
      <c r="AB18" s="7">
        <f t="shared" si="8"/>
        <v>175.5</v>
      </c>
      <c r="AC18" s="93">
        <f t="shared" si="9"/>
        <v>1404</v>
      </c>
      <c r="AD18" s="51">
        <v>25.0</v>
      </c>
      <c r="AE18" s="203">
        <v>1200.0</v>
      </c>
      <c r="AF18" s="200">
        <v>0.6</v>
      </c>
      <c r="AG18" s="13">
        <f t="shared" si="10"/>
        <v>720</v>
      </c>
      <c r="AH18" s="13">
        <f t="shared" si="11"/>
        <v>900</v>
      </c>
      <c r="AI18" s="13">
        <f t="shared" si="12"/>
        <v>180</v>
      </c>
      <c r="AJ18" s="17">
        <f t="shared" si="13"/>
        <v>1440</v>
      </c>
      <c r="AK18" s="51">
        <v>35.0</v>
      </c>
      <c r="AL18" s="200">
        <v>2.5</v>
      </c>
      <c r="AM18" s="200">
        <v>22.0</v>
      </c>
      <c r="AN18" s="13">
        <f t="shared" si="14"/>
        <v>55</v>
      </c>
      <c r="AO18" s="13">
        <f t="shared" si="15"/>
        <v>1.625</v>
      </c>
      <c r="AP18" s="13">
        <f t="shared" si="16"/>
        <v>19.25</v>
      </c>
      <c r="AQ18" s="17">
        <f t="shared" si="17"/>
        <v>154</v>
      </c>
      <c r="AR18" s="97">
        <v>0.0</v>
      </c>
      <c r="AS18" s="200">
        <v>20000.0</v>
      </c>
      <c r="AT18" s="17">
        <f t="shared" si="18"/>
        <v>0</v>
      </c>
      <c r="AU18" s="97">
        <v>0.0</v>
      </c>
      <c r="AV18" s="200">
        <v>4500.0</v>
      </c>
      <c r="AW18" s="17">
        <f t="shared" si="19"/>
        <v>0</v>
      </c>
      <c r="AX18" s="96">
        <f t="shared" si="20"/>
        <v>28888</v>
      </c>
      <c r="AY18" s="204">
        <f t="shared" si="24"/>
        <v>190.0526316</v>
      </c>
      <c r="AZ18" s="17">
        <f t="shared" si="22"/>
        <v>25088</v>
      </c>
      <c r="BA18" s="172"/>
    </row>
    <row r="19" ht="15.75" customHeight="1">
      <c r="A19" s="14"/>
      <c r="B19" s="31" t="s">
        <v>14</v>
      </c>
      <c r="C19" s="31" t="s">
        <v>15</v>
      </c>
      <c r="D19" s="32" t="s">
        <v>29</v>
      </c>
      <c r="E19" s="32" t="s">
        <v>618</v>
      </c>
      <c r="F19" s="32" t="s">
        <v>26</v>
      </c>
      <c r="G19" s="32" t="s">
        <v>27</v>
      </c>
      <c r="H19" s="200">
        <v>4.0</v>
      </c>
      <c r="I19" s="7"/>
      <c r="J19" s="7"/>
      <c r="K19" s="13">
        <v>25.0</v>
      </c>
      <c r="L19" s="7">
        <f>K19*12</f>
        <v>300</v>
      </c>
      <c r="M19" s="7">
        <v>1.0</v>
      </c>
      <c r="N19" s="60">
        <f t="shared" si="1"/>
        <v>1200</v>
      </c>
      <c r="O19" s="201">
        <v>8.0</v>
      </c>
      <c r="P19" s="51">
        <v>11.0</v>
      </c>
      <c r="Q19" s="200">
        <v>12.0</v>
      </c>
      <c r="R19" s="200">
        <v>400.0</v>
      </c>
      <c r="S19" s="7">
        <f t="shared" si="2"/>
        <v>38400</v>
      </c>
      <c r="T19" s="7">
        <f t="shared" si="3"/>
        <v>13.32</v>
      </c>
      <c r="U19" s="60">
        <f t="shared" si="4"/>
        <v>5328</v>
      </c>
      <c r="V19" s="125">
        <f t="shared" si="5"/>
        <v>4224</v>
      </c>
      <c r="W19" s="92">
        <v>0.0</v>
      </c>
      <c r="X19" s="200">
        <v>450.0</v>
      </c>
      <c r="Y19" s="89">
        <v>1.3</v>
      </c>
      <c r="Z19" s="13">
        <f t="shared" si="6"/>
        <v>585</v>
      </c>
      <c r="AA19" s="13">
        <f t="shared" si="7"/>
        <v>450</v>
      </c>
      <c r="AB19" s="7">
        <f t="shared" si="8"/>
        <v>0</v>
      </c>
      <c r="AC19" s="93">
        <f t="shared" si="9"/>
        <v>0</v>
      </c>
      <c r="AD19" s="51">
        <v>25.0</v>
      </c>
      <c r="AE19" s="203">
        <v>1200.0</v>
      </c>
      <c r="AF19" s="200">
        <v>0.6</v>
      </c>
      <c r="AG19" s="13">
        <f t="shared" si="10"/>
        <v>720</v>
      </c>
      <c r="AH19" s="13">
        <f t="shared" si="11"/>
        <v>900</v>
      </c>
      <c r="AI19" s="13">
        <f t="shared" si="12"/>
        <v>180</v>
      </c>
      <c r="AJ19" s="17">
        <f t="shared" si="13"/>
        <v>1440</v>
      </c>
      <c r="AK19" s="92">
        <v>0.0</v>
      </c>
      <c r="AL19" s="200">
        <v>2.5</v>
      </c>
      <c r="AM19" s="200">
        <v>22.0</v>
      </c>
      <c r="AN19" s="13">
        <f t="shared" si="14"/>
        <v>55</v>
      </c>
      <c r="AO19" s="13">
        <f t="shared" si="15"/>
        <v>2.5</v>
      </c>
      <c r="AP19" s="13">
        <f t="shared" si="16"/>
        <v>0</v>
      </c>
      <c r="AQ19" s="17">
        <f t="shared" si="17"/>
        <v>0</v>
      </c>
      <c r="AR19" s="97">
        <v>0.0</v>
      </c>
      <c r="AS19" s="200">
        <v>20000.0</v>
      </c>
      <c r="AT19" s="17">
        <f t="shared" si="18"/>
        <v>0</v>
      </c>
      <c r="AU19" s="97">
        <v>0.0</v>
      </c>
      <c r="AV19" s="200">
        <v>4500.0</v>
      </c>
      <c r="AW19" s="17">
        <f t="shared" si="19"/>
        <v>0</v>
      </c>
      <c r="AX19" s="96">
        <f t="shared" si="20"/>
        <v>22656</v>
      </c>
      <c r="AY19" s="204">
        <f t="shared" si="24"/>
        <v>472</v>
      </c>
      <c r="AZ19" s="17">
        <f t="shared" si="22"/>
        <v>21456</v>
      </c>
      <c r="BA19" s="172"/>
    </row>
    <row r="20" ht="15.75" customHeight="1">
      <c r="A20" s="14"/>
      <c r="B20" s="31" t="s">
        <v>14</v>
      </c>
      <c r="C20" s="31" t="s">
        <v>613</v>
      </c>
      <c r="D20" s="32" t="s">
        <v>130</v>
      </c>
      <c r="E20" s="32" t="s">
        <v>130</v>
      </c>
      <c r="F20" s="32" t="s">
        <v>51</v>
      </c>
      <c r="G20" s="32" t="s">
        <v>493</v>
      </c>
      <c r="H20" s="200">
        <v>4.0</v>
      </c>
      <c r="I20" s="7"/>
      <c r="J20" s="7"/>
      <c r="L20" s="7">
        <v>500.0</v>
      </c>
      <c r="M20" s="7">
        <v>1.0</v>
      </c>
      <c r="N20" s="60">
        <f t="shared" si="1"/>
        <v>2000</v>
      </c>
      <c r="O20" s="201">
        <v>8.0</v>
      </c>
      <c r="P20" s="51">
        <v>11.0</v>
      </c>
      <c r="Q20" s="200">
        <v>12.0</v>
      </c>
      <c r="R20" s="200">
        <v>400.0</v>
      </c>
      <c r="S20" s="7">
        <f t="shared" si="2"/>
        <v>38400</v>
      </c>
      <c r="T20" s="7">
        <f t="shared" si="3"/>
        <v>13.32</v>
      </c>
      <c r="U20" s="60">
        <f t="shared" si="4"/>
        <v>5328</v>
      </c>
      <c r="V20" s="125">
        <f t="shared" si="5"/>
        <v>4224</v>
      </c>
      <c r="W20" s="51">
        <v>30.0</v>
      </c>
      <c r="X20" s="200">
        <v>450.0</v>
      </c>
      <c r="Y20" s="89">
        <v>1.3</v>
      </c>
      <c r="Z20" s="13">
        <f t="shared" si="6"/>
        <v>585</v>
      </c>
      <c r="AA20" s="13">
        <f t="shared" si="7"/>
        <v>315</v>
      </c>
      <c r="AB20" s="7">
        <f t="shared" si="8"/>
        <v>175.5</v>
      </c>
      <c r="AC20" s="93">
        <f t="shared" si="9"/>
        <v>1404</v>
      </c>
      <c r="AD20" s="51">
        <v>25.0</v>
      </c>
      <c r="AE20" s="203">
        <v>1200.0</v>
      </c>
      <c r="AF20" s="200">
        <v>0.6</v>
      </c>
      <c r="AG20" s="13">
        <f t="shared" si="10"/>
        <v>720</v>
      </c>
      <c r="AH20" s="13">
        <f t="shared" si="11"/>
        <v>900</v>
      </c>
      <c r="AI20" s="13">
        <f t="shared" si="12"/>
        <v>180</v>
      </c>
      <c r="AJ20" s="17">
        <f t="shared" si="13"/>
        <v>1440</v>
      </c>
      <c r="AK20" s="91">
        <v>35.0</v>
      </c>
      <c r="AL20" s="200">
        <v>2.5</v>
      </c>
      <c r="AM20" s="200">
        <v>22.0</v>
      </c>
      <c r="AN20" s="13">
        <f t="shared" si="14"/>
        <v>55</v>
      </c>
      <c r="AO20" s="13">
        <f t="shared" si="15"/>
        <v>1.625</v>
      </c>
      <c r="AP20" s="13">
        <f t="shared" si="16"/>
        <v>19.25</v>
      </c>
      <c r="AQ20" s="17">
        <f t="shared" si="17"/>
        <v>154</v>
      </c>
      <c r="AR20" s="97">
        <v>0.0</v>
      </c>
      <c r="AS20" s="200">
        <v>20000.0</v>
      </c>
      <c r="AT20" s="17">
        <f t="shared" si="18"/>
        <v>0</v>
      </c>
      <c r="AU20" s="97">
        <v>0.0</v>
      </c>
      <c r="AV20" s="200">
        <v>4500.0</v>
      </c>
      <c r="AW20" s="17">
        <f t="shared" si="19"/>
        <v>0</v>
      </c>
      <c r="AX20" s="96">
        <f t="shared" si="20"/>
        <v>28888</v>
      </c>
      <c r="AY20" s="204">
        <f t="shared" si="24"/>
        <v>361.1</v>
      </c>
      <c r="AZ20" s="17">
        <f t="shared" si="22"/>
        <v>26888</v>
      </c>
      <c r="BA20" s="172"/>
    </row>
    <row r="21" ht="15.75" customHeight="1">
      <c r="A21" s="14"/>
      <c r="B21" s="31" t="s">
        <v>14</v>
      </c>
      <c r="C21" s="31" t="s">
        <v>613</v>
      </c>
      <c r="D21" s="32" t="s">
        <v>135</v>
      </c>
      <c r="E21" s="32" t="s">
        <v>136</v>
      </c>
      <c r="F21" s="32" t="s">
        <v>51</v>
      </c>
      <c r="G21" s="32" t="s">
        <v>139</v>
      </c>
      <c r="H21" s="200">
        <v>4.0</v>
      </c>
      <c r="I21" s="7"/>
      <c r="J21" s="7"/>
      <c r="L21" s="7">
        <v>1000.0</v>
      </c>
      <c r="M21" s="7">
        <v>1.0</v>
      </c>
      <c r="N21" s="60">
        <f t="shared" si="1"/>
        <v>4000</v>
      </c>
      <c r="O21" s="201">
        <v>8.0</v>
      </c>
      <c r="P21" s="51">
        <v>11.0</v>
      </c>
      <c r="Q21" s="88">
        <v>12.0</v>
      </c>
      <c r="R21" s="200">
        <v>400.0</v>
      </c>
      <c r="S21" s="7">
        <f t="shared" si="2"/>
        <v>38400</v>
      </c>
      <c r="T21" s="7">
        <f t="shared" si="3"/>
        <v>13.32</v>
      </c>
      <c r="U21" s="60">
        <f t="shared" si="4"/>
        <v>5328</v>
      </c>
      <c r="V21" s="125">
        <f t="shared" si="5"/>
        <v>4224</v>
      </c>
      <c r="W21" s="51">
        <v>30.0</v>
      </c>
      <c r="X21" s="200">
        <v>450.0</v>
      </c>
      <c r="Y21" s="89">
        <v>1.3</v>
      </c>
      <c r="Z21" s="13">
        <f t="shared" si="6"/>
        <v>585</v>
      </c>
      <c r="AA21" s="13">
        <f t="shared" si="7"/>
        <v>315</v>
      </c>
      <c r="AB21" s="7">
        <f t="shared" si="8"/>
        <v>175.5</v>
      </c>
      <c r="AC21" s="93">
        <f t="shared" si="9"/>
        <v>1404</v>
      </c>
      <c r="AD21" s="51">
        <v>25.0</v>
      </c>
      <c r="AE21" s="203">
        <v>1200.0</v>
      </c>
      <c r="AF21" s="200">
        <v>0.6</v>
      </c>
      <c r="AG21" s="13">
        <f t="shared" si="10"/>
        <v>720</v>
      </c>
      <c r="AH21" s="13">
        <f t="shared" si="11"/>
        <v>900</v>
      </c>
      <c r="AI21" s="13">
        <f t="shared" si="12"/>
        <v>180</v>
      </c>
      <c r="AJ21" s="17">
        <f t="shared" si="13"/>
        <v>1440</v>
      </c>
      <c r="AK21" s="91">
        <v>35.0</v>
      </c>
      <c r="AL21" s="200">
        <v>2.5</v>
      </c>
      <c r="AM21" s="200">
        <v>22.0</v>
      </c>
      <c r="AN21" s="13">
        <f t="shared" si="14"/>
        <v>55</v>
      </c>
      <c r="AO21" s="13">
        <f t="shared" si="15"/>
        <v>1.625</v>
      </c>
      <c r="AP21" s="13">
        <f t="shared" si="16"/>
        <v>19.25</v>
      </c>
      <c r="AQ21" s="17">
        <f t="shared" si="17"/>
        <v>154</v>
      </c>
      <c r="AR21" s="97">
        <v>0.0</v>
      </c>
      <c r="AS21" s="200">
        <v>20000.0</v>
      </c>
      <c r="AT21" s="17">
        <f t="shared" si="18"/>
        <v>0</v>
      </c>
      <c r="AU21" s="97">
        <v>0.0</v>
      </c>
      <c r="AV21" s="200">
        <v>4500.0</v>
      </c>
      <c r="AW21" s="17">
        <f t="shared" si="19"/>
        <v>0</v>
      </c>
      <c r="AX21" s="96">
        <f t="shared" si="20"/>
        <v>28888</v>
      </c>
      <c r="AY21" s="204">
        <f t="shared" si="24"/>
        <v>180.55</v>
      </c>
      <c r="AZ21" s="17">
        <f t="shared" si="22"/>
        <v>24888</v>
      </c>
      <c r="BA21" s="172"/>
    </row>
    <row r="22" ht="15.75" customHeight="1">
      <c r="A22" s="21"/>
      <c r="B22" s="180" t="s">
        <v>14</v>
      </c>
      <c r="C22" s="180" t="s">
        <v>15</v>
      </c>
      <c r="D22" s="181" t="s">
        <v>22</v>
      </c>
      <c r="E22" s="181" t="s">
        <v>23</v>
      </c>
      <c r="F22" s="181" t="s">
        <v>26</v>
      </c>
      <c r="G22" s="181" t="s">
        <v>619</v>
      </c>
      <c r="H22" s="108">
        <v>4.0</v>
      </c>
      <c r="I22" s="106"/>
      <c r="J22" s="106"/>
      <c r="K22" s="22">
        <v>25.0</v>
      </c>
      <c r="L22" s="106">
        <f>K22*12</f>
        <v>300</v>
      </c>
      <c r="M22" s="106">
        <v>1.0</v>
      </c>
      <c r="N22" s="110">
        <f t="shared" si="1"/>
        <v>1200</v>
      </c>
      <c r="O22" s="201">
        <v>8.0</v>
      </c>
      <c r="P22" s="112">
        <v>11.0</v>
      </c>
      <c r="Q22" s="108">
        <v>12.0</v>
      </c>
      <c r="R22" s="108">
        <v>400.0</v>
      </c>
      <c r="S22" s="106">
        <f t="shared" si="2"/>
        <v>38400</v>
      </c>
      <c r="T22" s="106">
        <f t="shared" si="3"/>
        <v>13.32</v>
      </c>
      <c r="U22" s="110">
        <f t="shared" si="4"/>
        <v>5328</v>
      </c>
      <c r="V22" s="113">
        <f t="shared" si="5"/>
        <v>4224</v>
      </c>
      <c r="W22" s="150">
        <v>0.0</v>
      </c>
      <c r="X22" s="108">
        <v>450.0</v>
      </c>
      <c r="Y22" s="89">
        <v>1.3</v>
      </c>
      <c r="Z22" s="22">
        <f t="shared" si="6"/>
        <v>585</v>
      </c>
      <c r="AA22" s="22">
        <f t="shared" si="7"/>
        <v>450</v>
      </c>
      <c r="AB22" s="106">
        <f t="shared" si="8"/>
        <v>0</v>
      </c>
      <c r="AC22" s="115">
        <f t="shared" si="9"/>
        <v>0</v>
      </c>
      <c r="AD22" s="112">
        <v>25.0</v>
      </c>
      <c r="AE22" s="206">
        <v>1200.0</v>
      </c>
      <c r="AF22" s="117">
        <v>0.6</v>
      </c>
      <c r="AG22" s="22">
        <f t="shared" si="10"/>
        <v>720</v>
      </c>
      <c r="AH22" s="22">
        <f t="shared" si="11"/>
        <v>900</v>
      </c>
      <c r="AI22" s="22">
        <f t="shared" si="12"/>
        <v>180</v>
      </c>
      <c r="AJ22" s="25">
        <f t="shared" si="13"/>
        <v>1440</v>
      </c>
      <c r="AK22" s="207">
        <v>0.0</v>
      </c>
      <c r="AL22" s="117">
        <v>2.5</v>
      </c>
      <c r="AM22" s="117">
        <v>22.0</v>
      </c>
      <c r="AN22" s="22">
        <f t="shared" si="14"/>
        <v>55</v>
      </c>
      <c r="AO22" s="22">
        <f t="shared" si="15"/>
        <v>2.5</v>
      </c>
      <c r="AP22" s="22">
        <f t="shared" si="16"/>
        <v>0</v>
      </c>
      <c r="AQ22" s="25">
        <f t="shared" si="17"/>
        <v>0</v>
      </c>
      <c r="AR22" s="116">
        <v>0.0</v>
      </c>
      <c r="AS22" s="208">
        <v>20000.0</v>
      </c>
      <c r="AT22" s="25">
        <f t="shared" si="18"/>
        <v>0</v>
      </c>
      <c r="AU22" s="116">
        <v>0.0</v>
      </c>
      <c r="AV22" s="117">
        <v>4500.0</v>
      </c>
      <c r="AW22" s="25">
        <f t="shared" si="19"/>
        <v>0</v>
      </c>
      <c r="AX22" s="118">
        <f t="shared" si="20"/>
        <v>22656</v>
      </c>
      <c r="AY22" s="204">
        <f t="shared" si="24"/>
        <v>472</v>
      </c>
      <c r="AZ22" s="25">
        <f t="shared" si="22"/>
        <v>21456</v>
      </c>
      <c r="BA22" s="182"/>
    </row>
    <row r="23" ht="15.75" customHeight="1">
      <c r="A23" s="71" t="s">
        <v>140</v>
      </c>
      <c r="B23" s="168" t="s">
        <v>14</v>
      </c>
      <c r="C23" s="168" t="s">
        <v>508</v>
      </c>
      <c r="D23" s="169" t="s">
        <v>142</v>
      </c>
      <c r="E23" s="169" t="s">
        <v>143</v>
      </c>
      <c r="F23" s="169" t="s">
        <v>51</v>
      </c>
      <c r="G23" s="169" t="s">
        <v>497</v>
      </c>
      <c r="H23" s="76">
        <v>4.0</v>
      </c>
      <c r="I23" s="74">
        <v>6290.0</v>
      </c>
      <c r="J23" s="74"/>
      <c r="K23" s="77"/>
      <c r="L23" s="74"/>
      <c r="M23" s="74">
        <v>1.0</v>
      </c>
      <c r="N23" s="78">
        <f t="shared" si="1"/>
        <v>6290</v>
      </c>
      <c r="O23" s="121">
        <v>8.0</v>
      </c>
      <c r="P23" s="151">
        <v>19.0</v>
      </c>
      <c r="Q23" s="76">
        <v>12.0</v>
      </c>
      <c r="R23" s="76">
        <v>400.0</v>
      </c>
      <c r="S23" s="74">
        <f t="shared" si="2"/>
        <v>38400</v>
      </c>
      <c r="T23" s="74">
        <f t="shared" si="3"/>
        <v>14.28</v>
      </c>
      <c r="U23" s="78">
        <f t="shared" si="4"/>
        <v>5712</v>
      </c>
      <c r="V23" s="80">
        <f t="shared" si="5"/>
        <v>7296</v>
      </c>
      <c r="W23" s="84">
        <v>13.0</v>
      </c>
      <c r="X23" s="131">
        <v>450.0</v>
      </c>
      <c r="Y23" s="121">
        <v>1.3</v>
      </c>
      <c r="Z23" s="9">
        <f t="shared" si="6"/>
        <v>585</v>
      </c>
      <c r="AA23" s="9">
        <f t="shared" si="7"/>
        <v>391.5</v>
      </c>
      <c r="AB23" s="74">
        <f t="shared" si="8"/>
        <v>76.05</v>
      </c>
      <c r="AC23" s="81">
        <f t="shared" si="9"/>
        <v>608.4</v>
      </c>
      <c r="AD23" s="123">
        <v>34.5</v>
      </c>
      <c r="AE23" s="203">
        <v>1200.0</v>
      </c>
      <c r="AF23" s="131">
        <v>0.6</v>
      </c>
      <c r="AG23" s="9">
        <f t="shared" si="10"/>
        <v>720</v>
      </c>
      <c r="AH23" s="9">
        <f t="shared" si="11"/>
        <v>786</v>
      </c>
      <c r="AI23" s="9">
        <f t="shared" si="12"/>
        <v>248.4</v>
      </c>
      <c r="AJ23" s="12">
        <f t="shared" si="13"/>
        <v>1987.2</v>
      </c>
      <c r="AK23" s="84">
        <v>4.0</v>
      </c>
      <c r="AL23" s="131">
        <v>2.5</v>
      </c>
      <c r="AM23" s="131">
        <v>22.0</v>
      </c>
      <c r="AN23" s="9">
        <f t="shared" si="14"/>
        <v>55</v>
      </c>
      <c r="AO23" s="9">
        <f t="shared" si="15"/>
        <v>2.4</v>
      </c>
      <c r="AP23" s="9">
        <f t="shared" si="16"/>
        <v>2.2</v>
      </c>
      <c r="AQ23" s="12">
        <f t="shared" si="17"/>
        <v>17.6</v>
      </c>
      <c r="AR23" s="123">
        <v>6.5</v>
      </c>
      <c r="AS23" s="200">
        <v>20000.0</v>
      </c>
      <c r="AT23" s="12">
        <f t="shared" si="18"/>
        <v>1300</v>
      </c>
      <c r="AU23" s="84">
        <v>26.0</v>
      </c>
      <c r="AV23" s="131">
        <v>4500.0</v>
      </c>
      <c r="AW23" s="12">
        <f t="shared" si="19"/>
        <v>1170</v>
      </c>
      <c r="AX23" s="84">
        <f t="shared" si="20"/>
        <v>49516.8</v>
      </c>
      <c r="AY23" s="199">
        <f t="shared" si="24"/>
        <v>196.8076312</v>
      </c>
      <c r="AZ23" s="12">
        <f t="shared" si="22"/>
        <v>43226.8</v>
      </c>
      <c r="BA23" s="171"/>
    </row>
    <row r="24" ht="15.75" customHeight="1">
      <c r="A24" s="14"/>
      <c r="B24" s="31" t="s">
        <v>14</v>
      </c>
      <c r="C24" s="31" t="s">
        <v>508</v>
      </c>
      <c r="D24" s="32" t="s">
        <v>147</v>
      </c>
      <c r="E24" s="32" t="s">
        <v>148</v>
      </c>
      <c r="F24" s="32" t="s">
        <v>51</v>
      </c>
      <c r="G24" s="32" t="s">
        <v>498</v>
      </c>
      <c r="H24" s="88">
        <v>4.0</v>
      </c>
      <c r="I24" s="7">
        <v>5100.0</v>
      </c>
      <c r="J24" s="7"/>
      <c r="L24" s="7"/>
      <c r="M24" s="7">
        <v>1.0</v>
      </c>
      <c r="N24" s="60">
        <f t="shared" si="1"/>
        <v>5100</v>
      </c>
      <c r="O24" s="89">
        <v>8.0</v>
      </c>
      <c r="P24" s="51">
        <v>19.0</v>
      </c>
      <c r="Q24" s="88">
        <v>12.0</v>
      </c>
      <c r="R24" s="124">
        <v>400.0</v>
      </c>
      <c r="S24" s="7">
        <f t="shared" si="2"/>
        <v>38400</v>
      </c>
      <c r="T24" s="7">
        <f t="shared" si="3"/>
        <v>14.28</v>
      </c>
      <c r="U24" s="60">
        <f t="shared" si="4"/>
        <v>5712</v>
      </c>
      <c r="V24" s="125">
        <f t="shared" si="5"/>
        <v>7296</v>
      </c>
      <c r="W24" s="96">
        <v>13.0</v>
      </c>
      <c r="X24" s="124">
        <v>450.0</v>
      </c>
      <c r="Y24" s="89">
        <v>1.3</v>
      </c>
      <c r="Z24" s="13">
        <f t="shared" si="6"/>
        <v>585</v>
      </c>
      <c r="AA24" s="13">
        <f t="shared" si="7"/>
        <v>391.5</v>
      </c>
      <c r="AB24" s="7">
        <f t="shared" si="8"/>
        <v>76.05</v>
      </c>
      <c r="AC24" s="93">
        <f t="shared" si="9"/>
        <v>608.4</v>
      </c>
      <c r="AD24" s="94">
        <v>34.5</v>
      </c>
      <c r="AE24" s="203">
        <v>1200.0</v>
      </c>
      <c r="AF24" s="124">
        <v>0.6</v>
      </c>
      <c r="AG24" s="13">
        <f t="shared" si="10"/>
        <v>720</v>
      </c>
      <c r="AH24" s="13">
        <f t="shared" si="11"/>
        <v>786</v>
      </c>
      <c r="AI24" s="13">
        <f t="shared" si="12"/>
        <v>248.4</v>
      </c>
      <c r="AJ24" s="17">
        <f t="shared" si="13"/>
        <v>1987.2</v>
      </c>
      <c r="AK24" s="96">
        <v>4.0</v>
      </c>
      <c r="AL24" s="124">
        <v>2.5</v>
      </c>
      <c r="AM24" s="124">
        <v>22.0</v>
      </c>
      <c r="AN24" s="13">
        <f t="shared" si="14"/>
        <v>55</v>
      </c>
      <c r="AO24" s="13">
        <f t="shared" si="15"/>
        <v>2.4</v>
      </c>
      <c r="AP24" s="13">
        <f t="shared" si="16"/>
        <v>2.2</v>
      </c>
      <c r="AQ24" s="17">
        <f t="shared" si="17"/>
        <v>17.6</v>
      </c>
      <c r="AR24" s="94">
        <v>6.5</v>
      </c>
      <c r="AS24" s="200">
        <v>20000.0</v>
      </c>
      <c r="AT24" s="17">
        <f t="shared" si="18"/>
        <v>1300</v>
      </c>
      <c r="AU24" s="96">
        <v>26.0</v>
      </c>
      <c r="AV24" s="124">
        <v>4500.0</v>
      </c>
      <c r="AW24" s="17">
        <f t="shared" si="19"/>
        <v>1170</v>
      </c>
      <c r="AX24" s="96">
        <f t="shared" si="20"/>
        <v>49516.8</v>
      </c>
      <c r="AY24" s="204">
        <f t="shared" si="24"/>
        <v>242.7294118</v>
      </c>
      <c r="AZ24" s="17">
        <f t="shared" si="22"/>
        <v>44416.8</v>
      </c>
      <c r="BA24" s="172"/>
    </row>
    <row r="25" ht="15.75" customHeight="1">
      <c r="A25" s="14"/>
      <c r="B25" s="31" t="s">
        <v>14</v>
      </c>
      <c r="C25" s="31" t="s">
        <v>601</v>
      </c>
      <c r="D25" s="32" t="s">
        <v>160</v>
      </c>
      <c r="E25" s="32" t="s">
        <v>161</v>
      </c>
      <c r="F25" s="32" t="s">
        <v>51</v>
      </c>
      <c r="G25" s="32" t="s">
        <v>501</v>
      </c>
      <c r="H25" s="88">
        <v>4.0</v>
      </c>
      <c r="I25" s="7">
        <v>1500.0</v>
      </c>
      <c r="J25" s="7"/>
      <c r="L25" s="7"/>
      <c r="M25" s="7">
        <v>1.0</v>
      </c>
      <c r="N25" s="60">
        <f t="shared" si="1"/>
        <v>1500</v>
      </c>
      <c r="O25" s="89">
        <v>8.0</v>
      </c>
      <c r="P25" s="51">
        <v>19.0</v>
      </c>
      <c r="Q25" s="88">
        <v>12.0</v>
      </c>
      <c r="R25" s="124">
        <v>400.0</v>
      </c>
      <c r="S25" s="7">
        <f t="shared" si="2"/>
        <v>38400</v>
      </c>
      <c r="T25" s="7">
        <f t="shared" si="3"/>
        <v>14.28</v>
      </c>
      <c r="U25" s="60">
        <f t="shared" si="4"/>
        <v>5712</v>
      </c>
      <c r="V25" s="125">
        <f t="shared" si="5"/>
        <v>7296</v>
      </c>
      <c r="W25" s="96">
        <v>13.0</v>
      </c>
      <c r="X25" s="124">
        <v>450.0</v>
      </c>
      <c r="Y25" s="89">
        <v>1.3</v>
      </c>
      <c r="Z25" s="13">
        <f t="shared" si="6"/>
        <v>585</v>
      </c>
      <c r="AA25" s="13">
        <f t="shared" si="7"/>
        <v>391.5</v>
      </c>
      <c r="AB25" s="7">
        <f t="shared" si="8"/>
        <v>76.05</v>
      </c>
      <c r="AC25" s="93">
        <f t="shared" si="9"/>
        <v>608.4</v>
      </c>
      <c r="AD25" s="94">
        <v>34.5</v>
      </c>
      <c r="AE25" s="203">
        <v>1200.0</v>
      </c>
      <c r="AF25" s="124">
        <v>0.6</v>
      </c>
      <c r="AG25" s="13">
        <f t="shared" si="10"/>
        <v>720</v>
      </c>
      <c r="AH25" s="13">
        <f t="shared" si="11"/>
        <v>786</v>
      </c>
      <c r="AI25" s="13">
        <f t="shared" si="12"/>
        <v>248.4</v>
      </c>
      <c r="AJ25" s="17">
        <f t="shared" si="13"/>
        <v>1987.2</v>
      </c>
      <c r="AK25" s="96">
        <v>4.0</v>
      </c>
      <c r="AL25" s="124">
        <v>2.5</v>
      </c>
      <c r="AM25" s="124">
        <v>22.0</v>
      </c>
      <c r="AN25" s="13">
        <f t="shared" si="14"/>
        <v>55</v>
      </c>
      <c r="AO25" s="13">
        <f t="shared" si="15"/>
        <v>2.4</v>
      </c>
      <c r="AP25" s="13">
        <f t="shared" si="16"/>
        <v>2.2</v>
      </c>
      <c r="AQ25" s="17">
        <f t="shared" si="17"/>
        <v>17.6</v>
      </c>
      <c r="AR25" s="94">
        <v>6.5</v>
      </c>
      <c r="AS25" s="200">
        <v>20000.0</v>
      </c>
      <c r="AT25" s="17">
        <f t="shared" si="18"/>
        <v>1300</v>
      </c>
      <c r="AU25" s="96">
        <v>26.0</v>
      </c>
      <c r="AV25" s="124">
        <v>4500.0</v>
      </c>
      <c r="AW25" s="17">
        <f t="shared" si="19"/>
        <v>1170</v>
      </c>
      <c r="AX25" s="96">
        <f t="shared" si="20"/>
        <v>49516.8</v>
      </c>
      <c r="AY25" s="204">
        <f t="shared" si="24"/>
        <v>825.28</v>
      </c>
      <c r="AZ25" s="17">
        <f t="shared" si="22"/>
        <v>48016.8</v>
      </c>
      <c r="BA25" s="172"/>
    </row>
    <row r="26" ht="15.75" customHeight="1">
      <c r="A26" s="14"/>
      <c r="B26" s="31" t="s">
        <v>14</v>
      </c>
      <c r="C26" s="31" t="s">
        <v>505</v>
      </c>
      <c r="D26" s="32" t="s">
        <v>166</v>
      </c>
      <c r="E26" s="32" t="s">
        <v>167</v>
      </c>
      <c r="F26" s="32" t="s">
        <v>51</v>
      </c>
      <c r="G26" s="32" t="s">
        <v>507</v>
      </c>
      <c r="H26" s="88">
        <v>4.0</v>
      </c>
      <c r="I26" s="7">
        <v>1100.0</v>
      </c>
      <c r="J26" s="7"/>
      <c r="L26" s="7"/>
      <c r="M26" s="7">
        <v>1.0</v>
      </c>
      <c r="N26" s="60">
        <f t="shared" si="1"/>
        <v>1100</v>
      </c>
      <c r="O26" s="89">
        <v>8.0</v>
      </c>
      <c r="P26" s="51">
        <v>19.0</v>
      </c>
      <c r="Q26" s="88">
        <v>12.0</v>
      </c>
      <c r="R26" s="124">
        <v>400.0</v>
      </c>
      <c r="S26" s="7">
        <f t="shared" si="2"/>
        <v>38400</v>
      </c>
      <c r="T26" s="7">
        <f t="shared" si="3"/>
        <v>14.28</v>
      </c>
      <c r="U26" s="60">
        <f t="shared" si="4"/>
        <v>5712</v>
      </c>
      <c r="V26" s="125">
        <f t="shared" si="5"/>
        <v>7296</v>
      </c>
      <c r="W26" s="96">
        <v>13.0</v>
      </c>
      <c r="X26" s="124">
        <v>450.0</v>
      </c>
      <c r="Y26" s="89">
        <v>1.3</v>
      </c>
      <c r="Z26" s="13">
        <f t="shared" si="6"/>
        <v>585</v>
      </c>
      <c r="AA26" s="13">
        <f t="shared" si="7"/>
        <v>391.5</v>
      </c>
      <c r="AB26" s="7">
        <f t="shared" si="8"/>
        <v>76.05</v>
      </c>
      <c r="AC26" s="93">
        <f t="shared" si="9"/>
        <v>608.4</v>
      </c>
      <c r="AD26" s="94">
        <v>34.5</v>
      </c>
      <c r="AE26" s="203">
        <v>1200.0</v>
      </c>
      <c r="AF26" s="124">
        <v>0.6</v>
      </c>
      <c r="AG26" s="13">
        <f t="shared" si="10"/>
        <v>720</v>
      </c>
      <c r="AH26" s="13">
        <f t="shared" si="11"/>
        <v>786</v>
      </c>
      <c r="AI26" s="13">
        <f t="shared" si="12"/>
        <v>248.4</v>
      </c>
      <c r="AJ26" s="17">
        <f t="shared" si="13"/>
        <v>1987.2</v>
      </c>
      <c r="AK26" s="96">
        <v>4.0</v>
      </c>
      <c r="AL26" s="124">
        <v>2.5</v>
      </c>
      <c r="AM26" s="124">
        <v>22.0</v>
      </c>
      <c r="AN26" s="13">
        <f t="shared" si="14"/>
        <v>55</v>
      </c>
      <c r="AO26" s="13">
        <f t="shared" si="15"/>
        <v>2.4</v>
      </c>
      <c r="AP26" s="13">
        <f t="shared" si="16"/>
        <v>2.2</v>
      </c>
      <c r="AQ26" s="17">
        <f t="shared" si="17"/>
        <v>17.6</v>
      </c>
      <c r="AR26" s="94">
        <v>6.5</v>
      </c>
      <c r="AS26" s="200">
        <v>20000.0</v>
      </c>
      <c r="AT26" s="17">
        <f t="shared" si="18"/>
        <v>1300</v>
      </c>
      <c r="AU26" s="96">
        <v>26.0</v>
      </c>
      <c r="AV26" s="124">
        <v>4500.0</v>
      </c>
      <c r="AW26" s="17">
        <f t="shared" si="19"/>
        <v>1170</v>
      </c>
      <c r="AX26" s="96">
        <f t="shared" si="20"/>
        <v>49516.8</v>
      </c>
      <c r="AY26" s="204">
        <f t="shared" si="24"/>
        <v>1125.381818</v>
      </c>
      <c r="AZ26" s="17">
        <f t="shared" si="22"/>
        <v>48416.8</v>
      </c>
      <c r="BA26" s="172"/>
    </row>
    <row r="27" ht="15.75" customHeight="1">
      <c r="A27" s="14"/>
      <c r="B27" s="31" t="s">
        <v>14</v>
      </c>
      <c r="C27" s="31" t="s">
        <v>508</v>
      </c>
      <c r="D27" s="32" t="s">
        <v>182</v>
      </c>
      <c r="E27" s="32" t="s">
        <v>581</v>
      </c>
      <c r="F27" s="32" t="s">
        <v>51</v>
      </c>
      <c r="G27" s="32" t="s">
        <v>509</v>
      </c>
      <c r="H27" s="88">
        <v>4.0</v>
      </c>
      <c r="I27" s="7">
        <v>4320.0</v>
      </c>
      <c r="J27" s="7"/>
      <c r="L27" s="7"/>
      <c r="M27" s="7">
        <v>1.0</v>
      </c>
      <c r="N27" s="60">
        <f t="shared" si="1"/>
        <v>4320</v>
      </c>
      <c r="O27" s="89">
        <v>8.0</v>
      </c>
      <c r="P27" s="51">
        <v>19.0</v>
      </c>
      <c r="Q27" s="88">
        <v>12.0</v>
      </c>
      <c r="R27" s="124">
        <v>400.0</v>
      </c>
      <c r="S27" s="7">
        <f t="shared" si="2"/>
        <v>38400</v>
      </c>
      <c r="T27" s="7">
        <f t="shared" si="3"/>
        <v>14.28</v>
      </c>
      <c r="U27" s="60">
        <f t="shared" si="4"/>
        <v>5712</v>
      </c>
      <c r="V27" s="125">
        <f t="shared" si="5"/>
        <v>7296</v>
      </c>
      <c r="W27" s="96">
        <v>13.0</v>
      </c>
      <c r="X27" s="124">
        <v>450.0</v>
      </c>
      <c r="Y27" s="89">
        <v>1.3</v>
      </c>
      <c r="Z27" s="13">
        <f t="shared" si="6"/>
        <v>585</v>
      </c>
      <c r="AA27" s="13">
        <f t="shared" si="7"/>
        <v>391.5</v>
      </c>
      <c r="AB27" s="7">
        <f t="shared" si="8"/>
        <v>76.05</v>
      </c>
      <c r="AC27" s="93">
        <f t="shared" si="9"/>
        <v>608.4</v>
      </c>
      <c r="AD27" s="94">
        <v>34.5</v>
      </c>
      <c r="AE27" s="203">
        <v>1200.0</v>
      </c>
      <c r="AF27" s="124">
        <v>0.6</v>
      </c>
      <c r="AG27" s="13">
        <f t="shared" si="10"/>
        <v>720</v>
      </c>
      <c r="AH27" s="13">
        <f t="shared" si="11"/>
        <v>786</v>
      </c>
      <c r="AI27" s="13">
        <f t="shared" si="12"/>
        <v>248.4</v>
      </c>
      <c r="AJ27" s="17">
        <f t="shared" si="13"/>
        <v>1987.2</v>
      </c>
      <c r="AK27" s="96">
        <v>4.0</v>
      </c>
      <c r="AL27" s="124">
        <v>2.5</v>
      </c>
      <c r="AM27" s="124">
        <v>22.0</v>
      </c>
      <c r="AN27" s="13">
        <f t="shared" si="14"/>
        <v>55</v>
      </c>
      <c r="AO27" s="13">
        <f t="shared" si="15"/>
        <v>2.4</v>
      </c>
      <c r="AP27" s="13">
        <f t="shared" si="16"/>
        <v>2.2</v>
      </c>
      <c r="AQ27" s="17">
        <f t="shared" si="17"/>
        <v>17.6</v>
      </c>
      <c r="AR27" s="94">
        <v>6.5</v>
      </c>
      <c r="AS27" s="200">
        <v>20000.0</v>
      </c>
      <c r="AT27" s="17">
        <f t="shared" si="18"/>
        <v>1300</v>
      </c>
      <c r="AU27" s="96">
        <v>26.0</v>
      </c>
      <c r="AV27" s="124">
        <v>4500.0</v>
      </c>
      <c r="AW27" s="17">
        <f t="shared" si="19"/>
        <v>1170</v>
      </c>
      <c r="AX27" s="96">
        <f t="shared" si="20"/>
        <v>49516.8</v>
      </c>
      <c r="AY27" s="204">
        <f t="shared" si="24"/>
        <v>286.5555556</v>
      </c>
      <c r="AZ27" s="17">
        <f t="shared" si="22"/>
        <v>45196.8</v>
      </c>
      <c r="BA27" s="172"/>
    </row>
    <row r="28" ht="15.75" customHeight="1">
      <c r="A28" s="14"/>
      <c r="B28" s="31" t="s">
        <v>14</v>
      </c>
      <c r="C28" s="31" t="s">
        <v>141</v>
      </c>
      <c r="D28" s="32" t="s">
        <v>198</v>
      </c>
      <c r="E28" s="32" t="s">
        <v>602</v>
      </c>
      <c r="F28" s="32" t="s">
        <v>51</v>
      </c>
      <c r="G28" s="32" t="s">
        <v>516</v>
      </c>
      <c r="H28" s="88">
        <v>4.0</v>
      </c>
      <c r="I28" s="7">
        <v>7000.0</v>
      </c>
      <c r="J28" s="7"/>
      <c r="L28" s="7"/>
      <c r="M28" s="7">
        <v>1.0</v>
      </c>
      <c r="N28" s="60">
        <f t="shared" si="1"/>
        <v>7000</v>
      </c>
      <c r="O28" s="89">
        <v>8.0</v>
      </c>
      <c r="P28" s="51">
        <v>19.0</v>
      </c>
      <c r="Q28" s="88">
        <v>12.0</v>
      </c>
      <c r="R28" s="124">
        <v>400.0</v>
      </c>
      <c r="S28" s="7">
        <f t="shared" si="2"/>
        <v>38400</v>
      </c>
      <c r="T28" s="7">
        <f t="shared" si="3"/>
        <v>14.28</v>
      </c>
      <c r="U28" s="60">
        <f t="shared" si="4"/>
        <v>5712</v>
      </c>
      <c r="V28" s="125">
        <f t="shared" si="5"/>
        <v>7296</v>
      </c>
      <c r="W28" s="96">
        <v>13.0</v>
      </c>
      <c r="X28" s="124">
        <v>450.0</v>
      </c>
      <c r="Y28" s="89">
        <v>1.3</v>
      </c>
      <c r="Z28" s="13">
        <f t="shared" si="6"/>
        <v>585</v>
      </c>
      <c r="AA28" s="13">
        <f t="shared" si="7"/>
        <v>391.5</v>
      </c>
      <c r="AB28" s="7">
        <f t="shared" si="8"/>
        <v>76.05</v>
      </c>
      <c r="AC28" s="93">
        <f t="shared" si="9"/>
        <v>608.4</v>
      </c>
      <c r="AD28" s="94">
        <v>34.5</v>
      </c>
      <c r="AE28" s="203">
        <v>1200.0</v>
      </c>
      <c r="AF28" s="124">
        <v>0.6</v>
      </c>
      <c r="AG28" s="13">
        <f t="shared" si="10"/>
        <v>720</v>
      </c>
      <c r="AH28" s="13">
        <f t="shared" si="11"/>
        <v>786</v>
      </c>
      <c r="AI28" s="13">
        <f t="shared" si="12"/>
        <v>248.4</v>
      </c>
      <c r="AJ28" s="17">
        <f t="shared" si="13"/>
        <v>1987.2</v>
      </c>
      <c r="AK28" s="96">
        <v>4.0</v>
      </c>
      <c r="AL28" s="124">
        <v>2.5</v>
      </c>
      <c r="AM28" s="124">
        <v>22.0</v>
      </c>
      <c r="AN28" s="13">
        <f t="shared" si="14"/>
        <v>55</v>
      </c>
      <c r="AO28" s="13">
        <f t="shared" si="15"/>
        <v>2.4</v>
      </c>
      <c r="AP28" s="13">
        <f t="shared" si="16"/>
        <v>2.2</v>
      </c>
      <c r="AQ28" s="17">
        <f t="shared" si="17"/>
        <v>17.6</v>
      </c>
      <c r="AR28" s="94">
        <v>6.5</v>
      </c>
      <c r="AS28" s="200">
        <v>20000.0</v>
      </c>
      <c r="AT28" s="17">
        <f t="shared" si="18"/>
        <v>1300</v>
      </c>
      <c r="AU28" s="96">
        <v>26.0</v>
      </c>
      <c r="AV28" s="124">
        <v>4500.0</v>
      </c>
      <c r="AW28" s="17">
        <f t="shared" si="19"/>
        <v>1170</v>
      </c>
      <c r="AX28" s="96">
        <f t="shared" si="20"/>
        <v>49516.8</v>
      </c>
      <c r="AY28" s="204">
        <f t="shared" si="24"/>
        <v>176.8457143</v>
      </c>
      <c r="AZ28" s="17">
        <f t="shared" si="22"/>
        <v>42516.8</v>
      </c>
      <c r="BA28" s="172"/>
    </row>
    <row r="29" ht="15.75" customHeight="1">
      <c r="A29" s="14"/>
      <c r="B29" s="31" t="s">
        <v>14</v>
      </c>
      <c r="C29" s="31" t="s">
        <v>141</v>
      </c>
      <c r="D29" s="32" t="s">
        <v>201</v>
      </c>
      <c r="E29" s="32" t="s">
        <v>515</v>
      </c>
      <c r="F29" s="32" t="s">
        <v>51</v>
      </c>
      <c r="G29" s="32" t="s">
        <v>580</v>
      </c>
      <c r="H29" s="88">
        <v>4.0</v>
      </c>
      <c r="I29" s="7">
        <v>10000.0</v>
      </c>
      <c r="J29" s="7"/>
      <c r="L29" s="7"/>
      <c r="M29" s="7">
        <v>1.0</v>
      </c>
      <c r="N29" s="60">
        <f t="shared" si="1"/>
        <v>10000</v>
      </c>
      <c r="O29" s="89">
        <v>8.0</v>
      </c>
      <c r="P29" s="51">
        <v>19.0</v>
      </c>
      <c r="Q29" s="88">
        <v>12.0</v>
      </c>
      <c r="R29" s="124">
        <v>400.0</v>
      </c>
      <c r="S29" s="7">
        <f t="shared" si="2"/>
        <v>38400</v>
      </c>
      <c r="T29" s="7">
        <f t="shared" si="3"/>
        <v>14.28</v>
      </c>
      <c r="U29" s="60">
        <f t="shared" si="4"/>
        <v>5712</v>
      </c>
      <c r="V29" s="125">
        <f t="shared" si="5"/>
        <v>7296</v>
      </c>
      <c r="W29" s="96">
        <v>13.0</v>
      </c>
      <c r="X29" s="124">
        <v>450.0</v>
      </c>
      <c r="Y29" s="89">
        <v>1.3</v>
      </c>
      <c r="Z29" s="13">
        <f t="shared" si="6"/>
        <v>585</v>
      </c>
      <c r="AA29" s="13">
        <f t="shared" si="7"/>
        <v>391.5</v>
      </c>
      <c r="AB29" s="7">
        <f t="shared" si="8"/>
        <v>76.05</v>
      </c>
      <c r="AC29" s="93">
        <f t="shared" si="9"/>
        <v>608.4</v>
      </c>
      <c r="AD29" s="94">
        <v>34.5</v>
      </c>
      <c r="AE29" s="203">
        <v>1200.0</v>
      </c>
      <c r="AF29" s="124">
        <v>0.6</v>
      </c>
      <c r="AG29" s="13">
        <f t="shared" si="10"/>
        <v>720</v>
      </c>
      <c r="AH29" s="13">
        <f t="shared" si="11"/>
        <v>786</v>
      </c>
      <c r="AI29" s="13">
        <f t="shared" si="12"/>
        <v>248.4</v>
      </c>
      <c r="AJ29" s="17">
        <f t="shared" si="13"/>
        <v>1987.2</v>
      </c>
      <c r="AK29" s="96">
        <v>4.0</v>
      </c>
      <c r="AL29" s="124">
        <v>2.5</v>
      </c>
      <c r="AM29" s="124">
        <v>22.0</v>
      </c>
      <c r="AN29" s="13">
        <f t="shared" si="14"/>
        <v>55</v>
      </c>
      <c r="AO29" s="13">
        <f t="shared" si="15"/>
        <v>2.4</v>
      </c>
      <c r="AP29" s="13">
        <f t="shared" si="16"/>
        <v>2.2</v>
      </c>
      <c r="AQ29" s="17">
        <f t="shared" si="17"/>
        <v>17.6</v>
      </c>
      <c r="AR29" s="94">
        <v>6.5</v>
      </c>
      <c r="AS29" s="200">
        <v>20000.0</v>
      </c>
      <c r="AT29" s="17">
        <f t="shared" si="18"/>
        <v>1300</v>
      </c>
      <c r="AU29" s="96">
        <v>26.0</v>
      </c>
      <c r="AV29" s="124">
        <v>4500.0</v>
      </c>
      <c r="AW29" s="17">
        <f t="shared" si="19"/>
        <v>1170</v>
      </c>
      <c r="AX29" s="96">
        <f t="shared" si="20"/>
        <v>49516.8</v>
      </c>
      <c r="AY29" s="204">
        <f t="shared" si="24"/>
        <v>123.792</v>
      </c>
      <c r="AZ29" s="17">
        <f t="shared" si="22"/>
        <v>39516.8</v>
      </c>
      <c r="BA29" s="172"/>
    </row>
    <row r="30" ht="15.75" customHeight="1">
      <c r="A30" s="14"/>
      <c r="B30" s="31" t="s">
        <v>14</v>
      </c>
      <c r="C30" s="31" t="s">
        <v>582</v>
      </c>
      <c r="D30" s="32" t="s">
        <v>583</v>
      </c>
      <c r="E30" s="32" t="s">
        <v>512</v>
      </c>
      <c r="F30" s="32" t="s">
        <v>51</v>
      </c>
      <c r="G30" s="32" t="s">
        <v>513</v>
      </c>
      <c r="H30" s="88">
        <v>4.0</v>
      </c>
      <c r="I30" s="7">
        <v>20000.0</v>
      </c>
      <c r="J30" s="7"/>
      <c r="L30" s="7"/>
      <c r="M30" s="7">
        <v>1.0</v>
      </c>
      <c r="N30" s="60">
        <f t="shared" si="1"/>
        <v>20000</v>
      </c>
      <c r="O30" s="89">
        <v>8.0</v>
      </c>
      <c r="P30" s="51">
        <v>19.0</v>
      </c>
      <c r="Q30" s="88">
        <v>12.0</v>
      </c>
      <c r="R30" s="124">
        <v>400.0</v>
      </c>
      <c r="S30" s="7">
        <f t="shared" si="2"/>
        <v>38400</v>
      </c>
      <c r="T30" s="7">
        <f t="shared" si="3"/>
        <v>14.28</v>
      </c>
      <c r="U30" s="60">
        <f t="shared" si="4"/>
        <v>5712</v>
      </c>
      <c r="V30" s="125">
        <f t="shared" si="5"/>
        <v>7296</v>
      </c>
      <c r="W30" s="96">
        <v>13.0</v>
      </c>
      <c r="X30" s="124">
        <v>450.0</v>
      </c>
      <c r="Y30" s="89">
        <v>1.3</v>
      </c>
      <c r="Z30" s="13">
        <f t="shared" si="6"/>
        <v>585</v>
      </c>
      <c r="AA30" s="13">
        <f t="shared" si="7"/>
        <v>391.5</v>
      </c>
      <c r="AB30" s="7">
        <f t="shared" si="8"/>
        <v>76.05</v>
      </c>
      <c r="AC30" s="93">
        <f t="shared" si="9"/>
        <v>608.4</v>
      </c>
      <c r="AD30" s="94">
        <v>34.5</v>
      </c>
      <c r="AE30" s="203">
        <v>1200.0</v>
      </c>
      <c r="AF30" s="124">
        <v>0.6</v>
      </c>
      <c r="AG30" s="13">
        <f t="shared" si="10"/>
        <v>720</v>
      </c>
      <c r="AH30" s="13">
        <f t="shared" si="11"/>
        <v>786</v>
      </c>
      <c r="AI30" s="13">
        <f t="shared" si="12"/>
        <v>248.4</v>
      </c>
      <c r="AJ30" s="17">
        <f t="shared" si="13"/>
        <v>1987.2</v>
      </c>
      <c r="AK30" s="96">
        <v>4.0</v>
      </c>
      <c r="AL30" s="124">
        <v>2.5</v>
      </c>
      <c r="AM30" s="124">
        <v>22.0</v>
      </c>
      <c r="AN30" s="13">
        <f t="shared" si="14"/>
        <v>55</v>
      </c>
      <c r="AO30" s="13">
        <f t="shared" si="15"/>
        <v>2.4</v>
      </c>
      <c r="AP30" s="13">
        <f t="shared" si="16"/>
        <v>2.2</v>
      </c>
      <c r="AQ30" s="17">
        <f t="shared" si="17"/>
        <v>17.6</v>
      </c>
      <c r="AR30" s="94">
        <v>6.5</v>
      </c>
      <c r="AS30" s="200">
        <v>20000.0</v>
      </c>
      <c r="AT30" s="17">
        <f t="shared" si="18"/>
        <v>1300</v>
      </c>
      <c r="AU30" s="96">
        <v>26.0</v>
      </c>
      <c r="AV30" s="124">
        <v>4500.0</v>
      </c>
      <c r="AW30" s="17">
        <f t="shared" si="19"/>
        <v>1170</v>
      </c>
      <c r="AX30" s="96">
        <f t="shared" si="20"/>
        <v>49516.8</v>
      </c>
      <c r="AY30" s="204">
        <f t="shared" si="24"/>
        <v>61.896</v>
      </c>
      <c r="AZ30" s="17">
        <f t="shared" si="22"/>
        <v>29516.8</v>
      </c>
      <c r="BA30" s="172"/>
    </row>
    <row r="31" ht="15.75" customHeight="1">
      <c r="A31" s="14"/>
      <c r="B31" s="31" t="s">
        <v>502</v>
      </c>
      <c r="C31" s="31" t="s">
        <v>601</v>
      </c>
      <c r="D31" s="32" t="s">
        <v>171</v>
      </c>
      <c r="E31" s="32" t="s">
        <v>172</v>
      </c>
      <c r="F31" s="32" t="s">
        <v>51</v>
      </c>
      <c r="G31" s="32" t="s">
        <v>620</v>
      </c>
      <c r="H31" s="88">
        <v>4.0</v>
      </c>
      <c r="I31" s="7">
        <v>12500.0</v>
      </c>
      <c r="J31" s="7"/>
      <c r="L31" s="7"/>
      <c r="M31" s="7">
        <v>1.0</v>
      </c>
      <c r="N31" s="60">
        <f t="shared" si="1"/>
        <v>12500</v>
      </c>
      <c r="O31" s="89">
        <v>8.0</v>
      </c>
      <c r="P31" s="51">
        <v>19.0</v>
      </c>
      <c r="Q31" s="88">
        <v>12.0</v>
      </c>
      <c r="R31" s="124">
        <v>400.0</v>
      </c>
      <c r="S31" s="7">
        <f t="shared" si="2"/>
        <v>38400</v>
      </c>
      <c r="T31" s="7">
        <f t="shared" si="3"/>
        <v>14.28</v>
      </c>
      <c r="U31" s="60">
        <f t="shared" si="4"/>
        <v>5712</v>
      </c>
      <c r="V31" s="125">
        <f t="shared" si="5"/>
        <v>7296</v>
      </c>
      <c r="W31" s="96">
        <v>13.0</v>
      </c>
      <c r="X31" s="124">
        <v>450.0</v>
      </c>
      <c r="Y31" s="89">
        <v>1.3</v>
      </c>
      <c r="Z31" s="13">
        <f t="shared" si="6"/>
        <v>585</v>
      </c>
      <c r="AA31" s="13">
        <f t="shared" si="7"/>
        <v>391.5</v>
      </c>
      <c r="AB31" s="7">
        <f t="shared" si="8"/>
        <v>76.05</v>
      </c>
      <c r="AC31" s="93">
        <f t="shared" si="9"/>
        <v>608.4</v>
      </c>
      <c r="AD31" s="94">
        <v>34.5</v>
      </c>
      <c r="AE31" s="203">
        <v>1200.0</v>
      </c>
      <c r="AF31" s="124">
        <v>0.6</v>
      </c>
      <c r="AG31" s="13">
        <f t="shared" si="10"/>
        <v>720</v>
      </c>
      <c r="AH31" s="13">
        <f t="shared" si="11"/>
        <v>786</v>
      </c>
      <c r="AI31" s="13">
        <f t="shared" si="12"/>
        <v>248.4</v>
      </c>
      <c r="AJ31" s="17">
        <f t="shared" si="13"/>
        <v>1987.2</v>
      </c>
      <c r="AK31" s="96">
        <v>4.0</v>
      </c>
      <c r="AL31" s="124">
        <v>2.5</v>
      </c>
      <c r="AM31" s="124">
        <v>22.0</v>
      </c>
      <c r="AN31" s="13">
        <f t="shared" si="14"/>
        <v>55</v>
      </c>
      <c r="AO31" s="13">
        <f t="shared" si="15"/>
        <v>2.4</v>
      </c>
      <c r="AP31" s="13">
        <f t="shared" si="16"/>
        <v>2.2</v>
      </c>
      <c r="AQ31" s="17">
        <f t="shared" si="17"/>
        <v>17.6</v>
      </c>
      <c r="AR31" s="94">
        <v>6.5</v>
      </c>
      <c r="AS31" s="200">
        <v>20000.0</v>
      </c>
      <c r="AT31" s="17">
        <f t="shared" si="18"/>
        <v>1300</v>
      </c>
      <c r="AU31" s="96">
        <v>26.0</v>
      </c>
      <c r="AV31" s="124">
        <v>4500.0</v>
      </c>
      <c r="AW31" s="17">
        <f t="shared" si="19"/>
        <v>1170</v>
      </c>
      <c r="AX31" s="96">
        <f t="shared" si="20"/>
        <v>49516.8</v>
      </c>
      <c r="AY31" s="204">
        <f t="shared" si="24"/>
        <v>99.0336</v>
      </c>
      <c r="AZ31" s="17">
        <f t="shared" si="22"/>
        <v>37016.8</v>
      </c>
      <c r="BA31" s="172"/>
    </row>
    <row r="32" ht="15.75" customHeight="1">
      <c r="A32" s="14"/>
      <c r="B32" s="31" t="s">
        <v>502</v>
      </c>
      <c r="C32" s="31" t="s">
        <v>177</v>
      </c>
      <c r="D32" s="32" t="s">
        <v>178</v>
      </c>
      <c r="E32" s="32" t="s">
        <v>172</v>
      </c>
      <c r="F32" s="32" t="s">
        <v>51</v>
      </c>
      <c r="G32" s="32"/>
      <c r="H32" s="88">
        <v>4.0</v>
      </c>
      <c r="I32" s="209">
        <v>17500.0</v>
      </c>
      <c r="J32" s="7"/>
      <c r="L32" s="7"/>
      <c r="M32" s="7">
        <v>1.0</v>
      </c>
      <c r="N32" s="60">
        <f t="shared" si="1"/>
        <v>17500</v>
      </c>
      <c r="O32" s="89">
        <v>8.0</v>
      </c>
      <c r="P32" s="51">
        <v>19.0</v>
      </c>
      <c r="Q32" s="88">
        <v>12.0</v>
      </c>
      <c r="R32" s="124">
        <v>400.0</v>
      </c>
      <c r="S32" s="7">
        <f t="shared" si="2"/>
        <v>38400</v>
      </c>
      <c r="T32" s="7">
        <f t="shared" si="3"/>
        <v>14.28</v>
      </c>
      <c r="U32" s="60">
        <f t="shared" si="4"/>
        <v>5712</v>
      </c>
      <c r="V32" s="125">
        <f t="shared" si="5"/>
        <v>7296</v>
      </c>
      <c r="W32" s="96">
        <v>13.0</v>
      </c>
      <c r="X32" s="124">
        <v>450.0</v>
      </c>
      <c r="Y32" s="89">
        <v>1.3</v>
      </c>
      <c r="Z32" s="13">
        <f t="shared" si="6"/>
        <v>585</v>
      </c>
      <c r="AA32" s="13">
        <f t="shared" si="7"/>
        <v>391.5</v>
      </c>
      <c r="AB32" s="7">
        <f t="shared" si="8"/>
        <v>76.05</v>
      </c>
      <c r="AC32" s="93">
        <f t="shared" si="9"/>
        <v>608.4</v>
      </c>
      <c r="AD32" s="94">
        <v>34.5</v>
      </c>
      <c r="AE32" s="203">
        <v>1200.0</v>
      </c>
      <c r="AF32" s="124">
        <v>0.6</v>
      </c>
      <c r="AG32" s="13">
        <f t="shared" si="10"/>
        <v>720</v>
      </c>
      <c r="AH32" s="13">
        <f t="shared" si="11"/>
        <v>786</v>
      </c>
      <c r="AI32" s="13">
        <f t="shared" si="12"/>
        <v>248.4</v>
      </c>
      <c r="AJ32" s="17">
        <f t="shared" si="13"/>
        <v>1987.2</v>
      </c>
      <c r="AK32" s="96">
        <v>4.0</v>
      </c>
      <c r="AL32" s="124">
        <v>2.5</v>
      </c>
      <c r="AM32" s="124">
        <v>22.0</v>
      </c>
      <c r="AN32" s="13">
        <f t="shared" si="14"/>
        <v>55</v>
      </c>
      <c r="AO32" s="13">
        <f t="shared" si="15"/>
        <v>2.4</v>
      </c>
      <c r="AP32" s="13">
        <f t="shared" si="16"/>
        <v>2.2</v>
      </c>
      <c r="AQ32" s="17">
        <f t="shared" si="17"/>
        <v>17.6</v>
      </c>
      <c r="AR32" s="94">
        <v>6.5</v>
      </c>
      <c r="AS32" s="200">
        <v>20000.0</v>
      </c>
      <c r="AT32" s="17">
        <f t="shared" si="18"/>
        <v>1300</v>
      </c>
      <c r="AU32" s="96">
        <v>26.0</v>
      </c>
      <c r="AV32" s="124">
        <v>4500.0</v>
      </c>
      <c r="AW32" s="17">
        <f t="shared" si="19"/>
        <v>1170</v>
      </c>
      <c r="AX32" s="96">
        <f t="shared" si="20"/>
        <v>49516.8</v>
      </c>
      <c r="AY32" s="204">
        <f t="shared" si="24"/>
        <v>70.73828571</v>
      </c>
      <c r="AZ32" s="17">
        <f t="shared" si="22"/>
        <v>32016.8</v>
      </c>
      <c r="BA32" s="172"/>
    </row>
    <row r="33" ht="15.75" customHeight="1">
      <c r="A33" s="14"/>
      <c r="B33" s="31" t="s">
        <v>14</v>
      </c>
      <c r="C33" s="31" t="s">
        <v>141</v>
      </c>
      <c r="D33" s="32" t="s">
        <v>212</v>
      </c>
      <c r="E33" s="32" t="s">
        <v>136</v>
      </c>
      <c r="F33" s="32" t="s">
        <v>51</v>
      </c>
      <c r="G33" s="32" t="s">
        <v>503</v>
      </c>
      <c r="H33" s="88">
        <v>4.0</v>
      </c>
      <c r="I33" s="7">
        <v>17500.0</v>
      </c>
      <c r="J33" s="7"/>
      <c r="L33" s="7"/>
      <c r="M33" s="7">
        <v>1.0</v>
      </c>
      <c r="N33" s="60">
        <f t="shared" si="1"/>
        <v>17500</v>
      </c>
      <c r="O33" s="89">
        <v>8.0</v>
      </c>
      <c r="P33" s="51">
        <v>19.0</v>
      </c>
      <c r="Q33" s="88">
        <v>12.0</v>
      </c>
      <c r="R33" s="124">
        <v>400.0</v>
      </c>
      <c r="S33" s="7">
        <f t="shared" si="2"/>
        <v>38400</v>
      </c>
      <c r="T33" s="7">
        <f t="shared" si="3"/>
        <v>14.28</v>
      </c>
      <c r="U33" s="60">
        <f t="shared" si="4"/>
        <v>5712</v>
      </c>
      <c r="V33" s="125">
        <f t="shared" si="5"/>
        <v>7296</v>
      </c>
      <c r="W33" s="96">
        <v>13.0</v>
      </c>
      <c r="X33" s="124">
        <v>450.0</v>
      </c>
      <c r="Y33" s="89">
        <v>1.3</v>
      </c>
      <c r="Z33" s="13">
        <f t="shared" si="6"/>
        <v>585</v>
      </c>
      <c r="AA33" s="13">
        <f t="shared" si="7"/>
        <v>391.5</v>
      </c>
      <c r="AB33" s="7">
        <f t="shared" si="8"/>
        <v>76.05</v>
      </c>
      <c r="AC33" s="93">
        <f t="shared" si="9"/>
        <v>608.4</v>
      </c>
      <c r="AD33" s="94">
        <v>34.5</v>
      </c>
      <c r="AE33" s="203">
        <v>1200.0</v>
      </c>
      <c r="AF33" s="124">
        <v>0.6</v>
      </c>
      <c r="AG33" s="13">
        <f t="shared" si="10"/>
        <v>720</v>
      </c>
      <c r="AH33" s="13">
        <f t="shared" si="11"/>
        <v>786</v>
      </c>
      <c r="AI33" s="13">
        <f t="shared" si="12"/>
        <v>248.4</v>
      </c>
      <c r="AJ33" s="17">
        <f t="shared" si="13"/>
        <v>1987.2</v>
      </c>
      <c r="AK33" s="96">
        <v>4.0</v>
      </c>
      <c r="AL33" s="124">
        <v>2.5</v>
      </c>
      <c r="AM33" s="124">
        <v>22.0</v>
      </c>
      <c r="AN33" s="13">
        <f t="shared" si="14"/>
        <v>55</v>
      </c>
      <c r="AO33" s="13">
        <f t="shared" si="15"/>
        <v>2.4</v>
      </c>
      <c r="AP33" s="13">
        <f t="shared" si="16"/>
        <v>2.2</v>
      </c>
      <c r="AQ33" s="17">
        <f t="shared" si="17"/>
        <v>17.6</v>
      </c>
      <c r="AR33" s="94">
        <v>6.5</v>
      </c>
      <c r="AS33" s="200">
        <v>20000.0</v>
      </c>
      <c r="AT33" s="17">
        <f t="shared" si="18"/>
        <v>1300</v>
      </c>
      <c r="AU33" s="96">
        <v>26.0</v>
      </c>
      <c r="AV33" s="124">
        <v>4500.0</v>
      </c>
      <c r="AW33" s="17">
        <f t="shared" si="19"/>
        <v>1170</v>
      </c>
      <c r="AX33" s="96">
        <f t="shared" si="20"/>
        <v>49516.8</v>
      </c>
      <c r="AY33" s="204">
        <f t="shared" si="24"/>
        <v>70.73828571</v>
      </c>
      <c r="AZ33" s="17">
        <f t="shared" si="22"/>
        <v>32016.8</v>
      </c>
      <c r="BA33" s="172"/>
    </row>
    <row r="34" ht="15.75" customHeight="1">
      <c r="A34" s="14"/>
      <c r="B34" s="31" t="s">
        <v>14</v>
      </c>
      <c r="C34" s="31" t="s">
        <v>141</v>
      </c>
      <c r="D34" s="32" t="s">
        <v>216</v>
      </c>
      <c r="E34" s="32" t="s">
        <v>172</v>
      </c>
      <c r="F34" s="32" t="s">
        <v>51</v>
      </c>
      <c r="G34" s="32" t="s">
        <v>181</v>
      </c>
      <c r="H34" s="88">
        <v>4.0</v>
      </c>
      <c r="I34" s="7">
        <v>17500.0</v>
      </c>
      <c r="J34" s="7"/>
      <c r="L34" s="7"/>
      <c r="M34" s="7">
        <v>1.0</v>
      </c>
      <c r="N34" s="60">
        <f t="shared" si="1"/>
        <v>17500</v>
      </c>
      <c r="O34" s="89">
        <v>8.0</v>
      </c>
      <c r="P34" s="51">
        <v>19.0</v>
      </c>
      <c r="Q34" s="88">
        <v>12.0</v>
      </c>
      <c r="R34" s="124">
        <v>400.0</v>
      </c>
      <c r="S34" s="7">
        <f t="shared" si="2"/>
        <v>38400</v>
      </c>
      <c r="T34" s="7">
        <f t="shared" si="3"/>
        <v>14.28</v>
      </c>
      <c r="U34" s="60">
        <f t="shared" si="4"/>
        <v>5712</v>
      </c>
      <c r="V34" s="125">
        <f t="shared" si="5"/>
        <v>7296</v>
      </c>
      <c r="W34" s="96">
        <v>13.0</v>
      </c>
      <c r="X34" s="124">
        <v>450.0</v>
      </c>
      <c r="Y34" s="89">
        <v>1.3</v>
      </c>
      <c r="Z34" s="13">
        <f t="shared" si="6"/>
        <v>585</v>
      </c>
      <c r="AA34" s="13">
        <f t="shared" si="7"/>
        <v>391.5</v>
      </c>
      <c r="AB34" s="7">
        <f t="shared" si="8"/>
        <v>76.05</v>
      </c>
      <c r="AC34" s="93">
        <f t="shared" si="9"/>
        <v>608.4</v>
      </c>
      <c r="AD34" s="94">
        <v>34.5</v>
      </c>
      <c r="AE34" s="203">
        <v>1200.0</v>
      </c>
      <c r="AF34" s="124">
        <v>0.6</v>
      </c>
      <c r="AG34" s="13">
        <f t="shared" si="10"/>
        <v>720</v>
      </c>
      <c r="AH34" s="13">
        <f t="shared" si="11"/>
        <v>786</v>
      </c>
      <c r="AI34" s="13">
        <f t="shared" si="12"/>
        <v>248.4</v>
      </c>
      <c r="AJ34" s="17">
        <f t="shared" si="13"/>
        <v>1987.2</v>
      </c>
      <c r="AK34" s="96">
        <v>4.0</v>
      </c>
      <c r="AL34" s="124">
        <v>2.5</v>
      </c>
      <c r="AM34" s="124">
        <v>22.0</v>
      </c>
      <c r="AN34" s="13">
        <f t="shared" si="14"/>
        <v>55</v>
      </c>
      <c r="AO34" s="13">
        <f t="shared" si="15"/>
        <v>2.4</v>
      </c>
      <c r="AP34" s="13">
        <f t="shared" si="16"/>
        <v>2.2</v>
      </c>
      <c r="AQ34" s="17">
        <f t="shared" si="17"/>
        <v>17.6</v>
      </c>
      <c r="AR34" s="94">
        <v>6.5</v>
      </c>
      <c r="AS34" s="200">
        <v>20000.0</v>
      </c>
      <c r="AT34" s="17">
        <f t="shared" si="18"/>
        <v>1300</v>
      </c>
      <c r="AU34" s="96">
        <v>26.0</v>
      </c>
      <c r="AV34" s="124">
        <v>4500.0</v>
      </c>
      <c r="AW34" s="17">
        <f t="shared" si="19"/>
        <v>1170</v>
      </c>
      <c r="AX34" s="96">
        <f t="shared" si="20"/>
        <v>49516.8</v>
      </c>
      <c r="AY34" s="204">
        <f t="shared" si="24"/>
        <v>70.73828571</v>
      </c>
      <c r="AZ34" s="17">
        <f t="shared" si="22"/>
        <v>32016.8</v>
      </c>
      <c r="BA34" s="172"/>
    </row>
    <row r="35" ht="15.75" customHeight="1">
      <c r="A35" s="14"/>
      <c r="B35" s="31" t="s">
        <v>14</v>
      </c>
      <c r="C35" s="31" t="s">
        <v>177</v>
      </c>
      <c r="D35" s="32" t="s">
        <v>186</v>
      </c>
      <c r="E35" s="32" t="s">
        <v>187</v>
      </c>
      <c r="F35" s="32" t="s">
        <v>51</v>
      </c>
      <c r="G35" s="32" t="s">
        <v>510</v>
      </c>
      <c r="H35" s="88">
        <v>4.0</v>
      </c>
      <c r="I35" s="7">
        <v>4100.0</v>
      </c>
      <c r="J35" s="7"/>
      <c r="L35" s="7"/>
      <c r="M35" s="7">
        <v>1.0</v>
      </c>
      <c r="N35" s="60">
        <f t="shared" si="1"/>
        <v>4100</v>
      </c>
      <c r="O35" s="89">
        <v>8.0</v>
      </c>
      <c r="P35" s="51">
        <v>19.0</v>
      </c>
      <c r="Q35" s="88">
        <v>12.0</v>
      </c>
      <c r="R35" s="124">
        <v>400.0</v>
      </c>
      <c r="S35" s="7">
        <f t="shared" si="2"/>
        <v>38400</v>
      </c>
      <c r="T35" s="7">
        <f t="shared" si="3"/>
        <v>14.28</v>
      </c>
      <c r="U35" s="60">
        <f t="shared" si="4"/>
        <v>5712</v>
      </c>
      <c r="V35" s="125">
        <f t="shared" si="5"/>
        <v>7296</v>
      </c>
      <c r="W35" s="96">
        <v>13.0</v>
      </c>
      <c r="X35" s="124">
        <v>450.0</v>
      </c>
      <c r="Y35" s="89">
        <v>1.3</v>
      </c>
      <c r="Z35" s="13">
        <f t="shared" si="6"/>
        <v>585</v>
      </c>
      <c r="AA35" s="13">
        <f t="shared" si="7"/>
        <v>391.5</v>
      </c>
      <c r="AB35" s="7">
        <f t="shared" si="8"/>
        <v>76.05</v>
      </c>
      <c r="AC35" s="93">
        <f t="shared" si="9"/>
        <v>608.4</v>
      </c>
      <c r="AD35" s="94">
        <v>34.5</v>
      </c>
      <c r="AE35" s="203">
        <v>1200.0</v>
      </c>
      <c r="AF35" s="124">
        <v>0.6</v>
      </c>
      <c r="AG35" s="13">
        <f t="shared" si="10"/>
        <v>720</v>
      </c>
      <c r="AH35" s="13">
        <f t="shared" si="11"/>
        <v>786</v>
      </c>
      <c r="AI35" s="13">
        <f t="shared" si="12"/>
        <v>248.4</v>
      </c>
      <c r="AJ35" s="17">
        <f t="shared" si="13"/>
        <v>1987.2</v>
      </c>
      <c r="AK35" s="96">
        <v>4.0</v>
      </c>
      <c r="AL35" s="124">
        <v>2.5</v>
      </c>
      <c r="AM35" s="124">
        <v>22.0</v>
      </c>
      <c r="AN35" s="13">
        <f t="shared" si="14"/>
        <v>55</v>
      </c>
      <c r="AO35" s="13">
        <f t="shared" si="15"/>
        <v>2.4</v>
      </c>
      <c r="AP35" s="13">
        <f t="shared" si="16"/>
        <v>2.2</v>
      </c>
      <c r="AQ35" s="17">
        <f t="shared" si="17"/>
        <v>17.6</v>
      </c>
      <c r="AR35" s="94">
        <v>6.5</v>
      </c>
      <c r="AS35" s="200">
        <v>20000.0</v>
      </c>
      <c r="AT35" s="17">
        <f t="shared" si="18"/>
        <v>1300</v>
      </c>
      <c r="AU35" s="96">
        <v>26.0</v>
      </c>
      <c r="AV35" s="124">
        <v>4500.0</v>
      </c>
      <c r="AW35" s="17">
        <f t="shared" si="19"/>
        <v>1170</v>
      </c>
      <c r="AX35" s="96">
        <f t="shared" si="20"/>
        <v>49516.8</v>
      </c>
      <c r="AY35" s="204">
        <f t="shared" si="24"/>
        <v>301.9317073</v>
      </c>
      <c r="AZ35" s="17">
        <f t="shared" si="22"/>
        <v>45416.8</v>
      </c>
      <c r="BA35" s="172"/>
    </row>
    <row r="36" ht="15.75" customHeight="1">
      <c r="A36" s="14"/>
      <c r="B36" s="31" t="s">
        <v>14</v>
      </c>
      <c r="C36" s="31" t="s">
        <v>141</v>
      </c>
      <c r="D36" s="32" t="s">
        <v>191</v>
      </c>
      <c r="E36" s="32" t="s">
        <v>187</v>
      </c>
      <c r="F36" s="32" t="s">
        <v>51</v>
      </c>
      <c r="G36" s="32" t="s">
        <v>514</v>
      </c>
      <c r="H36" s="88">
        <v>4.0</v>
      </c>
      <c r="I36" s="7">
        <v>15000.0</v>
      </c>
      <c r="J36" s="7"/>
      <c r="L36" s="7"/>
      <c r="M36" s="7">
        <v>1.0</v>
      </c>
      <c r="N36" s="60">
        <f t="shared" si="1"/>
        <v>15000</v>
      </c>
      <c r="O36" s="89">
        <v>8.0</v>
      </c>
      <c r="P36" s="51">
        <v>19.0</v>
      </c>
      <c r="Q36" s="88">
        <v>12.0</v>
      </c>
      <c r="R36" s="124">
        <v>400.0</v>
      </c>
      <c r="S36" s="7">
        <f t="shared" si="2"/>
        <v>38400</v>
      </c>
      <c r="T36" s="7">
        <f t="shared" si="3"/>
        <v>14.28</v>
      </c>
      <c r="U36" s="60">
        <f t="shared" si="4"/>
        <v>5712</v>
      </c>
      <c r="V36" s="125">
        <f t="shared" si="5"/>
        <v>7296</v>
      </c>
      <c r="W36" s="96">
        <v>13.0</v>
      </c>
      <c r="X36" s="124">
        <v>450.0</v>
      </c>
      <c r="Y36" s="89">
        <v>1.3</v>
      </c>
      <c r="Z36" s="13">
        <f t="shared" si="6"/>
        <v>585</v>
      </c>
      <c r="AA36" s="13">
        <f t="shared" si="7"/>
        <v>391.5</v>
      </c>
      <c r="AB36" s="7">
        <f t="shared" si="8"/>
        <v>76.05</v>
      </c>
      <c r="AC36" s="93">
        <f t="shared" si="9"/>
        <v>608.4</v>
      </c>
      <c r="AD36" s="94">
        <v>34.5</v>
      </c>
      <c r="AE36" s="203">
        <v>1200.0</v>
      </c>
      <c r="AF36" s="124">
        <v>0.6</v>
      </c>
      <c r="AG36" s="13">
        <f t="shared" si="10"/>
        <v>720</v>
      </c>
      <c r="AH36" s="13">
        <f t="shared" si="11"/>
        <v>786</v>
      </c>
      <c r="AI36" s="13">
        <f t="shared" si="12"/>
        <v>248.4</v>
      </c>
      <c r="AJ36" s="17">
        <f t="shared" si="13"/>
        <v>1987.2</v>
      </c>
      <c r="AK36" s="96">
        <v>4.0</v>
      </c>
      <c r="AL36" s="124">
        <v>2.5</v>
      </c>
      <c r="AM36" s="124">
        <v>22.0</v>
      </c>
      <c r="AN36" s="13">
        <f t="shared" si="14"/>
        <v>55</v>
      </c>
      <c r="AO36" s="13">
        <f t="shared" si="15"/>
        <v>2.4</v>
      </c>
      <c r="AP36" s="13">
        <f t="shared" si="16"/>
        <v>2.2</v>
      </c>
      <c r="AQ36" s="17">
        <f t="shared" si="17"/>
        <v>17.6</v>
      </c>
      <c r="AR36" s="94">
        <v>6.5</v>
      </c>
      <c r="AS36" s="200">
        <v>20000.0</v>
      </c>
      <c r="AT36" s="17">
        <f t="shared" si="18"/>
        <v>1300</v>
      </c>
      <c r="AU36" s="96">
        <v>26.0</v>
      </c>
      <c r="AV36" s="124">
        <v>4500.0</v>
      </c>
      <c r="AW36" s="17">
        <f t="shared" si="19"/>
        <v>1170</v>
      </c>
      <c r="AX36" s="96">
        <f t="shared" si="20"/>
        <v>49516.8</v>
      </c>
      <c r="AY36" s="204">
        <f t="shared" si="24"/>
        <v>82.528</v>
      </c>
      <c r="AZ36" s="17">
        <f t="shared" si="22"/>
        <v>34516.8</v>
      </c>
      <c r="BA36" s="172"/>
    </row>
    <row r="37" ht="15.75" customHeight="1">
      <c r="A37" s="21"/>
      <c r="B37" s="180" t="s">
        <v>14</v>
      </c>
      <c r="C37" s="180" t="s">
        <v>141</v>
      </c>
      <c r="D37" s="181" t="s">
        <v>194</v>
      </c>
      <c r="E37" s="181" t="s">
        <v>579</v>
      </c>
      <c r="F37" s="181" t="s">
        <v>51</v>
      </c>
      <c r="G37" s="181" t="s">
        <v>517</v>
      </c>
      <c r="H37" s="108">
        <v>4.0</v>
      </c>
      <c r="I37" s="106">
        <v>6000.0</v>
      </c>
      <c r="J37" s="106"/>
      <c r="K37" s="109"/>
      <c r="L37" s="106"/>
      <c r="M37" s="106">
        <v>1.0</v>
      </c>
      <c r="N37" s="110">
        <f t="shared" si="1"/>
        <v>6000</v>
      </c>
      <c r="O37" s="111">
        <v>8.0</v>
      </c>
      <c r="P37" s="112">
        <v>19.0</v>
      </c>
      <c r="Q37" s="108">
        <v>12.0</v>
      </c>
      <c r="R37" s="129">
        <v>400.0</v>
      </c>
      <c r="S37" s="106">
        <f t="shared" si="2"/>
        <v>38400</v>
      </c>
      <c r="T37" s="106">
        <f t="shared" si="3"/>
        <v>14.28</v>
      </c>
      <c r="U37" s="110">
        <f t="shared" si="4"/>
        <v>5712</v>
      </c>
      <c r="V37" s="113">
        <f t="shared" si="5"/>
        <v>7296</v>
      </c>
      <c r="W37" s="118">
        <v>13.0</v>
      </c>
      <c r="X37" s="129">
        <v>450.0</v>
      </c>
      <c r="Y37" s="111">
        <v>1.3</v>
      </c>
      <c r="Z37" s="22">
        <f t="shared" si="6"/>
        <v>585</v>
      </c>
      <c r="AA37" s="22">
        <f t="shared" si="7"/>
        <v>391.5</v>
      </c>
      <c r="AB37" s="106">
        <f t="shared" si="8"/>
        <v>76.05</v>
      </c>
      <c r="AC37" s="115">
        <f t="shared" si="9"/>
        <v>608.4</v>
      </c>
      <c r="AD37" s="130">
        <v>34.5</v>
      </c>
      <c r="AE37" s="206">
        <v>1200.0</v>
      </c>
      <c r="AF37" s="129">
        <v>0.6</v>
      </c>
      <c r="AG37" s="22">
        <f t="shared" si="10"/>
        <v>720</v>
      </c>
      <c r="AH37" s="22">
        <f t="shared" si="11"/>
        <v>786</v>
      </c>
      <c r="AI37" s="22">
        <f t="shared" si="12"/>
        <v>248.4</v>
      </c>
      <c r="AJ37" s="25">
        <f t="shared" si="13"/>
        <v>1987.2</v>
      </c>
      <c r="AK37" s="118">
        <v>4.0</v>
      </c>
      <c r="AL37" s="129">
        <v>2.5</v>
      </c>
      <c r="AM37" s="129">
        <v>22.0</v>
      </c>
      <c r="AN37" s="22">
        <f t="shared" si="14"/>
        <v>55</v>
      </c>
      <c r="AO37" s="22">
        <f t="shared" si="15"/>
        <v>2.4</v>
      </c>
      <c r="AP37" s="22">
        <f t="shared" si="16"/>
        <v>2.2</v>
      </c>
      <c r="AQ37" s="25">
        <f t="shared" si="17"/>
        <v>17.6</v>
      </c>
      <c r="AR37" s="130">
        <v>6.5</v>
      </c>
      <c r="AS37" s="200">
        <v>20000.0</v>
      </c>
      <c r="AT37" s="25">
        <f t="shared" si="18"/>
        <v>1300</v>
      </c>
      <c r="AU37" s="118">
        <v>26.0</v>
      </c>
      <c r="AV37" s="129">
        <v>4500.0</v>
      </c>
      <c r="AW37" s="25">
        <f t="shared" si="19"/>
        <v>1170</v>
      </c>
      <c r="AX37" s="118">
        <f t="shared" si="20"/>
        <v>49516.8</v>
      </c>
      <c r="AY37" s="210">
        <f t="shared" si="24"/>
        <v>206.32</v>
      </c>
      <c r="AZ37" s="25">
        <f t="shared" si="22"/>
        <v>43516.8</v>
      </c>
      <c r="BA37" s="182"/>
    </row>
    <row r="38" ht="15.75" customHeight="1">
      <c r="A38" s="71" t="s">
        <v>219</v>
      </c>
      <c r="B38" s="168" t="s">
        <v>14</v>
      </c>
      <c r="C38" s="168" t="s">
        <v>518</v>
      </c>
      <c r="D38" s="169" t="s">
        <v>220</v>
      </c>
      <c r="E38" s="169" t="s">
        <v>221</v>
      </c>
      <c r="F38" s="169" t="s">
        <v>51</v>
      </c>
      <c r="G38" s="169" t="s">
        <v>519</v>
      </c>
      <c r="H38" s="76">
        <v>4.0</v>
      </c>
      <c r="I38" s="9"/>
      <c r="J38" s="9"/>
      <c r="K38" s="9"/>
      <c r="L38" s="9">
        <v>260.0</v>
      </c>
      <c r="M38" s="74">
        <v>1.0</v>
      </c>
      <c r="N38" s="78">
        <f t="shared" si="1"/>
        <v>1040</v>
      </c>
      <c r="O38" s="188">
        <v>8.0</v>
      </c>
      <c r="P38" s="123">
        <v>8.4</v>
      </c>
      <c r="Q38" s="131">
        <v>12.0</v>
      </c>
      <c r="R38" s="131">
        <v>400.0</v>
      </c>
      <c r="S38" s="74">
        <f t="shared" si="2"/>
        <v>38400</v>
      </c>
      <c r="T38" s="74">
        <f t="shared" si="3"/>
        <v>13.008</v>
      </c>
      <c r="U38" s="78">
        <f t="shared" si="4"/>
        <v>5203.2</v>
      </c>
      <c r="V38" s="80">
        <f t="shared" si="5"/>
        <v>3225.6</v>
      </c>
      <c r="W38" s="84">
        <v>25.0</v>
      </c>
      <c r="X38" s="131">
        <v>450.0</v>
      </c>
      <c r="Y38" s="89">
        <v>1.3</v>
      </c>
      <c r="Z38" s="9">
        <f t="shared" si="6"/>
        <v>585</v>
      </c>
      <c r="AA38" s="9">
        <f t="shared" si="7"/>
        <v>337.5</v>
      </c>
      <c r="AB38" s="74">
        <f t="shared" si="8"/>
        <v>146.25</v>
      </c>
      <c r="AC38" s="81">
        <f t="shared" si="9"/>
        <v>1170</v>
      </c>
      <c r="AD38" s="84">
        <v>15.0</v>
      </c>
      <c r="AE38" s="203">
        <v>1200.0</v>
      </c>
      <c r="AF38" s="131">
        <v>0.6</v>
      </c>
      <c r="AG38" s="9">
        <f t="shared" si="10"/>
        <v>720</v>
      </c>
      <c r="AH38" s="9">
        <f t="shared" si="11"/>
        <v>1020</v>
      </c>
      <c r="AI38" s="9">
        <f t="shared" si="12"/>
        <v>108</v>
      </c>
      <c r="AJ38" s="12">
        <f t="shared" si="13"/>
        <v>864</v>
      </c>
      <c r="AK38" s="84">
        <v>36.0</v>
      </c>
      <c r="AL38" s="131">
        <v>2.5</v>
      </c>
      <c r="AM38" s="131">
        <v>22.0</v>
      </c>
      <c r="AN38" s="9">
        <f t="shared" si="14"/>
        <v>55</v>
      </c>
      <c r="AO38" s="9">
        <f t="shared" si="15"/>
        <v>1.6</v>
      </c>
      <c r="AP38" s="9">
        <f t="shared" si="16"/>
        <v>19.8</v>
      </c>
      <c r="AQ38" s="12">
        <f t="shared" si="17"/>
        <v>158.4</v>
      </c>
      <c r="AR38" s="123">
        <v>2.8</v>
      </c>
      <c r="AS38" s="211">
        <v>20000.0</v>
      </c>
      <c r="AT38" s="12">
        <f t="shared" si="18"/>
        <v>560</v>
      </c>
      <c r="AU38" s="123">
        <v>2.8</v>
      </c>
      <c r="AV38" s="131">
        <v>4500.0</v>
      </c>
      <c r="AW38" s="12">
        <f t="shared" si="19"/>
        <v>126</v>
      </c>
      <c r="AX38" s="84">
        <f t="shared" si="20"/>
        <v>24416</v>
      </c>
      <c r="AY38" s="204">
        <f t="shared" si="24"/>
        <v>586.9230769</v>
      </c>
      <c r="AZ38" s="12">
        <f t="shared" si="22"/>
        <v>23376</v>
      </c>
      <c r="BA38" s="171"/>
    </row>
    <row r="39" ht="15.75" customHeight="1">
      <c r="A39" s="14"/>
      <c r="B39" s="31" t="s">
        <v>14</v>
      </c>
      <c r="C39" s="31" t="s">
        <v>225</v>
      </c>
      <c r="D39" s="32" t="s">
        <v>226</v>
      </c>
      <c r="E39" s="32" t="s">
        <v>584</v>
      </c>
      <c r="F39" s="32" t="s">
        <v>51</v>
      </c>
      <c r="G39" s="32" t="s">
        <v>230</v>
      </c>
      <c r="H39" s="88">
        <v>4.0</v>
      </c>
      <c r="I39" s="13">
        <v>22300.0</v>
      </c>
      <c r="J39" s="13"/>
      <c r="K39" s="13"/>
      <c r="L39" s="13"/>
      <c r="M39" s="7">
        <v>1.0</v>
      </c>
      <c r="N39" s="60">
        <f t="shared" si="1"/>
        <v>22300</v>
      </c>
      <c r="O39" s="189">
        <v>8.0</v>
      </c>
      <c r="P39" s="94">
        <v>8.4</v>
      </c>
      <c r="Q39" s="124">
        <v>12.0</v>
      </c>
      <c r="R39" s="124">
        <v>400.0</v>
      </c>
      <c r="S39" s="7">
        <f t="shared" si="2"/>
        <v>38400</v>
      </c>
      <c r="T39" s="7">
        <f t="shared" si="3"/>
        <v>13.008</v>
      </c>
      <c r="U39" s="60">
        <f t="shared" si="4"/>
        <v>5203.2</v>
      </c>
      <c r="V39" s="125">
        <f t="shared" si="5"/>
        <v>3225.6</v>
      </c>
      <c r="W39" s="96">
        <v>25.0</v>
      </c>
      <c r="X39" s="124">
        <v>450.0</v>
      </c>
      <c r="Y39" s="89">
        <v>1.3</v>
      </c>
      <c r="Z39" s="13">
        <f t="shared" si="6"/>
        <v>585</v>
      </c>
      <c r="AA39" s="13">
        <f t="shared" si="7"/>
        <v>337.5</v>
      </c>
      <c r="AB39" s="7">
        <f t="shared" si="8"/>
        <v>146.25</v>
      </c>
      <c r="AC39" s="93">
        <f t="shared" si="9"/>
        <v>1170</v>
      </c>
      <c r="AD39" s="97">
        <v>0.0</v>
      </c>
      <c r="AE39" s="203">
        <v>1200.0</v>
      </c>
      <c r="AF39" s="124">
        <v>0.6</v>
      </c>
      <c r="AG39" s="13">
        <f t="shared" si="10"/>
        <v>720</v>
      </c>
      <c r="AH39" s="13">
        <f t="shared" si="11"/>
        <v>1200</v>
      </c>
      <c r="AI39" s="13">
        <f t="shared" si="12"/>
        <v>0</v>
      </c>
      <c r="AJ39" s="17">
        <f t="shared" si="13"/>
        <v>0</v>
      </c>
      <c r="AK39" s="97">
        <v>0.0</v>
      </c>
      <c r="AL39" s="124">
        <v>2.5</v>
      </c>
      <c r="AM39" s="124">
        <v>22.0</v>
      </c>
      <c r="AN39" s="13">
        <f t="shared" si="14"/>
        <v>55</v>
      </c>
      <c r="AO39" s="13">
        <f t="shared" si="15"/>
        <v>2.5</v>
      </c>
      <c r="AP39" s="13">
        <f t="shared" si="16"/>
        <v>0</v>
      </c>
      <c r="AQ39" s="17">
        <f t="shared" si="17"/>
        <v>0</v>
      </c>
      <c r="AR39" s="94">
        <v>2.8</v>
      </c>
      <c r="AS39" s="200">
        <v>20000.0</v>
      </c>
      <c r="AT39" s="17">
        <f t="shared" si="18"/>
        <v>560</v>
      </c>
      <c r="AU39" s="94">
        <v>2.8</v>
      </c>
      <c r="AV39" s="124">
        <v>4500.0</v>
      </c>
      <c r="AW39" s="17">
        <f t="shared" si="19"/>
        <v>126</v>
      </c>
      <c r="AX39" s="96">
        <f t="shared" si="20"/>
        <v>20326.4</v>
      </c>
      <c r="AY39" s="204">
        <f t="shared" si="24"/>
        <v>22.78744395</v>
      </c>
      <c r="AZ39" s="17">
        <f t="shared" si="22"/>
        <v>-1973.6</v>
      </c>
      <c r="BA39" s="172"/>
    </row>
    <row r="40" ht="15.75" customHeight="1">
      <c r="A40" s="14"/>
      <c r="B40" s="31" t="s">
        <v>14</v>
      </c>
      <c r="C40" s="31" t="s">
        <v>238</v>
      </c>
      <c r="D40" s="32" t="s">
        <v>239</v>
      </c>
      <c r="E40" s="32" t="s">
        <v>187</v>
      </c>
      <c r="F40" s="32" t="s">
        <v>51</v>
      </c>
      <c r="G40" s="32" t="s">
        <v>242</v>
      </c>
      <c r="H40" s="88">
        <v>4.0</v>
      </c>
      <c r="I40" s="13">
        <v>3000.0</v>
      </c>
      <c r="J40" s="13"/>
      <c r="K40" s="13"/>
      <c r="L40" s="13"/>
      <c r="M40" s="7">
        <v>1.0</v>
      </c>
      <c r="N40" s="60">
        <f t="shared" si="1"/>
        <v>3000</v>
      </c>
      <c r="O40" s="189">
        <v>8.0</v>
      </c>
      <c r="P40" s="94">
        <v>8.4</v>
      </c>
      <c r="Q40" s="124">
        <v>12.0</v>
      </c>
      <c r="R40" s="124">
        <v>400.0</v>
      </c>
      <c r="S40" s="7">
        <f t="shared" si="2"/>
        <v>38400</v>
      </c>
      <c r="T40" s="7">
        <f t="shared" si="3"/>
        <v>13.008</v>
      </c>
      <c r="U40" s="60">
        <f t="shared" si="4"/>
        <v>5203.2</v>
      </c>
      <c r="V40" s="125">
        <f t="shared" si="5"/>
        <v>3225.6</v>
      </c>
      <c r="W40" s="97">
        <v>0.0</v>
      </c>
      <c r="X40" s="124">
        <v>450.0</v>
      </c>
      <c r="Y40" s="89">
        <v>1.3</v>
      </c>
      <c r="Z40" s="13">
        <f t="shared" si="6"/>
        <v>585</v>
      </c>
      <c r="AA40" s="13">
        <f t="shared" si="7"/>
        <v>450</v>
      </c>
      <c r="AB40" s="7">
        <f t="shared" si="8"/>
        <v>0</v>
      </c>
      <c r="AC40" s="93">
        <f t="shared" si="9"/>
        <v>0</v>
      </c>
      <c r="AD40" s="97">
        <v>0.0</v>
      </c>
      <c r="AE40" s="203">
        <v>1200.0</v>
      </c>
      <c r="AF40" s="124">
        <v>0.6</v>
      </c>
      <c r="AG40" s="13">
        <f t="shared" si="10"/>
        <v>720</v>
      </c>
      <c r="AH40" s="13">
        <f t="shared" si="11"/>
        <v>1200</v>
      </c>
      <c r="AI40" s="13">
        <f t="shared" si="12"/>
        <v>0</v>
      </c>
      <c r="AJ40" s="17">
        <f t="shared" si="13"/>
        <v>0</v>
      </c>
      <c r="AK40" s="96">
        <v>36.0</v>
      </c>
      <c r="AL40" s="124">
        <v>2.5</v>
      </c>
      <c r="AM40" s="124">
        <v>22.0</v>
      </c>
      <c r="AN40" s="13">
        <f t="shared" si="14"/>
        <v>55</v>
      </c>
      <c r="AO40" s="13">
        <f t="shared" si="15"/>
        <v>1.6</v>
      </c>
      <c r="AP40" s="13">
        <f t="shared" si="16"/>
        <v>19.8</v>
      </c>
      <c r="AQ40" s="17">
        <f t="shared" si="17"/>
        <v>158.4</v>
      </c>
      <c r="AR40" s="94">
        <v>2.8</v>
      </c>
      <c r="AS40" s="200">
        <v>20000.0</v>
      </c>
      <c r="AT40" s="17">
        <f t="shared" si="18"/>
        <v>560</v>
      </c>
      <c r="AU40" s="94">
        <v>2.8</v>
      </c>
      <c r="AV40" s="124">
        <v>4500.0</v>
      </c>
      <c r="AW40" s="17">
        <f t="shared" si="19"/>
        <v>126</v>
      </c>
      <c r="AX40" s="96">
        <f t="shared" si="20"/>
        <v>16280</v>
      </c>
      <c r="AY40" s="204">
        <f t="shared" si="24"/>
        <v>135.6666667</v>
      </c>
      <c r="AZ40" s="17">
        <f t="shared" si="22"/>
        <v>13280</v>
      </c>
      <c r="BA40" s="172"/>
    </row>
    <row r="41" ht="15.75" customHeight="1">
      <c r="A41" s="14"/>
      <c r="B41" s="31" t="s">
        <v>14</v>
      </c>
      <c r="C41" s="31" t="s">
        <v>238</v>
      </c>
      <c r="D41" s="32" t="s">
        <v>243</v>
      </c>
      <c r="E41" s="32" t="s">
        <v>244</v>
      </c>
      <c r="F41" s="32" t="s">
        <v>51</v>
      </c>
      <c r="G41" s="32" t="s">
        <v>523</v>
      </c>
      <c r="H41" s="88">
        <v>4.0</v>
      </c>
      <c r="I41" s="13">
        <v>2500.0</v>
      </c>
      <c r="J41" s="13"/>
      <c r="K41" s="13"/>
      <c r="L41" s="13"/>
      <c r="M41" s="7">
        <v>1.0</v>
      </c>
      <c r="N41" s="60">
        <f t="shared" si="1"/>
        <v>2500</v>
      </c>
      <c r="O41" s="189">
        <v>8.0</v>
      </c>
      <c r="P41" s="94">
        <v>8.4</v>
      </c>
      <c r="Q41" s="124">
        <v>12.0</v>
      </c>
      <c r="R41" s="124">
        <v>400.0</v>
      </c>
      <c r="S41" s="7">
        <f t="shared" si="2"/>
        <v>38400</v>
      </c>
      <c r="T41" s="7">
        <f t="shared" si="3"/>
        <v>13.008</v>
      </c>
      <c r="U41" s="60">
        <f t="shared" si="4"/>
        <v>5203.2</v>
      </c>
      <c r="V41" s="125">
        <f t="shared" si="5"/>
        <v>3225.6</v>
      </c>
      <c r="W41" s="97">
        <v>0.0</v>
      </c>
      <c r="X41" s="124">
        <v>450.0</v>
      </c>
      <c r="Y41" s="89">
        <v>1.3</v>
      </c>
      <c r="Z41" s="13">
        <f t="shared" si="6"/>
        <v>585</v>
      </c>
      <c r="AA41" s="13">
        <f t="shared" si="7"/>
        <v>450</v>
      </c>
      <c r="AB41" s="7">
        <f t="shared" si="8"/>
        <v>0</v>
      </c>
      <c r="AC41" s="93">
        <f t="shared" si="9"/>
        <v>0</v>
      </c>
      <c r="AD41" s="97">
        <v>0.0</v>
      </c>
      <c r="AE41" s="203">
        <v>1200.0</v>
      </c>
      <c r="AF41" s="124">
        <v>0.6</v>
      </c>
      <c r="AG41" s="13">
        <f t="shared" si="10"/>
        <v>720</v>
      </c>
      <c r="AH41" s="13">
        <f t="shared" si="11"/>
        <v>1200</v>
      </c>
      <c r="AI41" s="13">
        <f t="shared" si="12"/>
        <v>0</v>
      </c>
      <c r="AJ41" s="17">
        <f t="shared" si="13"/>
        <v>0</v>
      </c>
      <c r="AK41" s="96">
        <v>36.0</v>
      </c>
      <c r="AL41" s="124">
        <v>2.5</v>
      </c>
      <c r="AM41" s="124">
        <v>22.0</v>
      </c>
      <c r="AN41" s="13">
        <f t="shared" si="14"/>
        <v>55</v>
      </c>
      <c r="AO41" s="13">
        <f t="shared" si="15"/>
        <v>1.6</v>
      </c>
      <c r="AP41" s="13">
        <f t="shared" si="16"/>
        <v>19.8</v>
      </c>
      <c r="AQ41" s="17">
        <f t="shared" si="17"/>
        <v>158.4</v>
      </c>
      <c r="AR41" s="94">
        <v>2.8</v>
      </c>
      <c r="AS41" s="200">
        <v>20000.0</v>
      </c>
      <c r="AT41" s="17">
        <f t="shared" si="18"/>
        <v>560</v>
      </c>
      <c r="AU41" s="94">
        <v>2.8</v>
      </c>
      <c r="AV41" s="124">
        <v>4500.0</v>
      </c>
      <c r="AW41" s="17">
        <f t="shared" si="19"/>
        <v>126</v>
      </c>
      <c r="AX41" s="96">
        <f t="shared" si="20"/>
        <v>16280</v>
      </c>
      <c r="AY41" s="204">
        <f t="shared" si="24"/>
        <v>162.8</v>
      </c>
      <c r="AZ41" s="17">
        <f t="shared" si="22"/>
        <v>13780</v>
      </c>
      <c r="BA41" s="172"/>
    </row>
    <row r="42" ht="15.75" customHeight="1">
      <c r="A42" s="14"/>
      <c r="B42" s="31" t="s">
        <v>14</v>
      </c>
      <c r="C42" s="31" t="s">
        <v>585</v>
      </c>
      <c r="D42" s="32" t="s">
        <v>262</v>
      </c>
      <c r="E42" s="32" t="s">
        <v>172</v>
      </c>
      <c r="F42" s="32" t="s">
        <v>51</v>
      </c>
      <c r="G42" s="32" t="s">
        <v>524</v>
      </c>
      <c r="H42" s="88">
        <v>4.0</v>
      </c>
      <c r="I42" s="13">
        <v>9500.0</v>
      </c>
      <c r="J42" s="13"/>
      <c r="K42" s="13"/>
      <c r="L42" s="13"/>
      <c r="M42" s="7">
        <v>1.0</v>
      </c>
      <c r="N42" s="60">
        <f t="shared" si="1"/>
        <v>9500</v>
      </c>
      <c r="O42" s="189">
        <v>8.0</v>
      </c>
      <c r="P42" s="94">
        <v>8.4</v>
      </c>
      <c r="Q42" s="124">
        <v>12.0</v>
      </c>
      <c r="R42" s="124">
        <v>400.0</v>
      </c>
      <c r="S42" s="7">
        <f t="shared" si="2"/>
        <v>38400</v>
      </c>
      <c r="T42" s="7">
        <f t="shared" si="3"/>
        <v>13.008</v>
      </c>
      <c r="U42" s="60">
        <f t="shared" si="4"/>
        <v>5203.2</v>
      </c>
      <c r="V42" s="125">
        <f t="shared" si="5"/>
        <v>3225.6</v>
      </c>
      <c r="W42" s="96">
        <v>25.0</v>
      </c>
      <c r="X42" s="124">
        <v>450.0</v>
      </c>
      <c r="Y42" s="89">
        <v>1.3</v>
      </c>
      <c r="Z42" s="13">
        <f t="shared" si="6"/>
        <v>585</v>
      </c>
      <c r="AA42" s="13">
        <f t="shared" si="7"/>
        <v>337.5</v>
      </c>
      <c r="AB42" s="7">
        <f t="shared" si="8"/>
        <v>146.25</v>
      </c>
      <c r="AC42" s="93">
        <f t="shared" si="9"/>
        <v>1170</v>
      </c>
      <c r="AD42" s="97">
        <v>0.0</v>
      </c>
      <c r="AE42" s="203">
        <v>1200.0</v>
      </c>
      <c r="AF42" s="124">
        <v>0.6</v>
      </c>
      <c r="AG42" s="13">
        <f t="shared" si="10"/>
        <v>720</v>
      </c>
      <c r="AH42" s="13">
        <f t="shared" si="11"/>
        <v>1200</v>
      </c>
      <c r="AI42" s="13">
        <f t="shared" si="12"/>
        <v>0</v>
      </c>
      <c r="AJ42" s="17">
        <f t="shared" si="13"/>
        <v>0</v>
      </c>
      <c r="AK42" s="96">
        <v>36.0</v>
      </c>
      <c r="AL42" s="124">
        <v>2.5</v>
      </c>
      <c r="AM42" s="124">
        <v>22.0</v>
      </c>
      <c r="AN42" s="13">
        <f t="shared" si="14"/>
        <v>55</v>
      </c>
      <c r="AO42" s="13">
        <f t="shared" si="15"/>
        <v>1.6</v>
      </c>
      <c r="AP42" s="13">
        <f t="shared" si="16"/>
        <v>19.8</v>
      </c>
      <c r="AQ42" s="17">
        <f t="shared" si="17"/>
        <v>158.4</v>
      </c>
      <c r="AR42" s="94">
        <v>2.8</v>
      </c>
      <c r="AS42" s="200">
        <v>20000.0</v>
      </c>
      <c r="AT42" s="17">
        <f t="shared" si="18"/>
        <v>560</v>
      </c>
      <c r="AU42" s="94">
        <v>2.8</v>
      </c>
      <c r="AV42" s="124">
        <v>4500.0</v>
      </c>
      <c r="AW42" s="17">
        <f t="shared" si="19"/>
        <v>126</v>
      </c>
      <c r="AX42" s="96">
        <f t="shared" si="20"/>
        <v>20960</v>
      </c>
      <c r="AY42" s="204">
        <f t="shared" si="24"/>
        <v>55.15789474</v>
      </c>
      <c r="AZ42" s="17">
        <f t="shared" si="22"/>
        <v>11460</v>
      </c>
      <c r="BA42" s="172"/>
    </row>
    <row r="43" ht="15.75" customHeight="1">
      <c r="A43" s="14"/>
      <c r="B43" s="31" t="s">
        <v>14</v>
      </c>
      <c r="C43" s="31" t="s">
        <v>525</v>
      </c>
      <c r="D43" s="32" t="s">
        <v>526</v>
      </c>
      <c r="E43" s="32" t="s">
        <v>172</v>
      </c>
      <c r="F43" s="32" t="s">
        <v>621</v>
      </c>
      <c r="G43" s="32" t="s">
        <v>622</v>
      </c>
      <c r="H43" s="88">
        <v>4.0</v>
      </c>
      <c r="I43" s="13">
        <v>15000.0</v>
      </c>
      <c r="J43" s="13"/>
      <c r="K43" s="13"/>
      <c r="L43" s="13"/>
      <c r="M43" s="7">
        <v>1.0</v>
      </c>
      <c r="N43" s="60">
        <f t="shared" si="1"/>
        <v>15000</v>
      </c>
      <c r="O43" s="189">
        <v>8.0</v>
      </c>
      <c r="P43" s="94">
        <v>8.4</v>
      </c>
      <c r="Q43" s="124">
        <v>12.0</v>
      </c>
      <c r="R43" s="124">
        <v>400.0</v>
      </c>
      <c r="S43" s="7">
        <f t="shared" si="2"/>
        <v>38400</v>
      </c>
      <c r="T43" s="7">
        <f t="shared" si="3"/>
        <v>13.008</v>
      </c>
      <c r="U43" s="60">
        <f t="shared" si="4"/>
        <v>5203.2</v>
      </c>
      <c r="V43" s="125">
        <f t="shared" si="5"/>
        <v>3225.6</v>
      </c>
      <c r="W43" s="96">
        <v>25.0</v>
      </c>
      <c r="X43" s="124">
        <v>450.0</v>
      </c>
      <c r="Y43" s="89">
        <v>1.3</v>
      </c>
      <c r="Z43" s="13">
        <f t="shared" si="6"/>
        <v>585</v>
      </c>
      <c r="AA43" s="13">
        <f t="shared" si="7"/>
        <v>337.5</v>
      </c>
      <c r="AB43" s="7">
        <f t="shared" si="8"/>
        <v>146.25</v>
      </c>
      <c r="AC43" s="93">
        <f t="shared" si="9"/>
        <v>1170</v>
      </c>
      <c r="AD43" s="97">
        <v>0.0</v>
      </c>
      <c r="AE43" s="203">
        <v>1200.0</v>
      </c>
      <c r="AF43" s="124">
        <v>0.6</v>
      </c>
      <c r="AG43" s="13">
        <f t="shared" si="10"/>
        <v>720</v>
      </c>
      <c r="AH43" s="13">
        <f t="shared" si="11"/>
        <v>1200</v>
      </c>
      <c r="AI43" s="13">
        <f t="shared" si="12"/>
        <v>0</v>
      </c>
      <c r="AJ43" s="17">
        <f t="shared" si="13"/>
        <v>0</v>
      </c>
      <c r="AK43" s="96">
        <v>36.0</v>
      </c>
      <c r="AL43" s="124">
        <v>2.5</v>
      </c>
      <c r="AM43" s="124">
        <v>22.0</v>
      </c>
      <c r="AN43" s="13">
        <f t="shared" si="14"/>
        <v>55</v>
      </c>
      <c r="AO43" s="13">
        <f t="shared" si="15"/>
        <v>1.6</v>
      </c>
      <c r="AP43" s="13">
        <f t="shared" si="16"/>
        <v>19.8</v>
      </c>
      <c r="AQ43" s="17">
        <f t="shared" si="17"/>
        <v>158.4</v>
      </c>
      <c r="AR43" s="94">
        <v>2.8</v>
      </c>
      <c r="AS43" s="200">
        <v>20000.0</v>
      </c>
      <c r="AT43" s="17">
        <f t="shared" si="18"/>
        <v>560</v>
      </c>
      <c r="AU43" s="94">
        <v>2.8</v>
      </c>
      <c r="AV43" s="124">
        <v>4500.0</v>
      </c>
      <c r="AW43" s="17">
        <f t="shared" si="19"/>
        <v>126</v>
      </c>
      <c r="AX43" s="96">
        <f t="shared" si="20"/>
        <v>20960</v>
      </c>
      <c r="AY43" s="204">
        <f t="shared" si="24"/>
        <v>34.93333333</v>
      </c>
      <c r="AZ43" s="17">
        <f t="shared" si="22"/>
        <v>5960</v>
      </c>
      <c r="BA43" s="172"/>
    </row>
    <row r="44" ht="15.75" customHeight="1">
      <c r="A44" s="14"/>
      <c r="B44" s="31" t="s">
        <v>14</v>
      </c>
      <c r="C44" s="31" t="s">
        <v>533</v>
      </c>
      <c r="D44" s="186" t="s">
        <v>587</v>
      </c>
      <c r="E44" s="32" t="s">
        <v>512</v>
      </c>
      <c r="F44" s="32" t="s">
        <v>51</v>
      </c>
      <c r="G44" s="32" t="s">
        <v>535</v>
      </c>
      <c r="H44" s="88">
        <v>4.0</v>
      </c>
      <c r="I44" s="13">
        <v>7500.0</v>
      </c>
      <c r="J44" s="13"/>
      <c r="K44" s="13"/>
      <c r="L44" s="13"/>
      <c r="M44" s="7">
        <v>1.0</v>
      </c>
      <c r="N44" s="60">
        <f t="shared" si="1"/>
        <v>7500</v>
      </c>
      <c r="O44" s="189">
        <v>8.0</v>
      </c>
      <c r="P44" s="94">
        <v>8.4</v>
      </c>
      <c r="Q44" s="124">
        <v>12.0</v>
      </c>
      <c r="R44" s="124">
        <v>400.0</v>
      </c>
      <c r="S44" s="7">
        <f t="shared" si="2"/>
        <v>38400</v>
      </c>
      <c r="T44" s="7">
        <f t="shared" si="3"/>
        <v>13.008</v>
      </c>
      <c r="U44" s="60">
        <f t="shared" si="4"/>
        <v>5203.2</v>
      </c>
      <c r="V44" s="125">
        <f t="shared" si="5"/>
        <v>3225.6</v>
      </c>
      <c r="W44" s="96">
        <v>25.0</v>
      </c>
      <c r="X44" s="124">
        <v>450.0</v>
      </c>
      <c r="Y44" s="89">
        <v>1.3</v>
      </c>
      <c r="Z44" s="13">
        <f t="shared" si="6"/>
        <v>585</v>
      </c>
      <c r="AA44" s="13">
        <f t="shared" si="7"/>
        <v>337.5</v>
      </c>
      <c r="AB44" s="7">
        <f t="shared" si="8"/>
        <v>146.25</v>
      </c>
      <c r="AC44" s="93">
        <f t="shared" si="9"/>
        <v>1170</v>
      </c>
      <c r="AD44" s="97">
        <v>0.0</v>
      </c>
      <c r="AE44" s="203">
        <v>1200.0</v>
      </c>
      <c r="AF44" s="124">
        <v>0.6</v>
      </c>
      <c r="AG44" s="13">
        <f t="shared" si="10"/>
        <v>720</v>
      </c>
      <c r="AH44" s="13">
        <f t="shared" si="11"/>
        <v>1200</v>
      </c>
      <c r="AI44" s="13">
        <f t="shared" si="12"/>
        <v>0</v>
      </c>
      <c r="AJ44" s="17">
        <f t="shared" si="13"/>
        <v>0</v>
      </c>
      <c r="AK44" s="97">
        <v>0.0</v>
      </c>
      <c r="AL44" s="124">
        <v>2.5</v>
      </c>
      <c r="AM44" s="124">
        <v>22.0</v>
      </c>
      <c r="AN44" s="13">
        <f t="shared" si="14"/>
        <v>55</v>
      </c>
      <c r="AO44" s="13">
        <f t="shared" si="15"/>
        <v>2.5</v>
      </c>
      <c r="AP44" s="13">
        <f t="shared" si="16"/>
        <v>0</v>
      </c>
      <c r="AQ44" s="17">
        <f t="shared" si="17"/>
        <v>0</v>
      </c>
      <c r="AR44" s="94">
        <v>2.8</v>
      </c>
      <c r="AS44" s="200">
        <v>20000.0</v>
      </c>
      <c r="AT44" s="17">
        <f t="shared" si="18"/>
        <v>560</v>
      </c>
      <c r="AU44" s="94">
        <v>2.8</v>
      </c>
      <c r="AV44" s="124">
        <v>4500.0</v>
      </c>
      <c r="AW44" s="17">
        <f t="shared" si="19"/>
        <v>126</v>
      </c>
      <c r="AX44" s="96">
        <f t="shared" si="20"/>
        <v>20326.4</v>
      </c>
      <c r="AY44" s="204">
        <f t="shared" si="24"/>
        <v>67.75466667</v>
      </c>
      <c r="AZ44" s="17">
        <f t="shared" si="22"/>
        <v>12826.4</v>
      </c>
      <c r="BA44" s="172"/>
    </row>
    <row r="45" ht="15.75" customHeight="1">
      <c r="A45" s="21"/>
      <c r="B45" s="180" t="s">
        <v>502</v>
      </c>
      <c r="C45" s="180" t="s">
        <v>536</v>
      </c>
      <c r="D45" s="181" t="s">
        <v>232</v>
      </c>
      <c r="E45" s="181" t="s">
        <v>233</v>
      </c>
      <c r="F45" s="181" t="s">
        <v>51</v>
      </c>
      <c r="G45" s="24" t="s">
        <v>237</v>
      </c>
      <c r="H45" s="108">
        <v>4.0</v>
      </c>
      <c r="I45" s="22">
        <v>750.0</v>
      </c>
      <c r="J45" s="22"/>
      <c r="K45" s="22"/>
      <c r="L45" s="22"/>
      <c r="M45" s="106">
        <v>1.0</v>
      </c>
      <c r="N45" s="110">
        <f t="shared" si="1"/>
        <v>750</v>
      </c>
      <c r="O45" s="187">
        <v>8.0</v>
      </c>
      <c r="P45" s="130">
        <v>8.4</v>
      </c>
      <c r="Q45" s="129">
        <v>12.0</v>
      </c>
      <c r="R45" s="129">
        <v>400.0</v>
      </c>
      <c r="S45" s="106">
        <f t="shared" si="2"/>
        <v>38400</v>
      </c>
      <c r="T45" s="106">
        <f t="shared" si="3"/>
        <v>13.008</v>
      </c>
      <c r="U45" s="110">
        <f t="shared" si="4"/>
        <v>5203.2</v>
      </c>
      <c r="V45" s="113">
        <f t="shared" si="5"/>
        <v>3225.6</v>
      </c>
      <c r="W45" s="116">
        <v>0.0</v>
      </c>
      <c r="X45" s="129">
        <v>450.0</v>
      </c>
      <c r="Y45" s="89">
        <v>1.3</v>
      </c>
      <c r="Z45" s="22">
        <f t="shared" si="6"/>
        <v>585</v>
      </c>
      <c r="AA45" s="22">
        <f t="shared" si="7"/>
        <v>450</v>
      </c>
      <c r="AB45" s="106">
        <f t="shared" si="8"/>
        <v>0</v>
      </c>
      <c r="AC45" s="115">
        <f t="shared" si="9"/>
        <v>0</v>
      </c>
      <c r="AD45" s="118">
        <v>15.0</v>
      </c>
      <c r="AE45" s="203">
        <v>1200.0</v>
      </c>
      <c r="AF45" s="129">
        <v>0.6</v>
      </c>
      <c r="AG45" s="22">
        <f t="shared" si="10"/>
        <v>720</v>
      </c>
      <c r="AH45" s="22">
        <f t="shared" si="11"/>
        <v>1020</v>
      </c>
      <c r="AI45" s="22">
        <f t="shared" si="12"/>
        <v>108</v>
      </c>
      <c r="AJ45" s="25">
        <f t="shared" si="13"/>
        <v>864</v>
      </c>
      <c r="AK45" s="116">
        <v>0.0</v>
      </c>
      <c r="AL45" s="129">
        <v>2.5</v>
      </c>
      <c r="AM45" s="129">
        <v>22.0</v>
      </c>
      <c r="AN45" s="22">
        <f t="shared" si="14"/>
        <v>55</v>
      </c>
      <c r="AO45" s="22">
        <f t="shared" si="15"/>
        <v>2.5</v>
      </c>
      <c r="AP45" s="22">
        <f t="shared" si="16"/>
        <v>0</v>
      </c>
      <c r="AQ45" s="25">
        <f t="shared" si="17"/>
        <v>0</v>
      </c>
      <c r="AR45" s="130">
        <v>2.8</v>
      </c>
      <c r="AS45" s="208">
        <v>20000.0</v>
      </c>
      <c r="AT45" s="25">
        <f t="shared" si="18"/>
        <v>560</v>
      </c>
      <c r="AU45" s="130">
        <v>2.8</v>
      </c>
      <c r="AV45" s="129">
        <v>4500.0</v>
      </c>
      <c r="AW45" s="25">
        <f t="shared" si="19"/>
        <v>126</v>
      </c>
      <c r="AX45" s="118">
        <f t="shared" si="20"/>
        <v>19102.4</v>
      </c>
      <c r="AY45" s="204">
        <f t="shared" si="24"/>
        <v>636.7466667</v>
      </c>
      <c r="AZ45" s="25">
        <f t="shared" si="22"/>
        <v>18352.4</v>
      </c>
      <c r="BA45" s="182"/>
    </row>
    <row r="46" ht="15.75" customHeight="1">
      <c r="A46" s="71" t="s">
        <v>270</v>
      </c>
      <c r="B46" s="168" t="s">
        <v>14</v>
      </c>
      <c r="C46" s="169" t="s">
        <v>271</v>
      </c>
      <c r="D46" s="169" t="s">
        <v>623</v>
      </c>
      <c r="E46" s="169" t="s">
        <v>273</v>
      </c>
      <c r="F46" s="169" t="s">
        <v>51</v>
      </c>
      <c r="G46" s="169" t="s">
        <v>276</v>
      </c>
      <c r="H46" s="76">
        <v>4.0</v>
      </c>
      <c r="I46" s="9">
        <v>15750.0</v>
      </c>
      <c r="J46" s="9"/>
      <c r="K46" s="9"/>
      <c r="L46" s="9"/>
      <c r="M46" s="74">
        <v>1.0</v>
      </c>
      <c r="N46" s="78">
        <f t="shared" si="1"/>
        <v>15750</v>
      </c>
      <c r="O46" s="188">
        <v>8.0</v>
      </c>
      <c r="P46" s="85">
        <v>0.0</v>
      </c>
      <c r="Q46" s="131">
        <v>12.0</v>
      </c>
      <c r="R46" s="131">
        <v>400.0</v>
      </c>
      <c r="S46" s="74">
        <f t="shared" si="2"/>
        <v>38400</v>
      </c>
      <c r="T46" s="74">
        <f t="shared" si="3"/>
        <v>12</v>
      </c>
      <c r="U46" s="78">
        <f t="shared" si="4"/>
        <v>4800</v>
      </c>
      <c r="V46" s="80">
        <f t="shared" si="5"/>
        <v>0</v>
      </c>
      <c r="W46" s="84">
        <v>35.0</v>
      </c>
      <c r="X46" s="131">
        <v>450.0</v>
      </c>
      <c r="Y46" s="121">
        <v>1.3</v>
      </c>
      <c r="Z46" s="9">
        <f t="shared" si="6"/>
        <v>585</v>
      </c>
      <c r="AA46" s="9">
        <f t="shared" si="7"/>
        <v>292.5</v>
      </c>
      <c r="AB46" s="74">
        <f t="shared" si="8"/>
        <v>204.75</v>
      </c>
      <c r="AC46" s="81">
        <f t="shared" si="9"/>
        <v>1638</v>
      </c>
      <c r="AD46" s="123">
        <v>25.0</v>
      </c>
      <c r="AE46" s="212">
        <v>1200.0</v>
      </c>
      <c r="AF46" s="131">
        <v>0.6</v>
      </c>
      <c r="AG46" s="9">
        <f t="shared" si="10"/>
        <v>720</v>
      </c>
      <c r="AH46" s="9">
        <f t="shared" si="11"/>
        <v>900</v>
      </c>
      <c r="AI46" s="9">
        <f t="shared" si="12"/>
        <v>180</v>
      </c>
      <c r="AJ46" s="12">
        <f t="shared" si="13"/>
        <v>1440</v>
      </c>
      <c r="AK46" s="84">
        <v>53.0</v>
      </c>
      <c r="AL46" s="131">
        <v>2.5</v>
      </c>
      <c r="AM46" s="131">
        <v>22.0</v>
      </c>
      <c r="AN46" s="9">
        <f t="shared" si="14"/>
        <v>55</v>
      </c>
      <c r="AO46" s="9">
        <f t="shared" si="15"/>
        <v>1.175</v>
      </c>
      <c r="AP46" s="9">
        <f t="shared" si="16"/>
        <v>29.15</v>
      </c>
      <c r="AQ46" s="12">
        <f t="shared" si="17"/>
        <v>233.2</v>
      </c>
      <c r="AR46" s="85">
        <v>0.0</v>
      </c>
      <c r="AS46" s="200">
        <v>20000.0</v>
      </c>
      <c r="AT46" s="12">
        <f t="shared" si="18"/>
        <v>0</v>
      </c>
      <c r="AU46" s="85">
        <v>0.0</v>
      </c>
      <c r="AV46" s="131">
        <v>4500.0</v>
      </c>
      <c r="AW46" s="12">
        <f t="shared" si="19"/>
        <v>0</v>
      </c>
      <c r="AX46" s="84">
        <f t="shared" si="20"/>
        <v>13244.8</v>
      </c>
      <c r="AY46" s="199">
        <f t="shared" si="24"/>
        <v>21.02349206</v>
      </c>
      <c r="AZ46" s="12">
        <f t="shared" si="22"/>
        <v>-2505.2</v>
      </c>
      <c r="BA46" s="171"/>
    </row>
    <row r="47" ht="15.75" customHeight="1">
      <c r="A47" s="14"/>
      <c r="B47" s="31" t="s">
        <v>14</v>
      </c>
      <c r="C47" s="32" t="s">
        <v>271</v>
      </c>
      <c r="D47" s="32" t="s">
        <v>277</v>
      </c>
      <c r="E47" s="32" t="s">
        <v>273</v>
      </c>
      <c r="F47" s="32" t="s">
        <v>51</v>
      </c>
      <c r="G47" s="32" t="s">
        <v>279</v>
      </c>
      <c r="H47" s="88">
        <v>4.0</v>
      </c>
      <c r="I47" s="13">
        <v>9500.0</v>
      </c>
      <c r="J47" s="13"/>
      <c r="K47" s="13"/>
      <c r="L47" s="13"/>
      <c r="M47" s="7">
        <v>1.0</v>
      </c>
      <c r="N47" s="60">
        <f t="shared" si="1"/>
        <v>9500</v>
      </c>
      <c r="O47" s="189">
        <v>8.0</v>
      </c>
      <c r="P47" s="97">
        <v>0.0</v>
      </c>
      <c r="Q47" s="124">
        <v>12.0</v>
      </c>
      <c r="R47" s="124">
        <v>400.0</v>
      </c>
      <c r="S47" s="7">
        <f t="shared" si="2"/>
        <v>38400</v>
      </c>
      <c r="T47" s="7">
        <f t="shared" si="3"/>
        <v>12</v>
      </c>
      <c r="U47" s="60">
        <f t="shared" si="4"/>
        <v>4800</v>
      </c>
      <c r="V47" s="125">
        <f t="shared" si="5"/>
        <v>0</v>
      </c>
      <c r="W47" s="96">
        <v>35.0</v>
      </c>
      <c r="X47" s="124">
        <v>450.0</v>
      </c>
      <c r="Y47" s="89">
        <v>1.3</v>
      </c>
      <c r="Z47" s="13">
        <f t="shared" si="6"/>
        <v>585</v>
      </c>
      <c r="AA47" s="13">
        <f t="shared" si="7"/>
        <v>292.5</v>
      </c>
      <c r="AB47" s="7">
        <f t="shared" si="8"/>
        <v>204.75</v>
      </c>
      <c r="AC47" s="93">
        <f t="shared" si="9"/>
        <v>1638</v>
      </c>
      <c r="AD47" s="94">
        <v>25.0</v>
      </c>
      <c r="AE47" s="203">
        <v>1200.0</v>
      </c>
      <c r="AF47" s="124">
        <v>0.6</v>
      </c>
      <c r="AG47" s="13">
        <f t="shared" si="10"/>
        <v>720</v>
      </c>
      <c r="AH47" s="13">
        <f t="shared" si="11"/>
        <v>900</v>
      </c>
      <c r="AI47" s="13">
        <f t="shared" si="12"/>
        <v>180</v>
      </c>
      <c r="AJ47" s="17">
        <f t="shared" si="13"/>
        <v>1440</v>
      </c>
      <c r="AK47" s="96">
        <v>53.0</v>
      </c>
      <c r="AL47" s="124">
        <v>2.5</v>
      </c>
      <c r="AM47" s="124">
        <v>22.0</v>
      </c>
      <c r="AN47" s="13">
        <f t="shared" si="14"/>
        <v>55</v>
      </c>
      <c r="AO47" s="13">
        <f t="shared" si="15"/>
        <v>1.175</v>
      </c>
      <c r="AP47" s="13">
        <f t="shared" si="16"/>
        <v>29.15</v>
      </c>
      <c r="AQ47" s="17">
        <f t="shared" si="17"/>
        <v>233.2</v>
      </c>
      <c r="AR47" s="97">
        <v>0.0</v>
      </c>
      <c r="AS47" s="200">
        <v>20000.0</v>
      </c>
      <c r="AT47" s="17">
        <f t="shared" si="18"/>
        <v>0</v>
      </c>
      <c r="AU47" s="97">
        <v>0.0</v>
      </c>
      <c r="AV47" s="124">
        <v>4500.0</v>
      </c>
      <c r="AW47" s="17">
        <f t="shared" si="19"/>
        <v>0</v>
      </c>
      <c r="AX47" s="96">
        <f t="shared" si="20"/>
        <v>13244.8</v>
      </c>
      <c r="AY47" s="204">
        <f t="shared" si="24"/>
        <v>34.85473684</v>
      </c>
      <c r="AZ47" s="17">
        <f t="shared" si="22"/>
        <v>3744.8</v>
      </c>
      <c r="BA47" s="172"/>
    </row>
    <row r="48" ht="15.75" customHeight="1">
      <c r="A48" s="14"/>
      <c r="B48" s="31" t="s">
        <v>14</v>
      </c>
      <c r="C48" s="32" t="s">
        <v>541</v>
      </c>
      <c r="D48" s="32" t="s">
        <v>280</v>
      </c>
      <c r="E48" s="32" t="s">
        <v>281</v>
      </c>
      <c r="F48" s="32" t="s">
        <v>51</v>
      </c>
      <c r="G48" s="32" t="s">
        <v>624</v>
      </c>
      <c r="H48" s="88">
        <v>4.0</v>
      </c>
      <c r="I48" s="13">
        <v>1800.0</v>
      </c>
      <c r="J48" s="13"/>
      <c r="K48" s="13"/>
      <c r="L48" s="13"/>
      <c r="M48" s="7">
        <v>1.0</v>
      </c>
      <c r="N48" s="60">
        <f t="shared" si="1"/>
        <v>1800</v>
      </c>
      <c r="O48" s="189">
        <v>8.0</v>
      </c>
      <c r="P48" s="97">
        <v>0.0</v>
      </c>
      <c r="Q48" s="124">
        <v>12.0</v>
      </c>
      <c r="R48" s="124">
        <v>400.0</v>
      </c>
      <c r="S48" s="7">
        <f t="shared" si="2"/>
        <v>38400</v>
      </c>
      <c r="T48" s="7">
        <f t="shared" si="3"/>
        <v>12</v>
      </c>
      <c r="U48" s="60">
        <f t="shared" si="4"/>
        <v>4800</v>
      </c>
      <c r="V48" s="125">
        <f t="shared" si="5"/>
        <v>0</v>
      </c>
      <c r="W48" s="96">
        <v>35.0</v>
      </c>
      <c r="X48" s="124">
        <v>450.0</v>
      </c>
      <c r="Y48" s="89">
        <v>1.3</v>
      </c>
      <c r="Z48" s="13">
        <f t="shared" si="6"/>
        <v>585</v>
      </c>
      <c r="AA48" s="13">
        <f t="shared" si="7"/>
        <v>292.5</v>
      </c>
      <c r="AB48" s="7">
        <f t="shared" si="8"/>
        <v>204.75</v>
      </c>
      <c r="AC48" s="93">
        <f t="shared" si="9"/>
        <v>1638</v>
      </c>
      <c r="AD48" s="94">
        <v>25.0</v>
      </c>
      <c r="AE48" s="203">
        <v>1200.0</v>
      </c>
      <c r="AF48" s="124">
        <v>0.6</v>
      </c>
      <c r="AG48" s="13">
        <f t="shared" si="10"/>
        <v>720</v>
      </c>
      <c r="AH48" s="13">
        <f t="shared" si="11"/>
        <v>900</v>
      </c>
      <c r="AI48" s="13">
        <f t="shared" si="12"/>
        <v>180</v>
      </c>
      <c r="AJ48" s="17">
        <f t="shared" si="13"/>
        <v>1440</v>
      </c>
      <c r="AK48" s="96">
        <v>53.0</v>
      </c>
      <c r="AL48" s="124">
        <v>2.5</v>
      </c>
      <c r="AM48" s="124">
        <v>22.0</v>
      </c>
      <c r="AN48" s="13">
        <f t="shared" si="14"/>
        <v>55</v>
      </c>
      <c r="AO48" s="13">
        <f t="shared" si="15"/>
        <v>1.175</v>
      </c>
      <c r="AP48" s="13">
        <f t="shared" si="16"/>
        <v>29.15</v>
      </c>
      <c r="AQ48" s="17">
        <f t="shared" si="17"/>
        <v>233.2</v>
      </c>
      <c r="AR48" s="97">
        <v>0.0</v>
      </c>
      <c r="AS48" s="200">
        <v>20000.0</v>
      </c>
      <c r="AT48" s="17">
        <f t="shared" si="18"/>
        <v>0</v>
      </c>
      <c r="AU48" s="94">
        <v>6.3</v>
      </c>
      <c r="AV48" s="124">
        <v>4500.0</v>
      </c>
      <c r="AW48" s="17">
        <f t="shared" si="19"/>
        <v>283.5</v>
      </c>
      <c r="AX48" s="96">
        <f t="shared" si="20"/>
        <v>14378.8</v>
      </c>
      <c r="AY48" s="204">
        <f t="shared" si="24"/>
        <v>199.7055556</v>
      </c>
      <c r="AZ48" s="17">
        <f t="shared" si="22"/>
        <v>12578.8</v>
      </c>
      <c r="BA48" s="172"/>
    </row>
    <row r="49" ht="15.75" customHeight="1">
      <c r="A49" s="14"/>
      <c r="B49" s="31" t="s">
        <v>14</v>
      </c>
      <c r="C49" s="32" t="s">
        <v>271</v>
      </c>
      <c r="D49" s="32" t="s">
        <v>295</v>
      </c>
      <c r="E49" s="32" t="s">
        <v>296</v>
      </c>
      <c r="F49" s="32" t="s">
        <v>51</v>
      </c>
      <c r="G49" s="32" t="s">
        <v>299</v>
      </c>
      <c r="H49" s="88">
        <v>4.0</v>
      </c>
      <c r="I49" s="13">
        <v>6500.0</v>
      </c>
      <c r="J49" s="13"/>
      <c r="K49" s="13"/>
      <c r="L49" s="13"/>
      <c r="M49" s="7">
        <v>1.0</v>
      </c>
      <c r="N49" s="60">
        <f t="shared" si="1"/>
        <v>6500</v>
      </c>
      <c r="O49" s="189">
        <v>8.0</v>
      </c>
      <c r="P49" s="97">
        <v>0.0</v>
      </c>
      <c r="Q49" s="124">
        <v>12.0</v>
      </c>
      <c r="R49" s="124">
        <v>400.0</v>
      </c>
      <c r="S49" s="7">
        <f t="shared" si="2"/>
        <v>38400</v>
      </c>
      <c r="T49" s="7">
        <f t="shared" si="3"/>
        <v>12</v>
      </c>
      <c r="U49" s="60">
        <f t="shared" si="4"/>
        <v>4800</v>
      </c>
      <c r="V49" s="125">
        <f t="shared" si="5"/>
        <v>0</v>
      </c>
      <c r="W49" s="96">
        <v>35.0</v>
      </c>
      <c r="X49" s="124">
        <v>450.0</v>
      </c>
      <c r="Y49" s="89">
        <v>1.3</v>
      </c>
      <c r="Z49" s="13">
        <f t="shared" si="6"/>
        <v>585</v>
      </c>
      <c r="AA49" s="13">
        <f t="shared" si="7"/>
        <v>292.5</v>
      </c>
      <c r="AB49" s="7">
        <f t="shared" si="8"/>
        <v>204.75</v>
      </c>
      <c r="AC49" s="93">
        <f t="shared" si="9"/>
        <v>1638</v>
      </c>
      <c r="AD49" s="94">
        <v>25.0</v>
      </c>
      <c r="AE49" s="203">
        <v>1200.0</v>
      </c>
      <c r="AF49" s="124">
        <v>0.6</v>
      </c>
      <c r="AG49" s="13">
        <f t="shared" si="10"/>
        <v>720</v>
      </c>
      <c r="AH49" s="13">
        <f t="shared" si="11"/>
        <v>900</v>
      </c>
      <c r="AI49" s="13">
        <f t="shared" si="12"/>
        <v>180</v>
      </c>
      <c r="AJ49" s="17">
        <f t="shared" si="13"/>
        <v>1440</v>
      </c>
      <c r="AK49" s="96">
        <v>53.0</v>
      </c>
      <c r="AL49" s="124">
        <v>2.5</v>
      </c>
      <c r="AM49" s="124">
        <v>22.0</v>
      </c>
      <c r="AN49" s="13">
        <f t="shared" si="14"/>
        <v>55</v>
      </c>
      <c r="AO49" s="13">
        <f t="shared" si="15"/>
        <v>1.175</v>
      </c>
      <c r="AP49" s="13">
        <f t="shared" si="16"/>
        <v>29.15</v>
      </c>
      <c r="AQ49" s="17">
        <f t="shared" si="17"/>
        <v>233.2</v>
      </c>
      <c r="AR49" s="97">
        <v>0.0</v>
      </c>
      <c r="AS49" s="200">
        <v>20000.0</v>
      </c>
      <c r="AT49" s="17">
        <f t="shared" si="18"/>
        <v>0</v>
      </c>
      <c r="AU49" s="94">
        <v>6.3</v>
      </c>
      <c r="AV49" s="124">
        <v>4500.0</v>
      </c>
      <c r="AW49" s="17">
        <f t="shared" si="19"/>
        <v>283.5</v>
      </c>
      <c r="AX49" s="96">
        <f t="shared" si="20"/>
        <v>14378.8</v>
      </c>
      <c r="AY49" s="204">
        <f t="shared" si="24"/>
        <v>55.30307692</v>
      </c>
      <c r="AZ49" s="17">
        <f t="shared" si="22"/>
        <v>7878.8</v>
      </c>
      <c r="BA49" s="172"/>
    </row>
    <row r="50" ht="15.75" customHeight="1">
      <c r="A50" s="14"/>
      <c r="B50" s="31" t="s">
        <v>14</v>
      </c>
      <c r="C50" s="32" t="s">
        <v>300</v>
      </c>
      <c r="D50" s="32" t="s">
        <v>301</v>
      </c>
      <c r="E50" s="32" t="s">
        <v>302</v>
      </c>
      <c r="F50" s="32" t="s">
        <v>51</v>
      </c>
      <c r="G50" s="32" t="s">
        <v>625</v>
      </c>
      <c r="H50" s="88">
        <v>4.0</v>
      </c>
      <c r="I50" s="13">
        <v>12000.0</v>
      </c>
      <c r="J50" s="13"/>
      <c r="K50" s="13"/>
      <c r="L50" s="13"/>
      <c r="M50" s="7">
        <v>1.0</v>
      </c>
      <c r="N50" s="60">
        <f t="shared" si="1"/>
        <v>12000</v>
      </c>
      <c r="O50" s="189">
        <v>8.0</v>
      </c>
      <c r="P50" s="97">
        <v>0.0</v>
      </c>
      <c r="Q50" s="124">
        <v>12.0</v>
      </c>
      <c r="R50" s="124">
        <v>400.0</v>
      </c>
      <c r="S50" s="7">
        <f t="shared" si="2"/>
        <v>38400</v>
      </c>
      <c r="T50" s="7">
        <f t="shared" si="3"/>
        <v>12</v>
      </c>
      <c r="U50" s="60">
        <f t="shared" si="4"/>
        <v>4800</v>
      </c>
      <c r="V50" s="125">
        <f t="shared" si="5"/>
        <v>0</v>
      </c>
      <c r="W50" s="96">
        <v>35.0</v>
      </c>
      <c r="X50" s="124">
        <v>450.0</v>
      </c>
      <c r="Y50" s="89">
        <v>1.3</v>
      </c>
      <c r="Z50" s="13">
        <f t="shared" si="6"/>
        <v>585</v>
      </c>
      <c r="AA50" s="13">
        <f t="shared" si="7"/>
        <v>292.5</v>
      </c>
      <c r="AB50" s="7">
        <f t="shared" si="8"/>
        <v>204.75</v>
      </c>
      <c r="AC50" s="93">
        <f t="shared" si="9"/>
        <v>1638</v>
      </c>
      <c r="AD50" s="94">
        <v>25.0</v>
      </c>
      <c r="AE50" s="203">
        <v>1200.0</v>
      </c>
      <c r="AF50" s="124">
        <v>0.6</v>
      </c>
      <c r="AG50" s="13">
        <f t="shared" si="10"/>
        <v>720</v>
      </c>
      <c r="AH50" s="13">
        <f t="shared" si="11"/>
        <v>900</v>
      </c>
      <c r="AI50" s="13">
        <f t="shared" si="12"/>
        <v>180</v>
      </c>
      <c r="AJ50" s="17">
        <f t="shared" si="13"/>
        <v>1440</v>
      </c>
      <c r="AK50" s="96">
        <v>53.0</v>
      </c>
      <c r="AL50" s="124">
        <v>2.5</v>
      </c>
      <c r="AM50" s="124">
        <v>22.0</v>
      </c>
      <c r="AN50" s="13">
        <f t="shared" si="14"/>
        <v>55</v>
      </c>
      <c r="AO50" s="13">
        <f t="shared" si="15"/>
        <v>1.175</v>
      </c>
      <c r="AP50" s="13">
        <f t="shared" si="16"/>
        <v>29.15</v>
      </c>
      <c r="AQ50" s="17">
        <f t="shared" si="17"/>
        <v>233.2</v>
      </c>
      <c r="AR50" s="97">
        <v>0.0</v>
      </c>
      <c r="AS50" s="200">
        <v>20000.0</v>
      </c>
      <c r="AT50" s="17">
        <f t="shared" si="18"/>
        <v>0</v>
      </c>
      <c r="AU50" s="94">
        <v>6.3</v>
      </c>
      <c r="AV50" s="124">
        <v>4500.0</v>
      </c>
      <c r="AW50" s="17">
        <f t="shared" si="19"/>
        <v>283.5</v>
      </c>
      <c r="AX50" s="96">
        <f t="shared" si="20"/>
        <v>14378.8</v>
      </c>
      <c r="AY50" s="204">
        <f t="shared" si="24"/>
        <v>29.95583333</v>
      </c>
      <c r="AZ50" s="17">
        <f t="shared" si="22"/>
        <v>2378.8</v>
      </c>
      <c r="BA50" s="172"/>
    </row>
    <row r="51" ht="15.75" customHeight="1">
      <c r="A51" s="14"/>
      <c r="B51" s="31" t="s">
        <v>14</v>
      </c>
      <c r="C51" s="32" t="s">
        <v>289</v>
      </c>
      <c r="D51" s="32" t="s">
        <v>306</v>
      </c>
      <c r="E51" s="32" t="s">
        <v>548</v>
      </c>
      <c r="F51" s="32" t="s">
        <v>51</v>
      </c>
      <c r="G51" s="32" t="s">
        <v>626</v>
      </c>
      <c r="H51" s="88">
        <v>4.0</v>
      </c>
      <c r="I51" s="13">
        <v>7000.0</v>
      </c>
      <c r="J51" s="13"/>
      <c r="K51" s="13"/>
      <c r="L51" s="13"/>
      <c r="M51" s="7">
        <v>1.0</v>
      </c>
      <c r="N51" s="60">
        <f t="shared" si="1"/>
        <v>7000</v>
      </c>
      <c r="O51" s="189">
        <v>8.0</v>
      </c>
      <c r="P51" s="97">
        <v>0.0</v>
      </c>
      <c r="Q51" s="124">
        <v>12.0</v>
      </c>
      <c r="R51" s="124">
        <v>400.0</v>
      </c>
      <c r="S51" s="7">
        <f t="shared" si="2"/>
        <v>38400</v>
      </c>
      <c r="T51" s="7">
        <f t="shared" si="3"/>
        <v>12</v>
      </c>
      <c r="U51" s="60">
        <f t="shared" si="4"/>
        <v>4800</v>
      </c>
      <c r="V51" s="125">
        <f t="shared" si="5"/>
        <v>0</v>
      </c>
      <c r="W51" s="96">
        <v>35.0</v>
      </c>
      <c r="X51" s="124">
        <v>450.0</v>
      </c>
      <c r="Y51" s="89">
        <v>1.3</v>
      </c>
      <c r="Z51" s="13">
        <f t="shared" si="6"/>
        <v>585</v>
      </c>
      <c r="AA51" s="13">
        <f t="shared" si="7"/>
        <v>292.5</v>
      </c>
      <c r="AB51" s="7">
        <f t="shared" si="8"/>
        <v>204.75</v>
      </c>
      <c r="AC51" s="93">
        <f t="shared" si="9"/>
        <v>1638</v>
      </c>
      <c r="AD51" s="94">
        <v>25.0</v>
      </c>
      <c r="AE51" s="203">
        <v>1200.0</v>
      </c>
      <c r="AF51" s="124">
        <v>0.6</v>
      </c>
      <c r="AG51" s="13">
        <f t="shared" si="10"/>
        <v>720</v>
      </c>
      <c r="AH51" s="13">
        <f t="shared" si="11"/>
        <v>900</v>
      </c>
      <c r="AI51" s="13">
        <f t="shared" si="12"/>
        <v>180</v>
      </c>
      <c r="AJ51" s="17">
        <f t="shared" si="13"/>
        <v>1440</v>
      </c>
      <c r="AK51" s="96">
        <v>53.0</v>
      </c>
      <c r="AL51" s="124">
        <v>2.5</v>
      </c>
      <c r="AM51" s="124">
        <v>22.0</v>
      </c>
      <c r="AN51" s="13">
        <f t="shared" si="14"/>
        <v>55</v>
      </c>
      <c r="AO51" s="13">
        <f t="shared" si="15"/>
        <v>1.175</v>
      </c>
      <c r="AP51" s="13">
        <f t="shared" si="16"/>
        <v>29.15</v>
      </c>
      <c r="AQ51" s="17">
        <f t="shared" si="17"/>
        <v>233.2</v>
      </c>
      <c r="AR51" s="97">
        <v>0.0</v>
      </c>
      <c r="AS51" s="200">
        <v>20000.0</v>
      </c>
      <c r="AT51" s="17">
        <f t="shared" si="18"/>
        <v>0</v>
      </c>
      <c r="AU51" s="97">
        <v>0.0</v>
      </c>
      <c r="AV51" s="124">
        <v>4500.0</v>
      </c>
      <c r="AW51" s="17">
        <f t="shared" si="19"/>
        <v>0</v>
      </c>
      <c r="AX51" s="96">
        <f t="shared" si="20"/>
        <v>13244.8</v>
      </c>
      <c r="AY51" s="204">
        <f t="shared" si="24"/>
        <v>47.30285714</v>
      </c>
      <c r="AZ51" s="17">
        <f t="shared" si="22"/>
        <v>6244.8</v>
      </c>
      <c r="BA51" s="172"/>
    </row>
    <row r="52" ht="15.75" customHeight="1">
      <c r="A52" s="14"/>
      <c r="B52" s="31" t="s">
        <v>14</v>
      </c>
      <c r="C52" s="32" t="s">
        <v>289</v>
      </c>
      <c r="D52" s="32" t="s">
        <v>310</v>
      </c>
      <c r="E52" s="32" t="s">
        <v>552</v>
      </c>
      <c r="F52" s="32" t="s">
        <v>51</v>
      </c>
      <c r="G52" s="32" t="s">
        <v>627</v>
      </c>
      <c r="H52" s="88">
        <v>4.0</v>
      </c>
      <c r="I52" s="13">
        <v>2500.0</v>
      </c>
      <c r="J52" s="13"/>
      <c r="K52" s="13"/>
      <c r="L52" s="13"/>
      <c r="M52" s="7">
        <v>1.0</v>
      </c>
      <c r="N52" s="60">
        <f t="shared" si="1"/>
        <v>2500</v>
      </c>
      <c r="O52" s="189">
        <v>8.0</v>
      </c>
      <c r="P52" s="97">
        <v>0.0</v>
      </c>
      <c r="Q52" s="124">
        <v>12.0</v>
      </c>
      <c r="R52" s="124">
        <v>400.0</v>
      </c>
      <c r="S52" s="7">
        <f t="shared" si="2"/>
        <v>38400</v>
      </c>
      <c r="T52" s="7">
        <f t="shared" si="3"/>
        <v>12</v>
      </c>
      <c r="U52" s="60">
        <f t="shared" si="4"/>
        <v>4800</v>
      </c>
      <c r="V52" s="125">
        <f t="shared" si="5"/>
        <v>0</v>
      </c>
      <c r="W52" s="96">
        <v>35.0</v>
      </c>
      <c r="X52" s="124">
        <v>450.0</v>
      </c>
      <c r="Y52" s="89">
        <v>1.3</v>
      </c>
      <c r="Z52" s="13">
        <f t="shared" si="6"/>
        <v>585</v>
      </c>
      <c r="AA52" s="13">
        <f t="shared" si="7"/>
        <v>292.5</v>
      </c>
      <c r="AB52" s="7">
        <f t="shared" si="8"/>
        <v>204.75</v>
      </c>
      <c r="AC52" s="93">
        <f t="shared" si="9"/>
        <v>1638</v>
      </c>
      <c r="AD52" s="94">
        <v>25.0</v>
      </c>
      <c r="AE52" s="203">
        <v>1200.0</v>
      </c>
      <c r="AF52" s="124">
        <v>0.6</v>
      </c>
      <c r="AG52" s="13">
        <f t="shared" si="10"/>
        <v>720</v>
      </c>
      <c r="AH52" s="13">
        <f t="shared" si="11"/>
        <v>900</v>
      </c>
      <c r="AI52" s="13">
        <f t="shared" si="12"/>
        <v>180</v>
      </c>
      <c r="AJ52" s="17">
        <f t="shared" si="13"/>
        <v>1440</v>
      </c>
      <c r="AK52" s="96">
        <v>53.0</v>
      </c>
      <c r="AL52" s="124">
        <v>2.5</v>
      </c>
      <c r="AM52" s="124">
        <v>22.0</v>
      </c>
      <c r="AN52" s="13">
        <f t="shared" si="14"/>
        <v>55</v>
      </c>
      <c r="AO52" s="13">
        <f t="shared" si="15"/>
        <v>1.175</v>
      </c>
      <c r="AP52" s="13">
        <f t="shared" si="16"/>
        <v>29.15</v>
      </c>
      <c r="AQ52" s="17">
        <f t="shared" si="17"/>
        <v>233.2</v>
      </c>
      <c r="AR52" s="97">
        <v>0.0</v>
      </c>
      <c r="AS52" s="200">
        <v>20000.0</v>
      </c>
      <c r="AT52" s="17">
        <f t="shared" si="18"/>
        <v>0</v>
      </c>
      <c r="AU52" s="97">
        <v>0.0</v>
      </c>
      <c r="AV52" s="124">
        <v>4500.0</v>
      </c>
      <c r="AW52" s="17">
        <f t="shared" si="19"/>
        <v>0</v>
      </c>
      <c r="AX52" s="96">
        <f t="shared" si="20"/>
        <v>13244.8</v>
      </c>
      <c r="AY52" s="204">
        <f t="shared" si="24"/>
        <v>132.448</v>
      </c>
      <c r="AZ52" s="17">
        <f t="shared" si="22"/>
        <v>10744.8</v>
      </c>
      <c r="BA52" s="172"/>
    </row>
    <row r="53" ht="15.75" customHeight="1">
      <c r="A53" s="14"/>
      <c r="B53" s="31" t="s">
        <v>14</v>
      </c>
      <c r="C53" s="32" t="s">
        <v>271</v>
      </c>
      <c r="D53" s="32" t="s">
        <v>314</v>
      </c>
      <c r="E53" s="32" t="s">
        <v>590</v>
      </c>
      <c r="F53" s="32" t="s">
        <v>51</v>
      </c>
      <c r="G53" s="32" t="s">
        <v>318</v>
      </c>
      <c r="H53" s="88">
        <v>4.0</v>
      </c>
      <c r="I53" s="13">
        <v>165.0</v>
      </c>
      <c r="J53" s="13"/>
      <c r="K53" s="13"/>
      <c r="L53" s="13"/>
      <c r="M53" s="7">
        <v>1.0</v>
      </c>
      <c r="N53" s="60">
        <f t="shared" si="1"/>
        <v>165</v>
      </c>
      <c r="O53" s="189">
        <v>8.0</v>
      </c>
      <c r="P53" s="97">
        <v>0.0</v>
      </c>
      <c r="Q53" s="124">
        <v>12.0</v>
      </c>
      <c r="R53" s="124">
        <v>400.0</v>
      </c>
      <c r="S53" s="7">
        <f t="shared" si="2"/>
        <v>38400</v>
      </c>
      <c r="T53" s="7">
        <f t="shared" si="3"/>
        <v>12</v>
      </c>
      <c r="U53" s="60">
        <f t="shared" si="4"/>
        <v>4800</v>
      </c>
      <c r="V53" s="125">
        <f t="shared" si="5"/>
        <v>0</v>
      </c>
      <c r="W53" s="96">
        <v>35.0</v>
      </c>
      <c r="X53" s="124">
        <v>450.0</v>
      </c>
      <c r="Y53" s="89">
        <v>1.3</v>
      </c>
      <c r="Z53" s="13">
        <f t="shared" si="6"/>
        <v>585</v>
      </c>
      <c r="AA53" s="13">
        <f t="shared" si="7"/>
        <v>292.5</v>
      </c>
      <c r="AB53" s="7">
        <f t="shared" si="8"/>
        <v>204.75</v>
      </c>
      <c r="AC53" s="93">
        <f t="shared" si="9"/>
        <v>1638</v>
      </c>
      <c r="AD53" s="94">
        <v>25.0</v>
      </c>
      <c r="AE53" s="203">
        <v>1200.0</v>
      </c>
      <c r="AF53" s="124">
        <v>0.6</v>
      </c>
      <c r="AG53" s="13">
        <f t="shared" si="10"/>
        <v>720</v>
      </c>
      <c r="AH53" s="13">
        <f t="shared" si="11"/>
        <v>900</v>
      </c>
      <c r="AI53" s="13">
        <f t="shared" si="12"/>
        <v>180</v>
      </c>
      <c r="AJ53" s="17">
        <f t="shared" si="13"/>
        <v>1440</v>
      </c>
      <c r="AK53" s="96">
        <v>53.0</v>
      </c>
      <c r="AL53" s="124">
        <v>2.5</v>
      </c>
      <c r="AM53" s="124">
        <v>22.0</v>
      </c>
      <c r="AN53" s="13">
        <f t="shared" si="14"/>
        <v>55</v>
      </c>
      <c r="AO53" s="13">
        <f t="shared" si="15"/>
        <v>1.175</v>
      </c>
      <c r="AP53" s="13">
        <f t="shared" si="16"/>
        <v>29.15</v>
      </c>
      <c r="AQ53" s="17">
        <f t="shared" si="17"/>
        <v>233.2</v>
      </c>
      <c r="AR53" s="97">
        <v>0.0</v>
      </c>
      <c r="AS53" s="200">
        <v>20000.0</v>
      </c>
      <c r="AT53" s="17">
        <f t="shared" si="18"/>
        <v>0</v>
      </c>
      <c r="AU53" s="97">
        <v>0.0</v>
      </c>
      <c r="AV53" s="124">
        <v>4500.0</v>
      </c>
      <c r="AW53" s="17">
        <f t="shared" si="19"/>
        <v>0</v>
      </c>
      <c r="AX53" s="96">
        <f t="shared" si="20"/>
        <v>13244.8</v>
      </c>
      <c r="AY53" s="204">
        <f t="shared" si="24"/>
        <v>2006.787879</v>
      </c>
      <c r="AZ53" s="17">
        <f t="shared" si="22"/>
        <v>13079.8</v>
      </c>
      <c r="BA53" s="172"/>
    </row>
    <row r="54" ht="15.75" customHeight="1">
      <c r="A54" s="14"/>
      <c r="B54" s="31" t="s">
        <v>36</v>
      </c>
      <c r="C54" s="32" t="s">
        <v>271</v>
      </c>
      <c r="D54" s="32" t="s">
        <v>285</v>
      </c>
      <c r="E54" s="32" t="s">
        <v>285</v>
      </c>
      <c r="F54" s="32" t="s">
        <v>51</v>
      </c>
      <c r="G54" s="32" t="s">
        <v>44</v>
      </c>
      <c r="H54" s="88">
        <v>4.0</v>
      </c>
      <c r="I54" s="13">
        <v>0.0</v>
      </c>
      <c r="J54" s="13"/>
      <c r="K54" s="13"/>
      <c r="L54" s="13"/>
      <c r="M54" s="7">
        <v>1.0</v>
      </c>
      <c r="N54" s="60">
        <f t="shared" si="1"/>
        <v>0</v>
      </c>
      <c r="O54" s="189">
        <v>8.0</v>
      </c>
      <c r="P54" s="97">
        <v>0.0</v>
      </c>
      <c r="Q54" s="124">
        <v>12.0</v>
      </c>
      <c r="R54" s="124">
        <v>400.0</v>
      </c>
      <c r="S54" s="7">
        <f t="shared" si="2"/>
        <v>38400</v>
      </c>
      <c r="T54" s="7">
        <f t="shared" si="3"/>
        <v>12</v>
      </c>
      <c r="U54" s="60">
        <f t="shared" si="4"/>
        <v>4800</v>
      </c>
      <c r="V54" s="125">
        <f t="shared" si="5"/>
        <v>0</v>
      </c>
      <c r="W54" s="96">
        <v>35.0</v>
      </c>
      <c r="X54" s="124">
        <v>450.0</v>
      </c>
      <c r="Y54" s="89">
        <v>1.3</v>
      </c>
      <c r="Z54" s="13">
        <f t="shared" si="6"/>
        <v>585</v>
      </c>
      <c r="AA54" s="13">
        <f t="shared" si="7"/>
        <v>292.5</v>
      </c>
      <c r="AB54" s="7">
        <f t="shared" si="8"/>
        <v>204.75</v>
      </c>
      <c r="AC54" s="93">
        <f t="shared" si="9"/>
        <v>1638</v>
      </c>
      <c r="AD54" s="94">
        <v>25.0</v>
      </c>
      <c r="AE54" s="203">
        <v>1200.0</v>
      </c>
      <c r="AF54" s="124">
        <v>0.6</v>
      </c>
      <c r="AG54" s="13">
        <f t="shared" si="10"/>
        <v>720</v>
      </c>
      <c r="AH54" s="13">
        <f t="shared" si="11"/>
        <v>900</v>
      </c>
      <c r="AI54" s="13">
        <f t="shared" si="12"/>
        <v>180</v>
      </c>
      <c r="AJ54" s="17">
        <f t="shared" si="13"/>
        <v>1440</v>
      </c>
      <c r="AK54" s="96">
        <v>53.0</v>
      </c>
      <c r="AL54" s="124">
        <v>2.5</v>
      </c>
      <c r="AM54" s="124">
        <v>22.0</v>
      </c>
      <c r="AN54" s="13">
        <f t="shared" si="14"/>
        <v>55</v>
      </c>
      <c r="AO54" s="13">
        <f t="shared" si="15"/>
        <v>1.175</v>
      </c>
      <c r="AP54" s="13">
        <f t="shared" si="16"/>
        <v>29.15</v>
      </c>
      <c r="AQ54" s="17">
        <f t="shared" si="17"/>
        <v>233.2</v>
      </c>
      <c r="AR54" s="97">
        <v>0.0</v>
      </c>
      <c r="AS54" s="200">
        <v>20000.0</v>
      </c>
      <c r="AT54" s="17">
        <f t="shared" si="18"/>
        <v>0</v>
      </c>
      <c r="AU54" s="97">
        <v>0.0</v>
      </c>
      <c r="AV54" s="124">
        <v>4500.0</v>
      </c>
      <c r="AW54" s="17">
        <f t="shared" si="19"/>
        <v>0</v>
      </c>
      <c r="AX54" s="96">
        <f t="shared" si="20"/>
        <v>13244.8</v>
      </c>
      <c r="AY54" s="205" t="s">
        <v>547</v>
      </c>
      <c r="AZ54" s="17">
        <f t="shared" si="22"/>
        <v>13244.8</v>
      </c>
      <c r="BA54" s="172"/>
    </row>
    <row r="55" ht="15.75" customHeight="1">
      <c r="A55" s="14"/>
      <c r="B55" s="31" t="s">
        <v>14</v>
      </c>
      <c r="C55" s="32" t="s">
        <v>289</v>
      </c>
      <c r="D55" s="32" t="s">
        <v>290</v>
      </c>
      <c r="E55" s="32" t="s">
        <v>291</v>
      </c>
      <c r="F55" s="32" t="s">
        <v>51</v>
      </c>
      <c r="G55" s="32" t="s">
        <v>294</v>
      </c>
      <c r="H55" s="88">
        <v>4.0</v>
      </c>
      <c r="I55" s="13">
        <v>220.0</v>
      </c>
      <c r="J55" s="13"/>
      <c r="K55" s="13"/>
      <c r="L55" s="13"/>
      <c r="M55" s="7">
        <v>1.0</v>
      </c>
      <c r="N55" s="60">
        <f t="shared" si="1"/>
        <v>220</v>
      </c>
      <c r="O55" s="189">
        <v>8.0</v>
      </c>
      <c r="P55" s="97">
        <v>0.0</v>
      </c>
      <c r="Q55" s="124">
        <v>12.0</v>
      </c>
      <c r="R55" s="124">
        <v>400.0</v>
      </c>
      <c r="S55" s="7">
        <f t="shared" si="2"/>
        <v>38400</v>
      </c>
      <c r="T55" s="7">
        <f t="shared" si="3"/>
        <v>12</v>
      </c>
      <c r="U55" s="60">
        <f t="shared" si="4"/>
        <v>4800</v>
      </c>
      <c r="V55" s="125">
        <f t="shared" si="5"/>
        <v>0</v>
      </c>
      <c r="W55" s="96">
        <v>35.0</v>
      </c>
      <c r="X55" s="124">
        <v>450.0</v>
      </c>
      <c r="Y55" s="89">
        <v>1.3</v>
      </c>
      <c r="Z55" s="13">
        <f t="shared" si="6"/>
        <v>585</v>
      </c>
      <c r="AA55" s="13">
        <f t="shared" si="7"/>
        <v>292.5</v>
      </c>
      <c r="AB55" s="7">
        <f t="shared" si="8"/>
        <v>204.75</v>
      </c>
      <c r="AC55" s="93">
        <f t="shared" si="9"/>
        <v>1638</v>
      </c>
      <c r="AD55" s="94">
        <v>25.0</v>
      </c>
      <c r="AE55" s="203">
        <v>1200.0</v>
      </c>
      <c r="AF55" s="124">
        <v>0.6</v>
      </c>
      <c r="AG55" s="13">
        <f t="shared" si="10"/>
        <v>720</v>
      </c>
      <c r="AH55" s="13">
        <f t="shared" si="11"/>
        <v>900</v>
      </c>
      <c r="AI55" s="13">
        <f t="shared" si="12"/>
        <v>180</v>
      </c>
      <c r="AJ55" s="17">
        <f t="shared" si="13"/>
        <v>1440</v>
      </c>
      <c r="AK55" s="96">
        <v>53.0</v>
      </c>
      <c r="AL55" s="124">
        <v>2.5</v>
      </c>
      <c r="AM55" s="124">
        <v>22.0</v>
      </c>
      <c r="AN55" s="13">
        <f t="shared" si="14"/>
        <v>55</v>
      </c>
      <c r="AO55" s="13">
        <f t="shared" si="15"/>
        <v>1.175</v>
      </c>
      <c r="AP55" s="13">
        <f t="shared" si="16"/>
        <v>29.15</v>
      </c>
      <c r="AQ55" s="17">
        <f t="shared" si="17"/>
        <v>233.2</v>
      </c>
      <c r="AR55" s="97">
        <v>0.0</v>
      </c>
      <c r="AS55" s="200">
        <v>20000.0</v>
      </c>
      <c r="AT55" s="17">
        <f t="shared" si="18"/>
        <v>0</v>
      </c>
      <c r="AU55" s="97">
        <v>0.0</v>
      </c>
      <c r="AV55" s="124">
        <v>4500.0</v>
      </c>
      <c r="AW55" s="17">
        <f t="shared" si="19"/>
        <v>0</v>
      </c>
      <c r="AX55" s="96">
        <f t="shared" si="20"/>
        <v>13244.8</v>
      </c>
      <c r="AY55" s="204">
        <f t="shared" ref="AY55:AY62" si="25">(AW55+AT55+AQ55+AJ55+AC55+V55)/(N55)*100</f>
        <v>1505.090909</v>
      </c>
      <c r="AZ55" s="17">
        <f t="shared" si="22"/>
        <v>13024.8</v>
      </c>
      <c r="BA55" s="172"/>
    </row>
    <row r="56" ht="15.75" customHeight="1">
      <c r="A56" s="14"/>
      <c r="B56" s="31" t="s">
        <v>14</v>
      </c>
      <c r="C56" s="32" t="s">
        <v>271</v>
      </c>
      <c r="D56" s="32" t="s">
        <v>319</v>
      </c>
      <c r="E56" s="32" t="s">
        <v>590</v>
      </c>
      <c r="F56" s="32" t="s">
        <v>51</v>
      </c>
      <c r="G56" s="32" t="s">
        <v>322</v>
      </c>
      <c r="H56" s="88">
        <v>4.0</v>
      </c>
      <c r="I56" s="13">
        <v>900.0</v>
      </c>
      <c r="J56" s="13"/>
      <c r="K56" s="13"/>
      <c r="L56" s="13"/>
      <c r="M56" s="7">
        <v>1.0</v>
      </c>
      <c r="N56" s="60">
        <f t="shared" si="1"/>
        <v>900</v>
      </c>
      <c r="O56" s="189">
        <v>8.0</v>
      </c>
      <c r="P56" s="97">
        <v>0.0</v>
      </c>
      <c r="Q56" s="124">
        <v>12.0</v>
      </c>
      <c r="R56" s="124">
        <v>400.0</v>
      </c>
      <c r="S56" s="7">
        <f t="shared" si="2"/>
        <v>38400</v>
      </c>
      <c r="T56" s="7">
        <f t="shared" si="3"/>
        <v>12</v>
      </c>
      <c r="U56" s="60">
        <f t="shared" si="4"/>
        <v>4800</v>
      </c>
      <c r="V56" s="125">
        <f t="shared" si="5"/>
        <v>0</v>
      </c>
      <c r="W56" s="96">
        <v>35.0</v>
      </c>
      <c r="X56" s="124">
        <v>450.0</v>
      </c>
      <c r="Y56" s="89">
        <v>1.3</v>
      </c>
      <c r="Z56" s="13">
        <f t="shared" si="6"/>
        <v>585</v>
      </c>
      <c r="AA56" s="13">
        <f t="shared" si="7"/>
        <v>292.5</v>
      </c>
      <c r="AB56" s="7">
        <f t="shared" si="8"/>
        <v>204.75</v>
      </c>
      <c r="AC56" s="93">
        <f t="shared" si="9"/>
        <v>1638</v>
      </c>
      <c r="AD56" s="94">
        <v>25.0</v>
      </c>
      <c r="AE56" s="203">
        <v>1200.0</v>
      </c>
      <c r="AF56" s="124">
        <v>0.6</v>
      </c>
      <c r="AG56" s="13">
        <f t="shared" si="10"/>
        <v>720</v>
      </c>
      <c r="AH56" s="13">
        <f t="shared" si="11"/>
        <v>900</v>
      </c>
      <c r="AI56" s="13">
        <f t="shared" si="12"/>
        <v>180</v>
      </c>
      <c r="AJ56" s="17">
        <f t="shared" si="13"/>
        <v>1440</v>
      </c>
      <c r="AK56" s="96">
        <v>53.0</v>
      </c>
      <c r="AL56" s="124">
        <v>2.5</v>
      </c>
      <c r="AM56" s="124">
        <v>22.0</v>
      </c>
      <c r="AN56" s="13">
        <f t="shared" si="14"/>
        <v>55</v>
      </c>
      <c r="AO56" s="13">
        <f t="shared" si="15"/>
        <v>1.175</v>
      </c>
      <c r="AP56" s="13">
        <f t="shared" si="16"/>
        <v>29.15</v>
      </c>
      <c r="AQ56" s="17">
        <f t="shared" si="17"/>
        <v>233.2</v>
      </c>
      <c r="AR56" s="97">
        <v>0.0</v>
      </c>
      <c r="AS56" s="200">
        <v>20000.0</v>
      </c>
      <c r="AT56" s="17">
        <f t="shared" si="18"/>
        <v>0</v>
      </c>
      <c r="AU56" s="97">
        <v>0.0</v>
      </c>
      <c r="AV56" s="124">
        <v>4500.0</v>
      </c>
      <c r="AW56" s="17">
        <f t="shared" si="19"/>
        <v>0</v>
      </c>
      <c r="AX56" s="96">
        <f t="shared" si="20"/>
        <v>13244.8</v>
      </c>
      <c r="AY56" s="204">
        <f t="shared" si="25"/>
        <v>367.9111111</v>
      </c>
      <c r="AZ56" s="17">
        <f t="shared" si="22"/>
        <v>12344.8</v>
      </c>
      <c r="BA56" s="172"/>
    </row>
    <row r="57" ht="15.75" customHeight="1">
      <c r="A57" s="21"/>
      <c r="B57" s="180" t="s">
        <v>14</v>
      </c>
      <c r="C57" s="181" t="s">
        <v>271</v>
      </c>
      <c r="D57" s="181" t="s">
        <v>323</v>
      </c>
      <c r="E57" s="181" t="s">
        <v>324</v>
      </c>
      <c r="F57" s="181" t="s">
        <v>51</v>
      </c>
      <c r="G57" s="181" t="s">
        <v>327</v>
      </c>
      <c r="H57" s="108">
        <v>4.0</v>
      </c>
      <c r="I57" s="22">
        <v>115.0</v>
      </c>
      <c r="J57" s="22"/>
      <c r="K57" s="22"/>
      <c r="L57" s="22"/>
      <c r="M57" s="106">
        <v>1.0</v>
      </c>
      <c r="N57" s="110">
        <f t="shared" si="1"/>
        <v>115</v>
      </c>
      <c r="O57" s="187">
        <v>8.0</v>
      </c>
      <c r="P57" s="116">
        <v>0.0</v>
      </c>
      <c r="Q57" s="129">
        <v>12.0</v>
      </c>
      <c r="R57" s="129">
        <v>400.0</v>
      </c>
      <c r="S57" s="106">
        <f t="shared" si="2"/>
        <v>38400</v>
      </c>
      <c r="T57" s="106">
        <f t="shared" si="3"/>
        <v>12</v>
      </c>
      <c r="U57" s="110">
        <f t="shared" si="4"/>
        <v>4800</v>
      </c>
      <c r="V57" s="113">
        <f t="shared" si="5"/>
        <v>0</v>
      </c>
      <c r="W57" s="118">
        <v>35.0</v>
      </c>
      <c r="X57" s="129">
        <v>450.0</v>
      </c>
      <c r="Y57" s="111">
        <v>1.3</v>
      </c>
      <c r="Z57" s="22">
        <f t="shared" si="6"/>
        <v>585</v>
      </c>
      <c r="AA57" s="22">
        <f t="shared" si="7"/>
        <v>292.5</v>
      </c>
      <c r="AB57" s="106">
        <f t="shared" si="8"/>
        <v>204.75</v>
      </c>
      <c r="AC57" s="115">
        <f t="shared" si="9"/>
        <v>1638</v>
      </c>
      <c r="AD57" s="130">
        <v>25.0</v>
      </c>
      <c r="AE57" s="206">
        <v>1200.0</v>
      </c>
      <c r="AF57" s="129">
        <v>0.6</v>
      </c>
      <c r="AG57" s="22">
        <f t="shared" si="10"/>
        <v>720</v>
      </c>
      <c r="AH57" s="22">
        <f t="shared" si="11"/>
        <v>900</v>
      </c>
      <c r="AI57" s="22">
        <f t="shared" si="12"/>
        <v>180</v>
      </c>
      <c r="AJ57" s="25">
        <f t="shared" si="13"/>
        <v>1440</v>
      </c>
      <c r="AK57" s="118">
        <v>53.0</v>
      </c>
      <c r="AL57" s="129">
        <v>2.5</v>
      </c>
      <c r="AM57" s="129">
        <v>22.0</v>
      </c>
      <c r="AN57" s="22">
        <f t="shared" si="14"/>
        <v>55</v>
      </c>
      <c r="AO57" s="22">
        <f t="shared" si="15"/>
        <v>1.175</v>
      </c>
      <c r="AP57" s="22">
        <f t="shared" si="16"/>
        <v>29.15</v>
      </c>
      <c r="AQ57" s="25">
        <f t="shared" si="17"/>
        <v>233.2</v>
      </c>
      <c r="AR57" s="116">
        <v>0.0</v>
      </c>
      <c r="AS57" s="200">
        <v>20000.0</v>
      </c>
      <c r="AT57" s="25">
        <f t="shared" si="18"/>
        <v>0</v>
      </c>
      <c r="AU57" s="116">
        <v>0.0</v>
      </c>
      <c r="AV57" s="129">
        <v>4500.0</v>
      </c>
      <c r="AW57" s="25">
        <f t="shared" si="19"/>
        <v>0</v>
      </c>
      <c r="AX57" s="118">
        <f t="shared" si="20"/>
        <v>13244.8</v>
      </c>
      <c r="AY57" s="210">
        <f t="shared" si="25"/>
        <v>2879.304348</v>
      </c>
      <c r="AZ57" s="25">
        <f t="shared" si="22"/>
        <v>13129.8</v>
      </c>
      <c r="BA57" s="182"/>
    </row>
    <row r="58" ht="15.75" customHeight="1">
      <c r="A58" s="71" t="s">
        <v>328</v>
      </c>
      <c r="B58" s="168" t="s">
        <v>14</v>
      </c>
      <c r="C58" s="168" t="s">
        <v>392</v>
      </c>
      <c r="D58" s="169" t="s">
        <v>393</v>
      </c>
      <c r="E58" s="169" t="s">
        <v>394</v>
      </c>
      <c r="F58" s="169" t="s">
        <v>51</v>
      </c>
      <c r="G58" s="169" t="s">
        <v>559</v>
      </c>
      <c r="H58" s="76">
        <v>4.0</v>
      </c>
      <c r="I58" s="9">
        <v>950.0</v>
      </c>
      <c r="J58" s="9"/>
      <c r="K58" s="9"/>
      <c r="L58" s="9"/>
      <c r="M58" s="74">
        <v>1.0</v>
      </c>
      <c r="N58" s="78">
        <f t="shared" si="1"/>
        <v>950</v>
      </c>
      <c r="O58" s="188">
        <v>8.0</v>
      </c>
      <c r="P58" s="123">
        <v>0.0</v>
      </c>
      <c r="Q58" s="131">
        <v>12.0</v>
      </c>
      <c r="R58" s="131">
        <v>400.0</v>
      </c>
      <c r="S58" s="74">
        <f t="shared" si="2"/>
        <v>38400</v>
      </c>
      <c r="T58" s="74">
        <f t="shared" si="3"/>
        <v>12</v>
      </c>
      <c r="U58" s="78">
        <f t="shared" si="4"/>
        <v>4800</v>
      </c>
      <c r="V58" s="80">
        <f t="shared" si="5"/>
        <v>0</v>
      </c>
      <c r="W58" s="123">
        <v>0.0</v>
      </c>
      <c r="X58" s="131">
        <v>450.0</v>
      </c>
      <c r="Y58" s="89">
        <v>1.3</v>
      </c>
      <c r="Z58" s="9">
        <f t="shared" si="6"/>
        <v>585</v>
      </c>
      <c r="AA58" s="9">
        <f t="shared" si="7"/>
        <v>450</v>
      </c>
      <c r="AB58" s="74">
        <f t="shared" si="8"/>
        <v>0</v>
      </c>
      <c r="AC58" s="81">
        <f t="shared" si="9"/>
        <v>0</v>
      </c>
      <c r="AD58" s="85">
        <v>0.0</v>
      </c>
      <c r="AE58" s="203">
        <v>1200.0</v>
      </c>
      <c r="AF58" s="131">
        <v>0.6</v>
      </c>
      <c r="AG58" s="9">
        <f t="shared" si="10"/>
        <v>720</v>
      </c>
      <c r="AH58" s="9">
        <f t="shared" si="11"/>
        <v>1200</v>
      </c>
      <c r="AI58" s="9">
        <f t="shared" si="12"/>
        <v>0</v>
      </c>
      <c r="AJ58" s="12">
        <f t="shared" si="13"/>
        <v>0</v>
      </c>
      <c r="AK58" s="123">
        <v>0.0</v>
      </c>
      <c r="AL58" s="131">
        <v>2.5</v>
      </c>
      <c r="AM58" s="131">
        <v>22.0</v>
      </c>
      <c r="AN58" s="9">
        <f t="shared" si="14"/>
        <v>55</v>
      </c>
      <c r="AO58" s="9">
        <f t="shared" si="15"/>
        <v>2.5</v>
      </c>
      <c r="AP58" s="9">
        <f t="shared" si="16"/>
        <v>0</v>
      </c>
      <c r="AQ58" s="12">
        <f t="shared" si="17"/>
        <v>0</v>
      </c>
      <c r="AR58" s="123">
        <v>57.5</v>
      </c>
      <c r="AS58" s="211">
        <v>20000.0</v>
      </c>
      <c r="AT58" s="12">
        <f t="shared" si="18"/>
        <v>11500</v>
      </c>
      <c r="AU58" s="85">
        <v>0.0</v>
      </c>
      <c r="AV58" s="131">
        <v>4500.0</v>
      </c>
      <c r="AW58" s="12">
        <f t="shared" si="19"/>
        <v>0</v>
      </c>
      <c r="AX58" s="84">
        <f t="shared" si="20"/>
        <v>46000</v>
      </c>
      <c r="AY58" s="204">
        <f t="shared" si="25"/>
        <v>1210.526316</v>
      </c>
      <c r="AZ58" s="12">
        <f t="shared" si="22"/>
        <v>45050</v>
      </c>
      <c r="BA58" s="171"/>
    </row>
    <row r="59" ht="15.75" customHeight="1">
      <c r="A59" s="14"/>
      <c r="B59" s="31" t="s">
        <v>14</v>
      </c>
      <c r="C59" s="31" t="s">
        <v>238</v>
      </c>
      <c r="D59" s="32" t="s">
        <v>382</v>
      </c>
      <c r="E59" s="32" t="s">
        <v>628</v>
      </c>
      <c r="F59" s="32" t="s">
        <v>51</v>
      </c>
      <c r="G59" s="32" t="s">
        <v>591</v>
      </c>
      <c r="H59" s="88">
        <v>4.0</v>
      </c>
      <c r="I59" s="13">
        <v>30000.0</v>
      </c>
      <c r="J59" s="13"/>
      <c r="K59" s="13"/>
      <c r="L59" s="13"/>
      <c r="M59" s="7">
        <v>1.0</v>
      </c>
      <c r="N59" s="60">
        <f t="shared" si="1"/>
        <v>30000</v>
      </c>
      <c r="O59" s="189">
        <v>8.0</v>
      </c>
      <c r="P59" s="96">
        <v>22.0</v>
      </c>
      <c r="Q59" s="124">
        <v>12.0</v>
      </c>
      <c r="R59" s="124">
        <v>400.0</v>
      </c>
      <c r="S59" s="7">
        <f t="shared" si="2"/>
        <v>38400</v>
      </c>
      <c r="T59" s="7">
        <f t="shared" si="3"/>
        <v>14.64</v>
      </c>
      <c r="U59" s="60">
        <f t="shared" si="4"/>
        <v>5856</v>
      </c>
      <c r="V59" s="125">
        <f t="shared" si="5"/>
        <v>8448</v>
      </c>
      <c r="W59" s="97">
        <v>0.0</v>
      </c>
      <c r="X59" s="124">
        <v>450.0</v>
      </c>
      <c r="Y59" s="89">
        <v>1.3</v>
      </c>
      <c r="Z59" s="13">
        <f t="shared" si="6"/>
        <v>585</v>
      </c>
      <c r="AA59" s="13">
        <f t="shared" si="7"/>
        <v>450</v>
      </c>
      <c r="AB59" s="7">
        <f t="shared" si="8"/>
        <v>0</v>
      </c>
      <c r="AC59" s="93">
        <f t="shared" si="9"/>
        <v>0</v>
      </c>
      <c r="AD59" s="97">
        <v>0.0</v>
      </c>
      <c r="AE59" s="203">
        <v>1200.0</v>
      </c>
      <c r="AF59" s="124">
        <v>0.6</v>
      </c>
      <c r="AG59" s="13">
        <f t="shared" si="10"/>
        <v>720</v>
      </c>
      <c r="AH59" s="13">
        <f t="shared" si="11"/>
        <v>1200</v>
      </c>
      <c r="AI59" s="13">
        <f t="shared" si="12"/>
        <v>0</v>
      </c>
      <c r="AJ59" s="17">
        <f t="shared" si="13"/>
        <v>0</v>
      </c>
      <c r="AK59" s="96">
        <v>53.0</v>
      </c>
      <c r="AL59" s="124">
        <v>2.5</v>
      </c>
      <c r="AM59" s="124">
        <v>22.0</v>
      </c>
      <c r="AN59" s="13">
        <f t="shared" si="14"/>
        <v>55</v>
      </c>
      <c r="AO59" s="13">
        <f t="shared" si="15"/>
        <v>1.175</v>
      </c>
      <c r="AP59" s="13">
        <f t="shared" si="16"/>
        <v>29.15</v>
      </c>
      <c r="AQ59" s="17">
        <f t="shared" si="17"/>
        <v>233.2</v>
      </c>
      <c r="AR59" s="94">
        <v>57.5</v>
      </c>
      <c r="AS59" s="200">
        <v>20000.0</v>
      </c>
      <c r="AT59" s="17">
        <f t="shared" si="18"/>
        <v>11500</v>
      </c>
      <c r="AU59" s="97">
        <v>0.0</v>
      </c>
      <c r="AV59" s="124">
        <v>4500.0</v>
      </c>
      <c r="AW59" s="17">
        <f t="shared" si="19"/>
        <v>0</v>
      </c>
      <c r="AX59" s="96">
        <f t="shared" si="20"/>
        <v>80724.8</v>
      </c>
      <c r="AY59" s="204">
        <f t="shared" si="25"/>
        <v>67.27066667</v>
      </c>
      <c r="AZ59" s="17">
        <f t="shared" si="22"/>
        <v>50724.8</v>
      </c>
      <c r="BA59" s="172"/>
    </row>
    <row r="60" ht="15.75" customHeight="1">
      <c r="A60" s="14"/>
      <c r="B60" s="31" t="s">
        <v>14</v>
      </c>
      <c r="C60" s="31" t="s">
        <v>329</v>
      </c>
      <c r="D60" s="32" t="s">
        <v>567</v>
      </c>
      <c r="E60" s="32" t="s">
        <v>609</v>
      </c>
      <c r="F60" s="32" t="s">
        <v>51</v>
      </c>
      <c r="G60" s="32" t="s">
        <v>569</v>
      </c>
      <c r="H60" s="88">
        <v>4.0</v>
      </c>
      <c r="J60" s="13"/>
      <c r="K60" s="13">
        <v>415.0</v>
      </c>
      <c r="L60" s="7">
        <f>K60*12</f>
        <v>4980</v>
      </c>
      <c r="M60" s="7">
        <v>1.0</v>
      </c>
      <c r="N60" s="60">
        <f t="shared" si="1"/>
        <v>19920</v>
      </c>
      <c r="O60" s="189">
        <v>8.0</v>
      </c>
      <c r="P60" s="94">
        <v>0.0</v>
      </c>
      <c r="Q60" s="124">
        <v>12.0</v>
      </c>
      <c r="R60" s="124">
        <v>400.0</v>
      </c>
      <c r="S60" s="7">
        <f t="shared" si="2"/>
        <v>38400</v>
      </c>
      <c r="T60" s="7">
        <f t="shared" si="3"/>
        <v>12</v>
      </c>
      <c r="U60" s="60">
        <f t="shared" si="4"/>
        <v>4800</v>
      </c>
      <c r="V60" s="125">
        <f t="shared" si="5"/>
        <v>0</v>
      </c>
      <c r="W60" s="97">
        <v>0.0</v>
      </c>
      <c r="X60" s="124">
        <v>450.0</v>
      </c>
      <c r="Y60" s="89">
        <v>1.3</v>
      </c>
      <c r="Z60" s="13">
        <f t="shared" si="6"/>
        <v>585</v>
      </c>
      <c r="AA60" s="13">
        <f t="shared" si="7"/>
        <v>450</v>
      </c>
      <c r="AB60" s="7">
        <f t="shared" si="8"/>
        <v>0</v>
      </c>
      <c r="AC60" s="93">
        <f t="shared" si="9"/>
        <v>0</v>
      </c>
      <c r="AD60" s="97">
        <v>0.0</v>
      </c>
      <c r="AE60" s="203">
        <v>1200.0</v>
      </c>
      <c r="AF60" s="124">
        <v>0.6</v>
      </c>
      <c r="AG60" s="13">
        <f t="shared" si="10"/>
        <v>720</v>
      </c>
      <c r="AH60" s="13">
        <f t="shared" si="11"/>
        <v>1200</v>
      </c>
      <c r="AI60" s="13">
        <f t="shared" si="12"/>
        <v>0</v>
      </c>
      <c r="AJ60" s="17">
        <f t="shared" si="13"/>
        <v>0</v>
      </c>
      <c r="AK60" s="96">
        <v>53.0</v>
      </c>
      <c r="AL60" s="124">
        <v>2.5</v>
      </c>
      <c r="AM60" s="124">
        <v>22.0</v>
      </c>
      <c r="AN60" s="13">
        <f t="shared" si="14"/>
        <v>55</v>
      </c>
      <c r="AO60" s="13">
        <f t="shared" si="15"/>
        <v>1.175</v>
      </c>
      <c r="AP60" s="13">
        <f t="shared" si="16"/>
        <v>29.15</v>
      </c>
      <c r="AQ60" s="17">
        <f t="shared" si="17"/>
        <v>233.2</v>
      </c>
      <c r="AR60" s="94">
        <v>57.5</v>
      </c>
      <c r="AS60" s="200">
        <v>20000.0</v>
      </c>
      <c r="AT60" s="17">
        <f t="shared" si="18"/>
        <v>11500</v>
      </c>
      <c r="AU60" s="97">
        <v>0.0</v>
      </c>
      <c r="AV60" s="124">
        <v>4500.0</v>
      </c>
      <c r="AW60" s="17">
        <f t="shared" si="19"/>
        <v>0</v>
      </c>
      <c r="AX60" s="96">
        <f t="shared" si="20"/>
        <v>46932.8</v>
      </c>
      <c r="AY60" s="204">
        <f t="shared" si="25"/>
        <v>58.90160643</v>
      </c>
      <c r="AZ60" s="17">
        <f t="shared" si="22"/>
        <v>27012.8</v>
      </c>
      <c r="BA60" s="172"/>
    </row>
    <row r="61" ht="15.75" customHeight="1">
      <c r="A61" s="14"/>
      <c r="B61" s="31" t="s">
        <v>14</v>
      </c>
      <c r="C61" s="31" t="s">
        <v>629</v>
      </c>
      <c r="D61" s="32" t="s">
        <v>361</v>
      </c>
      <c r="E61" s="32" t="s">
        <v>564</v>
      </c>
      <c r="F61" s="32" t="s">
        <v>365</v>
      </c>
      <c r="G61" s="32" t="s">
        <v>366</v>
      </c>
      <c r="H61" s="88">
        <v>4.0</v>
      </c>
      <c r="I61" s="13">
        <v>80000.0</v>
      </c>
      <c r="J61" s="13"/>
      <c r="K61" s="13"/>
      <c r="L61" s="13"/>
      <c r="M61" s="7">
        <v>1.0</v>
      </c>
      <c r="N61" s="60">
        <f t="shared" si="1"/>
        <v>80000</v>
      </c>
      <c r="O61" s="189">
        <v>8.0</v>
      </c>
      <c r="P61" s="94">
        <v>0.0</v>
      </c>
      <c r="Q61" s="124">
        <v>12.0</v>
      </c>
      <c r="R61" s="124">
        <v>400.0</v>
      </c>
      <c r="S61" s="7">
        <f t="shared" si="2"/>
        <v>38400</v>
      </c>
      <c r="T61" s="7">
        <f t="shared" si="3"/>
        <v>12</v>
      </c>
      <c r="U61" s="60">
        <f t="shared" si="4"/>
        <v>4800</v>
      </c>
      <c r="V61" s="125">
        <f t="shared" si="5"/>
        <v>0</v>
      </c>
      <c r="W61" s="97">
        <v>0.0</v>
      </c>
      <c r="X61" s="124">
        <v>450.0</v>
      </c>
      <c r="Y61" s="89">
        <v>1.3</v>
      </c>
      <c r="Z61" s="13">
        <f t="shared" si="6"/>
        <v>585</v>
      </c>
      <c r="AA61" s="13">
        <f t="shared" si="7"/>
        <v>450</v>
      </c>
      <c r="AB61" s="7">
        <f t="shared" si="8"/>
        <v>0</v>
      </c>
      <c r="AC61" s="93">
        <f t="shared" si="9"/>
        <v>0</v>
      </c>
      <c r="AD61" s="97">
        <v>0.0</v>
      </c>
      <c r="AE61" s="203">
        <v>1200.0</v>
      </c>
      <c r="AF61" s="124">
        <v>0.6</v>
      </c>
      <c r="AG61" s="13">
        <f t="shared" si="10"/>
        <v>720</v>
      </c>
      <c r="AH61" s="13">
        <f t="shared" si="11"/>
        <v>1200</v>
      </c>
      <c r="AI61" s="13">
        <f t="shared" si="12"/>
        <v>0</v>
      </c>
      <c r="AJ61" s="17">
        <f t="shared" si="13"/>
        <v>0</v>
      </c>
      <c r="AK61" s="96">
        <v>53.0</v>
      </c>
      <c r="AL61" s="124">
        <v>2.5</v>
      </c>
      <c r="AM61" s="124">
        <v>22.0</v>
      </c>
      <c r="AN61" s="13">
        <f t="shared" si="14"/>
        <v>55</v>
      </c>
      <c r="AO61" s="13">
        <f t="shared" si="15"/>
        <v>1.175</v>
      </c>
      <c r="AP61" s="13">
        <f t="shared" si="16"/>
        <v>29.15</v>
      </c>
      <c r="AQ61" s="17">
        <f t="shared" si="17"/>
        <v>233.2</v>
      </c>
      <c r="AR61" s="94">
        <v>57.5</v>
      </c>
      <c r="AS61" s="200">
        <v>20000.0</v>
      </c>
      <c r="AT61" s="17">
        <f t="shared" si="18"/>
        <v>11500</v>
      </c>
      <c r="AU61" s="97">
        <v>0.0</v>
      </c>
      <c r="AV61" s="124">
        <v>4500.0</v>
      </c>
      <c r="AW61" s="17">
        <f t="shared" si="19"/>
        <v>0</v>
      </c>
      <c r="AX61" s="96">
        <f t="shared" si="20"/>
        <v>46932.8</v>
      </c>
      <c r="AY61" s="204">
        <f t="shared" si="25"/>
        <v>14.6665</v>
      </c>
      <c r="AZ61" s="17">
        <f t="shared" si="22"/>
        <v>-33067.2</v>
      </c>
      <c r="BA61" s="172"/>
    </row>
    <row r="62" ht="15.75" customHeight="1">
      <c r="A62" s="21"/>
      <c r="B62" s="180" t="s">
        <v>14</v>
      </c>
      <c r="C62" s="180" t="s">
        <v>329</v>
      </c>
      <c r="D62" s="181" t="s">
        <v>330</v>
      </c>
      <c r="E62" s="181" t="s">
        <v>554</v>
      </c>
      <c r="F62" s="181" t="s">
        <v>51</v>
      </c>
      <c r="G62" s="181" t="s">
        <v>555</v>
      </c>
      <c r="H62" s="108">
        <v>4.0</v>
      </c>
      <c r="I62" s="22">
        <v>18000.0</v>
      </c>
      <c r="J62" s="22"/>
      <c r="K62" s="22"/>
      <c r="L62" s="22"/>
      <c r="M62" s="106">
        <v>1.0</v>
      </c>
      <c r="N62" s="110">
        <f t="shared" si="1"/>
        <v>18000</v>
      </c>
      <c r="O62" s="187">
        <v>8.0</v>
      </c>
      <c r="P62" s="130">
        <v>0.0</v>
      </c>
      <c r="Q62" s="136">
        <v>12.0</v>
      </c>
      <c r="R62" s="136">
        <v>400.0</v>
      </c>
      <c r="S62" s="106">
        <f t="shared" si="2"/>
        <v>38400</v>
      </c>
      <c r="T62" s="106">
        <f t="shared" si="3"/>
        <v>12</v>
      </c>
      <c r="U62" s="110">
        <f t="shared" si="4"/>
        <v>4800</v>
      </c>
      <c r="V62" s="113">
        <f t="shared" si="5"/>
        <v>0</v>
      </c>
      <c r="W62" s="116">
        <v>0.0</v>
      </c>
      <c r="X62" s="136">
        <v>450.0</v>
      </c>
      <c r="Y62" s="111">
        <v>1.3</v>
      </c>
      <c r="Z62" s="22">
        <f t="shared" si="6"/>
        <v>585</v>
      </c>
      <c r="AA62" s="22">
        <f t="shared" si="7"/>
        <v>450</v>
      </c>
      <c r="AB62" s="106">
        <f t="shared" si="8"/>
        <v>0</v>
      </c>
      <c r="AC62" s="115">
        <f t="shared" si="9"/>
        <v>0</v>
      </c>
      <c r="AD62" s="116">
        <v>0.0</v>
      </c>
      <c r="AE62" s="206">
        <v>1200.0</v>
      </c>
      <c r="AF62" s="136">
        <v>0.6</v>
      </c>
      <c r="AG62" s="22">
        <f t="shared" si="10"/>
        <v>720</v>
      </c>
      <c r="AH62" s="22">
        <f t="shared" si="11"/>
        <v>1200</v>
      </c>
      <c r="AI62" s="22">
        <f t="shared" si="12"/>
        <v>0</v>
      </c>
      <c r="AJ62" s="25">
        <f t="shared" si="13"/>
        <v>0</v>
      </c>
      <c r="AK62" s="118">
        <v>53.0</v>
      </c>
      <c r="AL62" s="136">
        <v>2.5</v>
      </c>
      <c r="AM62" s="136">
        <v>22.0</v>
      </c>
      <c r="AN62" s="22">
        <f t="shared" si="14"/>
        <v>55</v>
      </c>
      <c r="AO62" s="22">
        <f t="shared" si="15"/>
        <v>1.175</v>
      </c>
      <c r="AP62" s="22">
        <f t="shared" si="16"/>
        <v>29.15</v>
      </c>
      <c r="AQ62" s="25">
        <f t="shared" si="17"/>
        <v>233.2</v>
      </c>
      <c r="AR62" s="130">
        <v>57.5</v>
      </c>
      <c r="AS62" s="208">
        <v>20000.0</v>
      </c>
      <c r="AT62" s="25">
        <f t="shared" si="18"/>
        <v>11500</v>
      </c>
      <c r="AU62" s="116">
        <v>0.0</v>
      </c>
      <c r="AV62" s="136">
        <v>4500.0</v>
      </c>
      <c r="AW62" s="25">
        <f t="shared" si="19"/>
        <v>0</v>
      </c>
      <c r="AX62" s="118">
        <f t="shared" si="20"/>
        <v>46932.8</v>
      </c>
      <c r="AY62" s="210">
        <f t="shared" si="25"/>
        <v>65.18444444</v>
      </c>
      <c r="AZ62" s="25">
        <f t="shared" si="22"/>
        <v>28932.8</v>
      </c>
      <c r="BA62" s="182"/>
    </row>
    <row r="63" ht="15.75" customHeight="1">
      <c r="A63" s="33"/>
      <c r="B63" s="31"/>
      <c r="C63" s="31"/>
      <c r="D63" s="16"/>
      <c r="E63" s="16"/>
      <c r="F63" s="16"/>
      <c r="G63" s="16"/>
    </row>
    <row r="64" ht="15.75" customHeight="1">
      <c r="A64" s="33"/>
      <c r="B64" s="31"/>
      <c r="C64" s="31"/>
      <c r="D64" s="16"/>
      <c r="E64" s="16"/>
      <c r="F64" s="16"/>
      <c r="G64" s="16"/>
    </row>
    <row r="65" ht="15.75" customHeight="1">
      <c r="A65" s="33"/>
      <c r="B65" s="31"/>
      <c r="C65" s="31"/>
      <c r="D65" s="16"/>
      <c r="E65" s="16"/>
      <c r="F65" s="16"/>
      <c r="G65" s="16"/>
    </row>
    <row r="66" ht="15.75" customHeight="1">
      <c r="A66" s="33"/>
      <c r="B66" s="31"/>
      <c r="C66" s="31"/>
      <c r="D66" s="16"/>
      <c r="E66" s="16"/>
      <c r="F66" s="16"/>
      <c r="G66" s="16"/>
    </row>
    <row r="67" ht="15.75" customHeight="1">
      <c r="A67" s="33"/>
      <c r="B67" s="31"/>
      <c r="C67" s="31"/>
      <c r="D67" s="16"/>
      <c r="E67" s="16"/>
      <c r="F67" s="16"/>
      <c r="G67" s="16"/>
    </row>
    <row r="68" ht="15.75" customHeight="1">
      <c r="A68" s="33"/>
      <c r="B68" s="31"/>
      <c r="C68" s="31"/>
      <c r="D68" s="16"/>
      <c r="E68" s="16"/>
      <c r="F68" s="16"/>
      <c r="G68" s="16"/>
    </row>
    <row r="69" ht="15.75" customHeight="1">
      <c r="B69" s="16"/>
      <c r="C69" s="16"/>
      <c r="D69" s="16"/>
      <c r="E69" s="16"/>
      <c r="F69" s="16"/>
      <c r="G69" s="16"/>
    </row>
    <row r="70" ht="15.75" customHeight="1">
      <c r="B70" s="16"/>
      <c r="C70" s="16"/>
      <c r="D70" s="16"/>
      <c r="E70" s="16"/>
      <c r="F70" s="16"/>
      <c r="G70" s="16"/>
    </row>
    <row r="71" ht="15.75" customHeight="1">
      <c r="B71" s="16"/>
      <c r="C71" s="16"/>
      <c r="D71" s="16"/>
      <c r="E71" s="16"/>
      <c r="F71" s="16"/>
      <c r="G71" s="16"/>
    </row>
    <row r="72" ht="15.75" customHeight="1">
      <c r="B72" s="16"/>
      <c r="C72" s="16"/>
      <c r="D72" s="16"/>
      <c r="E72" s="16"/>
      <c r="F72" s="16"/>
      <c r="G72" s="16"/>
    </row>
    <row r="73" ht="15.75" customHeight="1">
      <c r="B73" s="16"/>
      <c r="C73" s="16"/>
      <c r="D73" s="16"/>
      <c r="E73" s="16"/>
      <c r="F73" s="16"/>
      <c r="G73" s="16"/>
    </row>
    <row r="74" ht="15.75" customHeight="1">
      <c r="B74" s="16"/>
      <c r="C74" s="16"/>
      <c r="D74" s="16"/>
      <c r="E74" s="16"/>
      <c r="F74" s="16"/>
      <c r="G74" s="16"/>
    </row>
    <row r="75" ht="15.75" customHeight="1">
      <c r="B75" s="16"/>
      <c r="C75" s="16"/>
      <c r="D75" s="16"/>
      <c r="E75" s="16"/>
      <c r="F75" s="16"/>
      <c r="G75" s="16"/>
    </row>
    <row r="76" ht="15.75" customHeight="1">
      <c r="B76" s="16"/>
      <c r="C76" s="16"/>
      <c r="D76" s="16"/>
      <c r="E76" s="16"/>
      <c r="F76" s="16"/>
      <c r="G76" s="16"/>
    </row>
    <row r="77" ht="15.75" customHeight="1">
      <c r="B77" s="16"/>
      <c r="C77" s="16"/>
      <c r="D77" s="16"/>
      <c r="E77" s="16"/>
      <c r="F77" s="16"/>
      <c r="G77" s="16"/>
    </row>
    <row r="78" ht="15.75" customHeight="1">
      <c r="B78" s="16"/>
      <c r="C78" s="16"/>
      <c r="D78" s="16"/>
      <c r="E78" s="16"/>
      <c r="F78" s="16"/>
      <c r="G78" s="16"/>
    </row>
    <row r="79" ht="15.75" customHeight="1">
      <c r="B79" s="16"/>
      <c r="C79" s="16"/>
      <c r="D79" s="16"/>
      <c r="E79" s="16"/>
      <c r="F79" s="16"/>
      <c r="G79" s="16"/>
    </row>
    <row r="80" ht="15.75" customHeight="1">
      <c r="B80" s="16"/>
      <c r="C80" s="16"/>
      <c r="D80" s="16"/>
      <c r="E80" s="16"/>
      <c r="F80" s="16"/>
      <c r="G80" s="16"/>
    </row>
    <row r="81" ht="15.75" customHeight="1">
      <c r="B81" s="16"/>
      <c r="C81" s="16"/>
      <c r="D81" s="16"/>
      <c r="E81" s="16"/>
      <c r="F81" s="16"/>
      <c r="G81" s="16"/>
    </row>
    <row r="82" ht="15.75" customHeight="1">
      <c r="B82" s="16"/>
      <c r="C82" s="16"/>
      <c r="D82" s="16"/>
      <c r="E82" s="16"/>
      <c r="F82" s="16"/>
      <c r="G82" s="16"/>
    </row>
    <row r="83" ht="15.75" customHeight="1">
      <c r="B83" s="16"/>
      <c r="C83" s="16"/>
      <c r="D83" s="16"/>
      <c r="E83" s="16"/>
      <c r="F83" s="16"/>
      <c r="G83" s="16"/>
    </row>
    <row r="84" ht="15.75" customHeight="1">
      <c r="B84" s="16"/>
      <c r="C84" s="16"/>
      <c r="D84" s="16"/>
      <c r="E84" s="16"/>
      <c r="F84" s="16"/>
      <c r="G84" s="16"/>
    </row>
    <row r="85" ht="15.75" customHeight="1">
      <c r="B85" s="16"/>
      <c r="C85" s="16"/>
      <c r="D85" s="16"/>
      <c r="E85" s="16"/>
      <c r="F85" s="16"/>
      <c r="G85" s="16"/>
    </row>
    <row r="86" ht="15.75" customHeight="1">
      <c r="B86" s="16"/>
      <c r="C86" s="16"/>
      <c r="D86" s="16"/>
      <c r="E86" s="16"/>
      <c r="F86" s="16"/>
      <c r="G86" s="16"/>
    </row>
    <row r="87" ht="15.75" customHeight="1">
      <c r="B87" s="16"/>
      <c r="C87" s="16"/>
      <c r="D87" s="16"/>
      <c r="E87" s="16"/>
      <c r="F87" s="16"/>
      <c r="G87" s="16"/>
    </row>
    <row r="88" ht="15.75" customHeight="1">
      <c r="B88" s="16"/>
      <c r="C88" s="16"/>
      <c r="D88" s="16"/>
      <c r="E88" s="16"/>
      <c r="F88" s="16"/>
      <c r="G88" s="16"/>
    </row>
    <row r="89" ht="15.75" customHeight="1">
      <c r="B89" s="16"/>
      <c r="C89" s="16"/>
      <c r="D89" s="16"/>
      <c r="E89" s="16"/>
      <c r="F89" s="16"/>
      <c r="G89" s="16"/>
    </row>
    <row r="90" ht="15.75" customHeight="1">
      <c r="B90" s="16"/>
      <c r="C90" s="16"/>
      <c r="D90" s="16"/>
      <c r="E90" s="16"/>
      <c r="F90" s="16"/>
      <c r="G90" s="16"/>
    </row>
    <row r="91" ht="15.75" customHeight="1">
      <c r="B91" s="16"/>
      <c r="C91" s="16"/>
      <c r="D91" s="16"/>
      <c r="E91" s="16"/>
      <c r="F91" s="16"/>
      <c r="G91" s="16"/>
    </row>
    <row r="92" ht="15.75" customHeight="1">
      <c r="B92" s="16"/>
      <c r="C92" s="16"/>
      <c r="D92" s="16"/>
      <c r="E92" s="16"/>
      <c r="F92" s="16"/>
      <c r="G92" s="16"/>
    </row>
    <row r="93" ht="15.75" customHeight="1">
      <c r="B93" s="16"/>
      <c r="C93" s="16"/>
      <c r="D93" s="16"/>
      <c r="E93" s="16"/>
      <c r="F93" s="16"/>
      <c r="G93" s="16"/>
    </row>
    <row r="94" ht="15.75" customHeight="1">
      <c r="B94" s="16"/>
      <c r="C94" s="16"/>
      <c r="D94" s="16"/>
      <c r="E94" s="16"/>
      <c r="F94" s="16"/>
      <c r="G94" s="16"/>
    </row>
    <row r="95" ht="15.75" customHeight="1">
      <c r="B95" s="16"/>
      <c r="C95" s="16"/>
      <c r="D95" s="16"/>
      <c r="E95" s="16"/>
      <c r="F95" s="16"/>
      <c r="G95" s="16"/>
    </row>
    <row r="96" ht="15.75" customHeight="1">
      <c r="B96" s="16"/>
      <c r="C96" s="16"/>
      <c r="D96" s="16"/>
      <c r="E96" s="16"/>
      <c r="F96" s="16"/>
      <c r="G96" s="16"/>
    </row>
    <row r="97" ht="15.75" customHeight="1">
      <c r="B97" s="16"/>
      <c r="C97" s="16"/>
      <c r="D97" s="16"/>
      <c r="E97" s="16"/>
      <c r="F97" s="16"/>
      <c r="G97" s="16"/>
    </row>
    <row r="98" ht="15.75" customHeight="1">
      <c r="B98" s="16"/>
      <c r="C98" s="16"/>
      <c r="D98" s="16"/>
      <c r="E98" s="16"/>
      <c r="F98" s="16"/>
      <c r="G98" s="16"/>
    </row>
    <row r="99" ht="15.75" customHeight="1">
      <c r="B99" s="16"/>
      <c r="C99" s="16"/>
      <c r="D99" s="16"/>
      <c r="E99" s="16"/>
      <c r="F99" s="16"/>
      <c r="G99" s="16"/>
    </row>
    <row r="100" ht="15.75" customHeight="1">
      <c r="B100" s="16"/>
      <c r="C100" s="16"/>
      <c r="D100" s="16"/>
      <c r="E100" s="16"/>
      <c r="F100" s="16"/>
      <c r="G100" s="16"/>
    </row>
    <row r="101" ht="15.75" customHeight="1">
      <c r="B101" s="16"/>
      <c r="C101" s="16"/>
      <c r="D101" s="16"/>
      <c r="E101" s="16"/>
      <c r="F101" s="16"/>
      <c r="G101" s="16"/>
    </row>
    <row r="102" ht="15.75" customHeight="1">
      <c r="B102" s="16"/>
      <c r="C102" s="16"/>
      <c r="D102" s="16"/>
      <c r="E102" s="16"/>
      <c r="F102" s="16"/>
      <c r="G102" s="16"/>
    </row>
    <row r="103" ht="15.75" customHeight="1">
      <c r="B103" s="16"/>
      <c r="C103" s="16"/>
      <c r="D103" s="16"/>
      <c r="E103" s="16"/>
      <c r="F103" s="16"/>
      <c r="G103" s="16"/>
    </row>
    <row r="104" ht="15.75" customHeight="1">
      <c r="B104" s="16"/>
      <c r="C104" s="16"/>
      <c r="D104" s="16"/>
      <c r="E104" s="16"/>
      <c r="F104" s="16"/>
      <c r="G104" s="16"/>
    </row>
    <row r="105" ht="15.75" customHeight="1">
      <c r="B105" s="16"/>
      <c r="C105" s="16"/>
      <c r="D105" s="16"/>
      <c r="E105" s="16"/>
      <c r="F105" s="16"/>
      <c r="G105" s="16"/>
    </row>
    <row r="106" ht="15.75" customHeight="1">
      <c r="B106" s="16"/>
      <c r="C106" s="16"/>
      <c r="D106" s="16"/>
      <c r="E106" s="16"/>
      <c r="F106" s="16"/>
      <c r="G106" s="16"/>
    </row>
    <row r="107" ht="15.75" customHeight="1">
      <c r="B107" s="16"/>
      <c r="C107" s="16"/>
      <c r="D107" s="16"/>
      <c r="E107" s="16"/>
      <c r="F107" s="16"/>
      <c r="G107" s="16"/>
    </row>
    <row r="108" ht="15.75" customHeight="1">
      <c r="B108" s="16"/>
      <c r="C108" s="16"/>
      <c r="D108" s="16"/>
      <c r="E108" s="16"/>
      <c r="F108" s="16"/>
      <c r="G108" s="16"/>
    </row>
    <row r="109" ht="15.75" customHeight="1">
      <c r="B109" s="16"/>
      <c r="C109" s="16"/>
      <c r="D109" s="16"/>
      <c r="E109" s="16"/>
      <c r="F109" s="16"/>
      <c r="G109" s="16"/>
    </row>
    <row r="110" ht="15.75" customHeight="1">
      <c r="B110" s="16"/>
      <c r="C110" s="16"/>
      <c r="D110" s="16"/>
      <c r="E110" s="16"/>
      <c r="F110" s="16"/>
      <c r="G110" s="16"/>
    </row>
    <row r="111" ht="15.75" customHeight="1">
      <c r="B111" s="16"/>
      <c r="C111" s="16"/>
      <c r="D111" s="16"/>
      <c r="E111" s="16"/>
      <c r="F111" s="16"/>
      <c r="G111" s="16"/>
    </row>
    <row r="112" ht="15.75" customHeight="1">
      <c r="B112" s="16"/>
      <c r="C112" s="16"/>
      <c r="D112" s="16"/>
      <c r="E112" s="16"/>
      <c r="F112" s="16"/>
      <c r="G112" s="16"/>
    </row>
    <row r="113" ht="15.75" customHeight="1">
      <c r="B113" s="16"/>
      <c r="C113" s="16"/>
      <c r="D113" s="16"/>
      <c r="E113" s="16"/>
      <c r="F113" s="16"/>
      <c r="G113" s="16"/>
    </row>
    <row r="114" ht="15.75" customHeight="1">
      <c r="B114" s="16"/>
      <c r="C114" s="16"/>
      <c r="D114" s="16"/>
      <c r="E114" s="16"/>
      <c r="F114" s="16"/>
      <c r="G114" s="16"/>
    </row>
    <row r="115" ht="15.75" customHeight="1">
      <c r="B115" s="16"/>
      <c r="C115" s="16"/>
      <c r="D115" s="16"/>
      <c r="E115" s="16"/>
      <c r="F115" s="16"/>
      <c r="G115" s="16"/>
    </row>
    <row r="116" ht="15.75" customHeight="1">
      <c r="B116" s="16"/>
      <c r="C116" s="16"/>
      <c r="D116" s="16"/>
      <c r="E116" s="16"/>
      <c r="F116" s="16"/>
      <c r="G116" s="16"/>
    </row>
    <row r="117" ht="15.75" customHeight="1">
      <c r="B117" s="16"/>
      <c r="C117" s="16"/>
      <c r="D117" s="16"/>
      <c r="E117" s="16"/>
      <c r="F117" s="16"/>
      <c r="G117" s="16"/>
    </row>
    <row r="118" ht="15.75" customHeight="1">
      <c r="B118" s="16"/>
      <c r="C118" s="16"/>
      <c r="D118" s="16"/>
      <c r="E118" s="16"/>
      <c r="F118" s="16"/>
      <c r="G118" s="16"/>
    </row>
    <row r="119" ht="15.75" customHeight="1">
      <c r="B119" s="16"/>
      <c r="C119" s="16"/>
      <c r="D119" s="16"/>
      <c r="E119" s="16"/>
      <c r="F119" s="16"/>
      <c r="G119" s="16"/>
    </row>
    <row r="120" ht="15.75" customHeight="1">
      <c r="B120" s="16"/>
      <c r="C120" s="16"/>
      <c r="D120" s="16"/>
      <c r="E120" s="16"/>
      <c r="F120" s="16"/>
      <c r="G120" s="16"/>
    </row>
    <row r="121" ht="15.75" customHeight="1">
      <c r="B121" s="16"/>
      <c r="C121" s="16"/>
      <c r="D121" s="16"/>
      <c r="E121" s="16"/>
      <c r="F121" s="16"/>
      <c r="G121" s="16"/>
    </row>
    <row r="122" ht="15.75" customHeight="1">
      <c r="B122" s="16"/>
      <c r="C122" s="16"/>
      <c r="D122" s="16"/>
      <c r="E122" s="16"/>
      <c r="F122" s="16"/>
      <c r="G122" s="16"/>
    </row>
    <row r="123" ht="15.75" customHeight="1">
      <c r="B123" s="16"/>
      <c r="C123" s="16"/>
      <c r="D123" s="16"/>
      <c r="E123" s="16"/>
      <c r="F123" s="16"/>
      <c r="G123" s="16"/>
    </row>
    <row r="124" ht="15.75" customHeight="1">
      <c r="B124" s="16"/>
      <c r="C124" s="16"/>
      <c r="D124" s="16"/>
      <c r="E124" s="16"/>
      <c r="F124" s="16"/>
      <c r="G124" s="16"/>
    </row>
    <row r="125" ht="15.75" customHeight="1">
      <c r="B125" s="16"/>
      <c r="C125" s="16"/>
      <c r="D125" s="16"/>
      <c r="E125" s="16"/>
      <c r="F125" s="16"/>
      <c r="G125" s="16"/>
    </row>
    <row r="126" ht="15.75" customHeight="1">
      <c r="B126" s="16"/>
      <c r="C126" s="16"/>
      <c r="D126" s="16"/>
      <c r="E126" s="16"/>
      <c r="F126" s="16"/>
      <c r="G126" s="16"/>
    </row>
    <row r="127" ht="15.75" customHeight="1">
      <c r="B127" s="16"/>
      <c r="C127" s="16"/>
      <c r="D127" s="16"/>
      <c r="E127" s="16"/>
      <c r="F127" s="16"/>
      <c r="G127" s="16"/>
    </row>
    <row r="128" ht="15.75" customHeight="1">
      <c r="B128" s="16"/>
      <c r="C128" s="16"/>
      <c r="D128" s="16"/>
      <c r="E128" s="16"/>
      <c r="F128" s="16"/>
      <c r="G128" s="16"/>
    </row>
    <row r="129" ht="15.75" customHeight="1">
      <c r="B129" s="16"/>
      <c r="C129" s="16"/>
      <c r="D129" s="16"/>
      <c r="E129" s="16"/>
      <c r="F129" s="16"/>
      <c r="G129" s="16"/>
    </row>
    <row r="130" ht="15.75" customHeight="1">
      <c r="B130" s="16"/>
      <c r="C130" s="16"/>
      <c r="D130" s="16"/>
      <c r="E130" s="16"/>
      <c r="F130" s="16"/>
      <c r="G130" s="16"/>
    </row>
    <row r="131" ht="15.75" customHeight="1">
      <c r="B131" s="16"/>
      <c r="C131" s="16"/>
      <c r="D131" s="16"/>
      <c r="E131" s="16"/>
      <c r="F131" s="16"/>
      <c r="G131" s="16"/>
    </row>
    <row r="132" ht="15.75" customHeight="1">
      <c r="B132" s="16"/>
      <c r="C132" s="16"/>
      <c r="D132" s="16"/>
      <c r="E132" s="16"/>
      <c r="F132" s="16"/>
      <c r="G132" s="16"/>
    </row>
    <row r="133" ht="15.75" customHeight="1">
      <c r="B133" s="16"/>
      <c r="C133" s="16"/>
      <c r="D133" s="16"/>
      <c r="E133" s="16"/>
      <c r="F133" s="16"/>
      <c r="G133" s="16"/>
    </row>
    <row r="134" ht="15.75" customHeight="1">
      <c r="B134" s="16"/>
      <c r="C134" s="16"/>
      <c r="D134" s="16"/>
      <c r="E134" s="16"/>
      <c r="F134" s="16"/>
      <c r="G134" s="16"/>
    </row>
    <row r="135" ht="15.75" customHeight="1">
      <c r="B135" s="16"/>
      <c r="C135" s="16"/>
      <c r="D135" s="16"/>
      <c r="E135" s="16"/>
      <c r="F135" s="16"/>
      <c r="G135" s="16"/>
    </row>
    <row r="136" ht="15.75" customHeight="1">
      <c r="B136" s="16"/>
      <c r="C136" s="16"/>
      <c r="D136" s="16"/>
      <c r="E136" s="16"/>
      <c r="F136" s="16"/>
      <c r="G136" s="16"/>
    </row>
    <row r="137" ht="15.75" customHeight="1">
      <c r="B137" s="16"/>
      <c r="C137" s="16"/>
      <c r="D137" s="16"/>
      <c r="E137" s="16"/>
      <c r="F137" s="16"/>
      <c r="G137" s="16"/>
    </row>
    <row r="138" ht="15.75" customHeight="1">
      <c r="B138" s="16"/>
      <c r="C138" s="16"/>
      <c r="D138" s="16"/>
      <c r="E138" s="16"/>
      <c r="F138" s="16"/>
      <c r="G138" s="16"/>
    </row>
    <row r="139" ht="15.75" customHeight="1">
      <c r="B139" s="16"/>
      <c r="C139" s="16"/>
      <c r="D139" s="16"/>
      <c r="E139" s="16"/>
      <c r="F139" s="16"/>
      <c r="G139" s="16"/>
    </row>
    <row r="140" ht="15.75" customHeight="1">
      <c r="B140" s="16"/>
      <c r="C140" s="16"/>
      <c r="D140" s="16"/>
      <c r="E140" s="16"/>
      <c r="F140" s="16"/>
      <c r="G140" s="16"/>
    </row>
    <row r="141" ht="15.75" customHeight="1">
      <c r="B141" s="16"/>
      <c r="C141" s="16"/>
      <c r="D141" s="16"/>
      <c r="E141" s="16"/>
      <c r="F141" s="16"/>
      <c r="G141" s="16"/>
    </row>
    <row r="142" ht="15.75" customHeight="1">
      <c r="B142" s="16"/>
      <c r="C142" s="16"/>
      <c r="D142" s="16"/>
      <c r="E142" s="16"/>
      <c r="F142" s="16"/>
      <c r="G142" s="16"/>
    </row>
    <row r="143" ht="15.75" customHeight="1">
      <c r="B143" s="16"/>
      <c r="C143" s="16"/>
      <c r="D143" s="16"/>
      <c r="E143" s="16"/>
      <c r="F143" s="16"/>
      <c r="G143" s="16"/>
    </row>
    <row r="144" ht="15.75" customHeight="1">
      <c r="B144" s="16"/>
      <c r="C144" s="16"/>
      <c r="D144" s="16"/>
      <c r="E144" s="16"/>
      <c r="F144" s="16"/>
      <c r="G144" s="16"/>
    </row>
    <row r="145" ht="15.75" customHeight="1">
      <c r="B145" s="16"/>
      <c r="C145" s="16"/>
      <c r="D145" s="16"/>
      <c r="E145" s="16"/>
      <c r="F145" s="16"/>
      <c r="G145" s="16"/>
    </row>
    <row r="146" ht="15.75" customHeight="1">
      <c r="B146" s="16"/>
      <c r="C146" s="16"/>
      <c r="D146" s="16"/>
      <c r="E146" s="16"/>
      <c r="F146" s="16"/>
      <c r="G146" s="16"/>
    </row>
    <row r="147" ht="15.75" customHeight="1">
      <c r="B147" s="16"/>
      <c r="C147" s="16"/>
      <c r="D147" s="16"/>
      <c r="E147" s="16"/>
      <c r="F147" s="16"/>
      <c r="G147" s="16"/>
    </row>
    <row r="148" ht="15.75" customHeight="1">
      <c r="B148" s="16"/>
      <c r="C148" s="16"/>
      <c r="D148" s="16"/>
      <c r="E148" s="16"/>
      <c r="F148" s="16"/>
      <c r="G148" s="16"/>
    </row>
    <row r="149" ht="15.75" customHeight="1">
      <c r="B149" s="16"/>
      <c r="C149" s="16"/>
      <c r="D149" s="16"/>
      <c r="E149" s="16"/>
      <c r="F149" s="16"/>
      <c r="G149" s="16"/>
    </row>
    <row r="150" ht="15.75" customHeight="1">
      <c r="B150" s="16"/>
      <c r="C150" s="16"/>
      <c r="D150" s="16"/>
      <c r="E150" s="16"/>
      <c r="F150" s="16"/>
      <c r="G150" s="16"/>
    </row>
    <row r="151" ht="15.75" customHeight="1">
      <c r="B151" s="16"/>
      <c r="C151" s="16"/>
      <c r="D151" s="16"/>
      <c r="E151" s="16"/>
      <c r="F151" s="16"/>
      <c r="G151" s="16"/>
    </row>
    <row r="152" ht="15.75" customHeight="1">
      <c r="B152" s="16"/>
      <c r="C152" s="16"/>
      <c r="D152" s="16"/>
      <c r="E152" s="16"/>
      <c r="F152" s="16"/>
      <c r="G152" s="16"/>
    </row>
    <row r="153" ht="15.75" customHeight="1">
      <c r="B153" s="16"/>
      <c r="C153" s="16"/>
      <c r="D153" s="16"/>
      <c r="E153" s="16"/>
      <c r="F153" s="16"/>
      <c r="G153" s="16"/>
    </row>
    <row r="154" ht="15.75" customHeight="1">
      <c r="B154" s="16"/>
      <c r="C154" s="16"/>
      <c r="D154" s="16"/>
      <c r="E154" s="16"/>
      <c r="F154" s="16"/>
      <c r="G154" s="16"/>
    </row>
    <row r="155" ht="15.75" customHeight="1">
      <c r="B155" s="16"/>
      <c r="C155" s="16"/>
      <c r="D155" s="16"/>
      <c r="E155" s="16"/>
      <c r="F155" s="16"/>
      <c r="G155" s="16"/>
    </row>
    <row r="156" ht="15.75" customHeight="1">
      <c r="B156" s="16"/>
      <c r="C156" s="16"/>
      <c r="D156" s="16"/>
      <c r="E156" s="16"/>
      <c r="F156" s="16"/>
      <c r="G156" s="16"/>
    </row>
    <row r="157" ht="15.75" customHeight="1">
      <c r="B157" s="16"/>
      <c r="C157" s="16"/>
      <c r="D157" s="16"/>
      <c r="E157" s="16"/>
      <c r="F157" s="16"/>
      <c r="G157" s="16"/>
    </row>
    <row r="158" ht="15.75" customHeight="1">
      <c r="B158" s="16"/>
      <c r="C158" s="16"/>
      <c r="D158" s="16"/>
      <c r="E158" s="16"/>
      <c r="F158" s="16"/>
      <c r="G158" s="16"/>
    </row>
    <row r="159" ht="15.75" customHeight="1">
      <c r="B159" s="16"/>
      <c r="C159" s="16"/>
      <c r="D159" s="16"/>
      <c r="E159" s="16"/>
      <c r="F159" s="16"/>
      <c r="G159" s="16"/>
    </row>
    <row r="160" ht="15.75" customHeight="1">
      <c r="B160" s="16"/>
      <c r="C160" s="16"/>
      <c r="D160" s="16"/>
      <c r="E160" s="16"/>
      <c r="F160" s="16"/>
      <c r="G160" s="16"/>
    </row>
    <row r="161" ht="15.75" customHeight="1">
      <c r="B161" s="16"/>
      <c r="C161" s="16"/>
      <c r="D161" s="16"/>
      <c r="E161" s="16"/>
      <c r="F161" s="16"/>
      <c r="G161" s="16"/>
    </row>
    <row r="162" ht="15.75" customHeight="1">
      <c r="B162" s="16"/>
      <c r="C162" s="16"/>
      <c r="D162" s="16"/>
      <c r="E162" s="16"/>
      <c r="F162" s="16"/>
      <c r="G162" s="16"/>
    </row>
    <row r="163" ht="15.75" customHeight="1">
      <c r="B163" s="16"/>
      <c r="C163" s="16"/>
      <c r="D163" s="16"/>
      <c r="E163" s="16"/>
      <c r="F163" s="16"/>
      <c r="G163" s="16"/>
    </row>
    <row r="164" ht="15.75" customHeight="1">
      <c r="B164" s="16"/>
      <c r="C164" s="16"/>
      <c r="D164" s="16"/>
      <c r="E164" s="16"/>
      <c r="F164" s="16"/>
      <c r="G164" s="16"/>
    </row>
    <row r="165" ht="15.75" customHeight="1">
      <c r="B165" s="16"/>
      <c r="C165" s="16"/>
      <c r="D165" s="16"/>
      <c r="E165" s="16"/>
      <c r="F165" s="16"/>
      <c r="G165" s="16"/>
    </row>
    <row r="166" ht="15.75" customHeight="1">
      <c r="B166" s="16"/>
      <c r="C166" s="16"/>
      <c r="D166" s="16"/>
      <c r="E166" s="16"/>
      <c r="F166" s="16"/>
      <c r="G166" s="16"/>
    </row>
    <row r="167" ht="15.75" customHeight="1">
      <c r="B167" s="16"/>
      <c r="C167" s="16"/>
      <c r="D167" s="16"/>
      <c r="E167" s="16"/>
      <c r="F167" s="16"/>
      <c r="G167" s="16"/>
    </row>
    <row r="168" ht="15.75" customHeight="1">
      <c r="B168" s="16"/>
      <c r="C168" s="16"/>
      <c r="D168" s="16"/>
      <c r="E168" s="16"/>
      <c r="F168" s="16"/>
      <c r="G168" s="16"/>
    </row>
    <row r="169" ht="15.75" customHeight="1">
      <c r="B169" s="16"/>
      <c r="C169" s="16"/>
      <c r="D169" s="16"/>
      <c r="E169" s="16"/>
      <c r="F169" s="16"/>
      <c r="G169" s="16"/>
    </row>
    <row r="170" ht="15.75" customHeight="1">
      <c r="B170" s="16"/>
      <c r="C170" s="16"/>
      <c r="D170" s="16"/>
      <c r="E170" s="16"/>
      <c r="F170" s="16"/>
      <c r="G170" s="16"/>
    </row>
    <row r="171" ht="15.75" customHeight="1">
      <c r="B171" s="16"/>
      <c r="C171" s="16"/>
      <c r="D171" s="16"/>
      <c r="E171" s="16"/>
      <c r="F171" s="16"/>
      <c r="G171" s="16"/>
    </row>
    <row r="172" ht="15.75" customHeight="1">
      <c r="B172" s="16"/>
      <c r="C172" s="16"/>
      <c r="D172" s="16"/>
      <c r="E172" s="16"/>
      <c r="F172" s="16"/>
      <c r="G172" s="16"/>
    </row>
    <row r="173" ht="15.75" customHeight="1">
      <c r="B173" s="16"/>
      <c r="C173" s="16"/>
      <c r="D173" s="16"/>
      <c r="E173" s="16"/>
      <c r="F173" s="16"/>
      <c r="G173" s="16"/>
    </row>
    <row r="174" ht="15.75" customHeight="1">
      <c r="B174" s="16"/>
      <c r="C174" s="16"/>
      <c r="D174" s="16"/>
      <c r="E174" s="16"/>
      <c r="F174" s="16"/>
      <c r="G174" s="16"/>
    </row>
    <row r="175" ht="15.75" customHeight="1">
      <c r="B175" s="16"/>
      <c r="C175" s="16"/>
      <c r="D175" s="16"/>
      <c r="E175" s="16"/>
      <c r="F175" s="16"/>
      <c r="G175" s="16"/>
    </row>
    <row r="176" ht="15.75" customHeight="1">
      <c r="B176" s="16"/>
      <c r="C176" s="16"/>
      <c r="D176" s="16"/>
      <c r="E176" s="16"/>
      <c r="F176" s="16"/>
      <c r="G176" s="16"/>
    </row>
    <row r="177" ht="15.75" customHeight="1">
      <c r="B177" s="16"/>
      <c r="C177" s="16"/>
      <c r="D177" s="16"/>
      <c r="E177" s="16"/>
      <c r="F177" s="16"/>
      <c r="G177" s="16"/>
    </row>
    <row r="178" ht="15.75" customHeight="1">
      <c r="B178" s="16"/>
      <c r="C178" s="16"/>
      <c r="D178" s="16"/>
      <c r="E178" s="16"/>
      <c r="F178" s="16"/>
      <c r="G178" s="16"/>
    </row>
    <row r="179" ht="15.75" customHeight="1">
      <c r="B179" s="16"/>
      <c r="C179" s="16"/>
      <c r="D179" s="16"/>
      <c r="E179" s="16"/>
      <c r="F179" s="16"/>
      <c r="G179" s="16"/>
    </row>
    <row r="180" ht="15.75" customHeight="1">
      <c r="B180" s="16"/>
      <c r="C180" s="16"/>
      <c r="D180" s="16"/>
      <c r="E180" s="16"/>
      <c r="F180" s="16"/>
      <c r="G180" s="16"/>
    </row>
    <row r="181" ht="15.75" customHeight="1">
      <c r="B181" s="16"/>
      <c r="C181" s="16"/>
      <c r="D181" s="16"/>
      <c r="E181" s="16"/>
      <c r="F181" s="16"/>
      <c r="G181" s="16"/>
    </row>
    <row r="182" ht="15.75" customHeight="1">
      <c r="B182" s="16"/>
      <c r="C182" s="16"/>
      <c r="D182" s="16"/>
      <c r="E182" s="16"/>
      <c r="F182" s="16"/>
      <c r="G182" s="16"/>
    </row>
    <row r="183" ht="15.75" customHeight="1">
      <c r="B183" s="16"/>
      <c r="C183" s="16"/>
      <c r="D183" s="16"/>
      <c r="E183" s="16"/>
      <c r="F183" s="16"/>
      <c r="G183" s="16"/>
    </row>
    <row r="184" ht="15.75" customHeight="1">
      <c r="B184" s="16"/>
      <c r="C184" s="16"/>
      <c r="D184" s="16"/>
      <c r="E184" s="16"/>
      <c r="F184" s="16"/>
      <c r="G184" s="16"/>
    </row>
    <row r="185" ht="15.75" customHeight="1">
      <c r="B185" s="16"/>
      <c r="C185" s="16"/>
      <c r="D185" s="16"/>
      <c r="E185" s="16"/>
      <c r="F185" s="16"/>
      <c r="G185" s="16"/>
    </row>
    <row r="186" ht="15.75" customHeight="1">
      <c r="B186" s="16"/>
      <c r="C186" s="16"/>
      <c r="D186" s="16"/>
      <c r="E186" s="16"/>
      <c r="F186" s="16"/>
      <c r="G186" s="16"/>
    </row>
    <row r="187" ht="15.75" customHeight="1">
      <c r="B187" s="16"/>
      <c r="C187" s="16"/>
      <c r="D187" s="16"/>
      <c r="E187" s="16"/>
      <c r="F187" s="16"/>
      <c r="G187" s="16"/>
    </row>
    <row r="188" ht="15.75" customHeight="1">
      <c r="B188" s="16"/>
      <c r="C188" s="16"/>
      <c r="D188" s="16"/>
      <c r="E188" s="16"/>
      <c r="F188" s="16"/>
      <c r="G188" s="16"/>
    </row>
    <row r="189" ht="15.75" customHeight="1">
      <c r="B189" s="16"/>
      <c r="C189" s="16"/>
      <c r="D189" s="16"/>
      <c r="E189" s="16"/>
      <c r="F189" s="16"/>
      <c r="G189" s="16"/>
    </row>
    <row r="190" ht="15.75" customHeight="1">
      <c r="B190" s="16"/>
      <c r="C190" s="16"/>
      <c r="D190" s="16"/>
      <c r="E190" s="16"/>
      <c r="F190" s="16"/>
      <c r="G190" s="16"/>
    </row>
    <row r="191" ht="15.75" customHeight="1">
      <c r="B191" s="16"/>
      <c r="C191" s="16"/>
      <c r="D191" s="16"/>
      <c r="E191" s="16"/>
      <c r="F191" s="16"/>
      <c r="G191" s="16"/>
    </row>
    <row r="192" ht="15.75" customHeight="1">
      <c r="B192" s="16"/>
      <c r="C192" s="16"/>
      <c r="D192" s="16"/>
      <c r="E192" s="16"/>
      <c r="F192" s="16"/>
      <c r="G192" s="16"/>
    </row>
    <row r="193" ht="15.75" customHeight="1">
      <c r="B193" s="16"/>
      <c r="C193" s="16"/>
      <c r="D193" s="16"/>
      <c r="E193" s="16"/>
      <c r="F193" s="16"/>
      <c r="G193" s="16"/>
    </row>
    <row r="194" ht="15.75" customHeight="1">
      <c r="B194" s="16"/>
      <c r="C194" s="16"/>
      <c r="D194" s="16"/>
      <c r="E194" s="16"/>
      <c r="F194" s="16"/>
      <c r="G194" s="16"/>
    </row>
    <row r="195" ht="15.75" customHeight="1">
      <c r="B195" s="16"/>
      <c r="C195" s="16"/>
      <c r="D195" s="16"/>
      <c r="E195" s="16"/>
      <c r="F195" s="16"/>
      <c r="G195" s="16"/>
    </row>
    <row r="196" ht="15.75" customHeight="1">
      <c r="B196" s="16"/>
      <c r="C196" s="16"/>
      <c r="D196" s="16"/>
      <c r="E196" s="16"/>
      <c r="F196" s="16"/>
      <c r="G196" s="16"/>
    </row>
    <row r="197" ht="15.75" customHeight="1">
      <c r="B197" s="16"/>
      <c r="C197" s="16"/>
      <c r="D197" s="16"/>
      <c r="E197" s="16"/>
      <c r="F197" s="16"/>
      <c r="G197" s="16"/>
    </row>
    <row r="198" ht="15.75" customHeight="1">
      <c r="B198" s="16"/>
      <c r="C198" s="16"/>
      <c r="D198" s="16"/>
      <c r="E198" s="16"/>
      <c r="F198" s="16"/>
      <c r="G198" s="16"/>
    </row>
    <row r="199" ht="15.75" customHeight="1">
      <c r="B199" s="16"/>
      <c r="C199" s="16"/>
      <c r="D199" s="16"/>
      <c r="E199" s="16"/>
      <c r="F199" s="16"/>
      <c r="G199" s="16"/>
    </row>
    <row r="200" ht="15.75" customHeight="1">
      <c r="B200" s="16"/>
      <c r="C200" s="16"/>
      <c r="D200" s="16"/>
      <c r="E200" s="16"/>
      <c r="F200" s="16"/>
      <c r="G200" s="16"/>
    </row>
    <row r="201" ht="15.75" customHeight="1">
      <c r="B201" s="16"/>
      <c r="C201" s="16"/>
      <c r="D201" s="16"/>
      <c r="E201" s="16"/>
      <c r="F201" s="16"/>
      <c r="G201" s="16"/>
    </row>
    <row r="202" ht="15.75" customHeight="1">
      <c r="B202" s="16"/>
      <c r="C202" s="16"/>
      <c r="D202" s="16"/>
      <c r="E202" s="16"/>
      <c r="F202" s="16"/>
      <c r="G202" s="16"/>
    </row>
    <row r="203" ht="15.75" customHeight="1">
      <c r="B203" s="16"/>
      <c r="C203" s="16"/>
      <c r="D203" s="16"/>
      <c r="E203" s="16"/>
      <c r="F203" s="16"/>
      <c r="G203" s="16"/>
    </row>
    <row r="204" ht="15.75" customHeight="1">
      <c r="B204" s="16"/>
      <c r="C204" s="16"/>
      <c r="D204" s="16"/>
      <c r="E204" s="16"/>
      <c r="F204" s="16"/>
      <c r="G204" s="16"/>
    </row>
    <row r="205" ht="15.75" customHeight="1">
      <c r="B205" s="16"/>
      <c r="C205" s="16"/>
      <c r="D205" s="16"/>
      <c r="E205" s="16"/>
      <c r="F205" s="16"/>
      <c r="G205" s="16"/>
    </row>
    <row r="206" ht="15.75" customHeight="1">
      <c r="B206" s="16"/>
      <c r="C206" s="16"/>
      <c r="D206" s="16"/>
      <c r="E206" s="16"/>
      <c r="F206" s="16"/>
      <c r="G206" s="16"/>
    </row>
    <row r="207" ht="15.75" customHeight="1">
      <c r="B207" s="16"/>
      <c r="C207" s="16"/>
      <c r="D207" s="16"/>
      <c r="E207" s="16"/>
      <c r="F207" s="16"/>
      <c r="G207" s="16"/>
    </row>
    <row r="208" ht="15.75" customHeight="1">
      <c r="B208" s="16"/>
      <c r="C208" s="16"/>
      <c r="D208" s="16"/>
      <c r="E208" s="16"/>
      <c r="F208" s="16"/>
      <c r="G208" s="16"/>
    </row>
    <row r="209" ht="15.75" customHeight="1">
      <c r="B209" s="16"/>
      <c r="C209" s="16"/>
      <c r="D209" s="16"/>
      <c r="E209" s="16"/>
      <c r="F209" s="16"/>
      <c r="G209" s="16"/>
    </row>
    <row r="210" ht="15.75" customHeight="1">
      <c r="B210" s="16"/>
      <c r="C210" s="16"/>
      <c r="D210" s="16"/>
      <c r="E210" s="16"/>
      <c r="F210" s="16"/>
      <c r="G210" s="16"/>
    </row>
    <row r="211" ht="15.75" customHeight="1">
      <c r="B211" s="16"/>
      <c r="C211" s="16"/>
      <c r="D211" s="16"/>
      <c r="E211" s="16"/>
      <c r="F211" s="16"/>
      <c r="G211" s="16"/>
    </row>
    <row r="212" ht="15.75" customHeight="1">
      <c r="B212" s="16"/>
      <c r="C212" s="16"/>
      <c r="D212" s="16"/>
      <c r="E212" s="16"/>
      <c r="F212" s="16"/>
      <c r="G212" s="16"/>
    </row>
    <row r="213" ht="15.75" customHeight="1">
      <c r="B213" s="16"/>
      <c r="C213" s="16"/>
      <c r="D213" s="16"/>
      <c r="E213" s="16"/>
      <c r="F213" s="16"/>
      <c r="G213" s="16"/>
    </row>
    <row r="214" ht="15.75" customHeight="1">
      <c r="B214" s="16"/>
      <c r="C214" s="16"/>
      <c r="D214" s="16"/>
      <c r="E214" s="16"/>
      <c r="F214" s="16"/>
      <c r="G214" s="16"/>
    </row>
    <row r="215" ht="15.75" customHeight="1">
      <c r="B215" s="16"/>
      <c r="C215" s="16"/>
      <c r="D215" s="16"/>
      <c r="E215" s="16"/>
      <c r="F215" s="16"/>
      <c r="G215" s="16"/>
    </row>
    <row r="216" ht="15.75" customHeight="1">
      <c r="B216" s="16"/>
      <c r="C216" s="16"/>
      <c r="D216" s="16"/>
      <c r="E216" s="16"/>
      <c r="F216" s="16"/>
      <c r="G216" s="16"/>
    </row>
    <row r="217" ht="15.75" customHeight="1">
      <c r="B217" s="16"/>
      <c r="C217" s="16"/>
      <c r="D217" s="16"/>
      <c r="E217" s="16"/>
      <c r="F217" s="16"/>
      <c r="G217" s="16"/>
    </row>
    <row r="218" ht="15.75" customHeight="1">
      <c r="B218" s="16"/>
      <c r="C218" s="16"/>
      <c r="D218" s="16"/>
      <c r="E218" s="16"/>
      <c r="F218" s="16"/>
      <c r="G218" s="16"/>
    </row>
    <row r="219" ht="15.75" customHeight="1">
      <c r="B219" s="16"/>
      <c r="C219" s="16"/>
      <c r="D219" s="16"/>
      <c r="E219" s="16"/>
      <c r="F219" s="16"/>
      <c r="G219" s="16"/>
    </row>
    <row r="220" ht="15.75" customHeight="1">
      <c r="B220" s="16"/>
      <c r="C220" s="16"/>
      <c r="D220" s="16"/>
      <c r="E220" s="16"/>
      <c r="F220" s="16"/>
      <c r="G220" s="16"/>
    </row>
    <row r="221" ht="15.75" customHeight="1">
      <c r="B221" s="16"/>
      <c r="C221" s="16"/>
      <c r="D221" s="16"/>
      <c r="E221" s="16"/>
      <c r="F221" s="16"/>
      <c r="G221" s="16"/>
    </row>
    <row r="222" ht="15.75" customHeight="1">
      <c r="B222" s="16"/>
      <c r="C222" s="16"/>
      <c r="D222" s="16"/>
      <c r="E222" s="16"/>
      <c r="F222" s="16"/>
      <c r="G222" s="16"/>
    </row>
    <row r="223" ht="15.75" customHeight="1">
      <c r="B223" s="16"/>
      <c r="C223" s="16"/>
      <c r="D223" s="16"/>
      <c r="E223" s="16"/>
      <c r="F223" s="16"/>
      <c r="G223" s="16"/>
    </row>
    <row r="224" ht="15.75" customHeight="1">
      <c r="B224" s="16"/>
      <c r="C224" s="16"/>
      <c r="D224" s="16"/>
      <c r="E224" s="16"/>
      <c r="F224" s="16"/>
      <c r="G224" s="16"/>
    </row>
    <row r="225" ht="15.75" customHeight="1">
      <c r="B225" s="16"/>
      <c r="C225" s="16"/>
      <c r="D225" s="16"/>
      <c r="E225" s="16"/>
      <c r="F225" s="16"/>
      <c r="G225" s="16"/>
    </row>
    <row r="226" ht="15.75" customHeight="1">
      <c r="B226" s="16"/>
      <c r="C226" s="16"/>
      <c r="D226" s="16"/>
      <c r="E226" s="16"/>
      <c r="F226" s="16"/>
      <c r="G226" s="16"/>
    </row>
    <row r="227" ht="15.75" customHeight="1">
      <c r="B227" s="16"/>
      <c r="C227" s="16"/>
      <c r="D227" s="16"/>
      <c r="E227" s="16"/>
      <c r="F227" s="16"/>
      <c r="G227" s="16"/>
    </row>
    <row r="228" ht="15.75" customHeight="1">
      <c r="B228" s="16"/>
      <c r="C228" s="16"/>
      <c r="D228" s="16"/>
      <c r="E228" s="16"/>
      <c r="F228" s="16"/>
      <c r="G228" s="16"/>
    </row>
    <row r="229" ht="15.75" customHeight="1">
      <c r="B229" s="16"/>
      <c r="C229" s="16"/>
      <c r="D229" s="16"/>
      <c r="E229" s="16"/>
      <c r="F229" s="16"/>
      <c r="G229" s="16"/>
    </row>
    <row r="230" ht="15.75" customHeight="1">
      <c r="B230" s="16"/>
      <c r="C230" s="16"/>
      <c r="D230" s="16"/>
      <c r="E230" s="16"/>
      <c r="F230" s="16"/>
      <c r="G230" s="16"/>
    </row>
    <row r="231" ht="15.75" customHeight="1">
      <c r="B231" s="16"/>
      <c r="C231" s="16"/>
      <c r="D231" s="16"/>
      <c r="E231" s="16"/>
      <c r="F231" s="16"/>
      <c r="G231" s="16"/>
    </row>
    <row r="232" ht="15.75" customHeight="1">
      <c r="B232" s="16"/>
      <c r="C232" s="16"/>
      <c r="D232" s="16"/>
      <c r="E232" s="16"/>
      <c r="F232" s="16"/>
      <c r="G232" s="16"/>
    </row>
    <row r="233" ht="15.75" customHeight="1">
      <c r="B233" s="16"/>
      <c r="C233" s="16"/>
      <c r="D233" s="16"/>
      <c r="E233" s="16"/>
      <c r="F233" s="16"/>
      <c r="G233" s="16"/>
    </row>
    <row r="234" ht="15.75" customHeight="1">
      <c r="B234" s="16"/>
      <c r="C234" s="16"/>
      <c r="D234" s="16"/>
      <c r="E234" s="16"/>
      <c r="F234" s="16"/>
      <c r="G234" s="16"/>
    </row>
    <row r="235" ht="15.75" customHeight="1">
      <c r="B235" s="16"/>
      <c r="C235" s="16"/>
      <c r="D235" s="16"/>
      <c r="E235" s="16"/>
      <c r="F235" s="16"/>
      <c r="G235" s="16"/>
    </row>
    <row r="236" ht="15.75" customHeight="1">
      <c r="B236" s="16"/>
      <c r="C236" s="16"/>
      <c r="D236" s="16"/>
      <c r="E236" s="16"/>
      <c r="F236" s="16"/>
      <c r="G236" s="16"/>
    </row>
    <row r="237" ht="15.75" customHeight="1">
      <c r="B237" s="16"/>
      <c r="C237" s="16"/>
      <c r="D237" s="16"/>
      <c r="E237" s="16"/>
      <c r="F237" s="16"/>
      <c r="G237" s="16"/>
    </row>
    <row r="238" ht="15.75" customHeight="1">
      <c r="B238" s="16"/>
      <c r="C238" s="16"/>
      <c r="D238" s="16"/>
      <c r="E238" s="16"/>
      <c r="F238" s="16"/>
      <c r="G238" s="16"/>
    </row>
    <row r="239" ht="15.75" customHeight="1">
      <c r="B239" s="16"/>
      <c r="C239" s="16"/>
      <c r="D239" s="16"/>
      <c r="E239" s="16"/>
      <c r="F239" s="16"/>
      <c r="G239" s="16"/>
    </row>
    <row r="240" ht="15.75" customHeight="1">
      <c r="B240" s="16"/>
      <c r="C240" s="16"/>
      <c r="D240" s="16"/>
      <c r="E240" s="16"/>
      <c r="F240" s="16"/>
      <c r="G240" s="16"/>
    </row>
    <row r="241" ht="15.75" customHeight="1">
      <c r="B241" s="16"/>
      <c r="C241" s="16"/>
      <c r="D241" s="16"/>
      <c r="E241" s="16"/>
      <c r="F241" s="16"/>
      <c r="G241" s="16"/>
    </row>
    <row r="242" ht="15.75" customHeight="1">
      <c r="B242" s="16"/>
      <c r="C242" s="16"/>
      <c r="D242" s="16"/>
      <c r="E242" s="16"/>
      <c r="F242" s="16"/>
      <c r="G242" s="16"/>
    </row>
    <row r="243" ht="15.75" customHeight="1">
      <c r="B243" s="16"/>
      <c r="C243" s="16"/>
      <c r="D243" s="16"/>
      <c r="E243" s="16"/>
      <c r="F243" s="16"/>
      <c r="G243" s="16"/>
    </row>
    <row r="244" ht="15.75" customHeight="1">
      <c r="B244" s="16"/>
      <c r="C244" s="16"/>
      <c r="D244" s="16"/>
      <c r="E244" s="16"/>
      <c r="F244" s="16"/>
      <c r="G244" s="16"/>
    </row>
    <row r="245" ht="15.75" customHeight="1">
      <c r="B245" s="16"/>
      <c r="C245" s="16"/>
      <c r="D245" s="16"/>
      <c r="E245" s="16"/>
      <c r="F245" s="16"/>
      <c r="G245" s="16"/>
    </row>
    <row r="246" ht="15.75" customHeight="1">
      <c r="B246" s="16"/>
      <c r="C246" s="16"/>
      <c r="D246" s="16"/>
      <c r="E246" s="16"/>
      <c r="F246" s="16"/>
      <c r="G246" s="16"/>
    </row>
    <row r="247" ht="15.75" customHeight="1">
      <c r="B247" s="16"/>
      <c r="C247" s="16"/>
      <c r="D247" s="16"/>
      <c r="E247" s="16"/>
      <c r="F247" s="16"/>
      <c r="G247" s="16"/>
    </row>
    <row r="248" ht="15.75" customHeight="1">
      <c r="B248" s="16"/>
      <c r="C248" s="16"/>
      <c r="D248" s="16"/>
      <c r="E248" s="16"/>
      <c r="F248" s="16"/>
      <c r="G248" s="16"/>
    </row>
    <row r="249" ht="15.75" customHeight="1">
      <c r="B249" s="16"/>
      <c r="C249" s="16"/>
      <c r="D249" s="16"/>
      <c r="E249" s="16"/>
      <c r="F249" s="16"/>
      <c r="G249" s="16"/>
    </row>
    <row r="250" ht="15.75" customHeight="1">
      <c r="B250" s="16"/>
      <c r="C250" s="16"/>
      <c r="D250" s="16"/>
      <c r="E250" s="16"/>
      <c r="F250" s="16"/>
      <c r="G250" s="16"/>
    </row>
    <row r="251" ht="15.75" customHeight="1">
      <c r="B251" s="16"/>
      <c r="C251" s="16"/>
      <c r="D251" s="16"/>
      <c r="E251" s="16"/>
      <c r="F251" s="16"/>
      <c r="G251" s="16"/>
    </row>
    <row r="252" ht="15.75" customHeight="1">
      <c r="B252" s="16"/>
      <c r="C252" s="16"/>
      <c r="D252" s="16"/>
      <c r="E252" s="16"/>
      <c r="F252" s="16"/>
      <c r="G252" s="16"/>
    </row>
    <row r="253" ht="15.75" customHeight="1">
      <c r="B253" s="16"/>
      <c r="C253" s="16"/>
      <c r="D253" s="16"/>
      <c r="E253" s="16"/>
      <c r="F253" s="16"/>
      <c r="G253" s="16"/>
    </row>
    <row r="254" ht="15.75" customHeight="1">
      <c r="B254" s="16"/>
      <c r="C254" s="16"/>
      <c r="D254" s="16"/>
      <c r="E254" s="16"/>
      <c r="F254" s="16"/>
      <c r="G254" s="16"/>
    </row>
    <row r="255" ht="15.75" customHeight="1">
      <c r="B255" s="16"/>
      <c r="C255" s="16"/>
      <c r="D255" s="16"/>
      <c r="E255" s="16"/>
      <c r="F255" s="16"/>
      <c r="G255" s="16"/>
    </row>
    <row r="256" ht="15.75" customHeight="1">
      <c r="B256" s="16"/>
      <c r="C256" s="16"/>
      <c r="D256" s="16"/>
      <c r="E256" s="16"/>
      <c r="F256" s="16"/>
      <c r="G256" s="16"/>
    </row>
    <row r="257" ht="15.75" customHeight="1">
      <c r="B257" s="16"/>
      <c r="C257" s="16"/>
      <c r="D257" s="16"/>
      <c r="E257" s="16"/>
      <c r="F257" s="16"/>
      <c r="G257" s="16"/>
    </row>
    <row r="258" ht="15.75" customHeight="1">
      <c r="B258" s="16"/>
      <c r="C258" s="16"/>
      <c r="D258" s="16"/>
      <c r="E258" s="16"/>
      <c r="F258" s="16"/>
      <c r="G258" s="16"/>
    </row>
    <row r="259" ht="15.75" customHeight="1">
      <c r="B259" s="16"/>
      <c r="C259" s="16"/>
      <c r="D259" s="16"/>
      <c r="E259" s="16"/>
      <c r="F259" s="16"/>
      <c r="G259" s="16"/>
    </row>
    <row r="260" ht="15.75" customHeight="1">
      <c r="B260" s="16"/>
      <c r="C260" s="16"/>
      <c r="D260" s="16"/>
      <c r="E260" s="16"/>
      <c r="F260" s="16"/>
      <c r="G260" s="16"/>
    </row>
    <row r="261" ht="15.75" customHeight="1">
      <c r="B261" s="16"/>
      <c r="C261" s="16"/>
      <c r="D261" s="16"/>
      <c r="E261" s="16"/>
      <c r="F261" s="16"/>
      <c r="G261" s="16"/>
    </row>
    <row r="262" ht="15.75" customHeight="1">
      <c r="B262" s="16"/>
      <c r="C262" s="16"/>
      <c r="D262" s="16"/>
      <c r="E262" s="16"/>
      <c r="F262" s="16"/>
      <c r="G262" s="16"/>
    </row>
    <row r="263" ht="15.75" customHeight="1">
      <c r="B263" s="16"/>
      <c r="C263" s="16"/>
      <c r="D263" s="16"/>
      <c r="E263" s="16"/>
      <c r="F263" s="16"/>
      <c r="G263" s="16"/>
    </row>
    <row r="264" ht="15.75" customHeight="1">
      <c r="B264" s="16"/>
      <c r="C264" s="16"/>
      <c r="D264" s="16"/>
      <c r="E264" s="16"/>
      <c r="F264" s="16"/>
      <c r="G264" s="16"/>
    </row>
    <row r="265" ht="15.75" customHeight="1">
      <c r="B265" s="16"/>
      <c r="C265" s="16"/>
      <c r="D265" s="16"/>
      <c r="E265" s="16"/>
      <c r="F265" s="16"/>
      <c r="G265" s="16"/>
    </row>
    <row r="266" ht="15.75" customHeight="1">
      <c r="B266" s="16"/>
      <c r="C266" s="16"/>
      <c r="D266" s="16"/>
      <c r="E266" s="16"/>
      <c r="F266" s="16"/>
      <c r="G266" s="16"/>
    </row>
    <row r="267" ht="15.75" customHeight="1">
      <c r="B267" s="16"/>
      <c r="C267" s="16"/>
      <c r="D267" s="16"/>
      <c r="E267" s="16"/>
      <c r="F267" s="16"/>
      <c r="G267" s="16"/>
    </row>
    <row r="268" ht="15.75" customHeight="1">
      <c r="B268" s="16"/>
      <c r="C268" s="16"/>
      <c r="D268" s="16"/>
      <c r="E268" s="16"/>
      <c r="F268" s="16"/>
      <c r="G268" s="16"/>
    </row>
    <row r="269" ht="15.75" customHeight="1">
      <c r="B269" s="16"/>
      <c r="C269" s="16"/>
      <c r="D269" s="16"/>
      <c r="E269" s="16"/>
      <c r="F269" s="16"/>
      <c r="G269" s="16"/>
    </row>
    <row r="270" ht="15.75" customHeight="1">
      <c r="B270" s="16"/>
      <c r="C270" s="16"/>
      <c r="D270" s="16"/>
      <c r="E270" s="16"/>
      <c r="F270" s="16"/>
      <c r="G270" s="16"/>
    </row>
    <row r="271" ht="15.75" customHeight="1">
      <c r="B271" s="16"/>
      <c r="C271" s="16"/>
      <c r="D271" s="16"/>
      <c r="E271" s="16"/>
      <c r="F271" s="16"/>
      <c r="G271" s="16"/>
    </row>
    <row r="272" ht="15.75" customHeight="1">
      <c r="B272" s="16"/>
      <c r="C272" s="16"/>
      <c r="D272" s="16"/>
      <c r="E272" s="16"/>
      <c r="F272" s="16"/>
      <c r="G272" s="16"/>
    </row>
    <row r="273" ht="15.75" customHeight="1">
      <c r="B273" s="16"/>
      <c r="C273" s="16"/>
      <c r="D273" s="16"/>
      <c r="E273" s="16"/>
      <c r="F273" s="16"/>
      <c r="G273" s="16"/>
    </row>
    <row r="274" ht="15.75" customHeight="1">
      <c r="B274" s="16"/>
      <c r="C274" s="16"/>
      <c r="D274" s="16"/>
      <c r="E274" s="16"/>
      <c r="F274" s="16"/>
      <c r="G274" s="16"/>
    </row>
    <row r="275" ht="15.75" customHeight="1">
      <c r="B275" s="16"/>
      <c r="C275" s="16"/>
      <c r="D275" s="16"/>
      <c r="E275" s="16"/>
      <c r="F275" s="16"/>
      <c r="G275" s="16"/>
    </row>
    <row r="276" ht="15.75" customHeight="1">
      <c r="B276" s="16"/>
      <c r="C276" s="16"/>
      <c r="D276" s="16"/>
      <c r="E276" s="16"/>
      <c r="F276" s="16"/>
      <c r="G276" s="16"/>
    </row>
    <row r="277" ht="15.75" customHeight="1">
      <c r="B277" s="16"/>
      <c r="C277" s="16"/>
      <c r="D277" s="16"/>
      <c r="E277" s="16"/>
      <c r="F277" s="16"/>
      <c r="G277" s="16"/>
    </row>
    <row r="278" ht="15.75" customHeight="1">
      <c r="B278" s="16"/>
      <c r="C278" s="16"/>
      <c r="D278" s="16"/>
      <c r="E278" s="16"/>
      <c r="F278" s="16"/>
      <c r="G278" s="16"/>
    </row>
    <row r="279" ht="15.75" customHeight="1">
      <c r="B279" s="16"/>
      <c r="C279" s="16"/>
      <c r="D279" s="16"/>
      <c r="E279" s="16"/>
      <c r="F279" s="16"/>
      <c r="G279" s="16"/>
    </row>
    <row r="280" ht="15.75" customHeight="1">
      <c r="B280" s="16"/>
      <c r="C280" s="16"/>
      <c r="D280" s="16"/>
      <c r="E280" s="16"/>
      <c r="F280" s="16"/>
      <c r="G280" s="16"/>
    </row>
    <row r="281" ht="15.75" customHeight="1">
      <c r="B281" s="16"/>
      <c r="C281" s="16"/>
      <c r="D281" s="16"/>
      <c r="E281" s="16"/>
      <c r="F281" s="16"/>
      <c r="G281" s="16"/>
    </row>
    <row r="282" ht="15.75" customHeight="1">
      <c r="B282" s="16"/>
      <c r="C282" s="16"/>
      <c r="D282" s="16"/>
      <c r="E282" s="16"/>
      <c r="F282" s="16"/>
      <c r="G282" s="16"/>
    </row>
    <row r="283" ht="15.75" customHeight="1">
      <c r="B283" s="16"/>
      <c r="C283" s="16"/>
      <c r="D283" s="16"/>
      <c r="E283" s="16"/>
      <c r="F283" s="16"/>
      <c r="G283" s="16"/>
    </row>
    <row r="284" ht="15.75" customHeight="1">
      <c r="B284" s="16"/>
      <c r="C284" s="16"/>
      <c r="D284" s="16"/>
      <c r="E284" s="16"/>
      <c r="F284" s="16"/>
      <c r="G284" s="16"/>
    </row>
    <row r="285" ht="15.75" customHeight="1">
      <c r="B285" s="16"/>
      <c r="C285" s="16"/>
      <c r="D285" s="16"/>
      <c r="E285" s="16"/>
      <c r="F285" s="16"/>
      <c r="G285" s="16"/>
    </row>
    <row r="286" ht="15.75" customHeight="1">
      <c r="B286" s="16"/>
      <c r="C286" s="16"/>
      <c r="D286" s="16"/>
      <c r="E286" s="16"/>
      <c r="F286" s="16"/>
      <c r="G286" s="16"/>
    </row>
    <row r="287" ht="15.75" customHeight="1">
      <c r="B287" s="16"/>
      <c r="C287" s="16"/>
      <c r="D287" s="16"/>
      <c r="E287" s="16"/>
      <c r="F287" s="16"/>
      <c r="G287" s="16"/>
    </row>
    <row r="288" ht="15.75" customHeight="1">
      <c r="B288" s="16"/>
      <c r="C288" s="16"/>
      <c r="D288" s="16"/>
      <c r="E288" s="16"/>
      <c r="F288" s="16"/>
      <c r="G288" s="16"/>
    </row>
    <row r="289" ht="15.75" customHeight="1">
      <c r="B289" s="16"/>
      <c r="C289" s="16"/>
      <c r="D289" s="16"/>
      <c r="E289" s="16"/>
      <c r="F289" s="16"/>
      <c r="G289" s="16"/>
    </row>
    <row r="290" ht="15.75" customHeight="1">
      <c r="B290" s="16"/>
      <c r="C290" s="16"/>
      <c r="D290" s="16"/>
      <c r="E290" s="16"/>
      <c r="F290" s="16"/>
      <c r="G290" s="16"/>
    </row>
    <row r="291" ht="15.75" customHeight="1">
      <c r="B291" s="16"/>
      <c r="C291" s="16"/>
      <c r="D291" s="16"/>
      <c r="E291" s="16"/>
      <c r="F291" s="16"/>
      <c r="G291" s="16"/>
    </row>
    <row r="292" ht="15.75" customHeight="1">
      <c r="B292" s="16"/>
      <c r="C292" s="16"/>
      <c r="D292" s="16"/>
      <c r="E292" s="16"/>
      <c r="F292" s="16"/>
      <c r="G292" s="16"/>
    </row>
    <row r="293" ht="15.75" customHeight="1">
      <c r="B293" s="16"/>
      <c r="C293" s="16"/>
      <c r="D293" s="16"/>
      <c r="E293" s="16"/>
      <c r="F293" s="16"/>
      <c r="G293" s="16"/>
    </row>
    <row r="294" ht="15.75" customHeight="1">
      <c r="B294" s="16"/>
      <c r="C294" s="16"/>
      <c r="D294" s="16"/>
      <c r="E294" s="16"/>
      <c r="F294" s="16"/>
      <c r="G294" s="16"/>
    </row>
    <row r="295" ht="15.75" customHeight="1">
      <c r="B295" s="16"/>
      <c r="C295" s="16"/>
      <c r="D295" s="16"/>
      <c r="E295" s="16"/>
      <c r="F295" s="16"/>
      <c r="G295" s="16"/>
    </row>
    <row r="296" ht="15.75" customHeight="1">
      <c r="B296" s="16"/>
      <c r="C296" s="16"/>
      <c r="D296" s="16"/>
      <c r="E296" s="16"/>
      <c r="F296" s="16"/>
      <c r="G296" s="16"/>
    </row>
    <row r="297" ht="15.75" customHeight="1">
      <c r="B297" s="16"/>
      <c r="C297" s="16"/>
      <c r="D297" s="16"/>
      <c r="E297" s="16"/>
      <c r="F297" s="16"/>
      <c r="G297" s="16"/>
    </row>
    <row r="298" ht="15.75" customHeight="1">
      <c r="B298" s="16"/>
      <c r="C298" s="16"/>
      <c r="D298" s="16"/>
      <c r="E298" s="16"/>
      <c r="F298" s="16"/>
      <c r="G298" s="16"/>
    </row>
    <row r="299" ht="15.75" customHeight="1">
      <c r="B299" s="16"/>
      <c r="C299" s="16"/>
      <c r="D299" s="16"/>
      <c r="E299" s="16"/>
      <c r="F299" s="16"/>
      <c r="G299" s="16"/>
    </row>
    <row r="300" ht="15.75" customHeight="1">
      <c r="B300" s="16"/>
      <c r="C300" s="16"/>
      <c r="D300" s="16"/>
      <c r="E300" s="16"/>
      <c r="F300" s="16"/>
      <c r="G300" s="16"/>
    </row>
    <row r="301" ht="15.75" customHeight="1">
      <c r="B301" s="16"/>
      <c r="C301" s="16"/>
      <c r="D301" s="16"/>
      <c r="E301" s="16"/>
      <c r="F301" s="16"/>
      <c r="G301" s="16"/>
    </row>
    <row r="302" ht="15.75" customHeight="1">
      <c r="B302" s="16"/>
      <c r="C302" s="16"/>
      <c r="D302" s="16"/>
      <c r="E302" s="16"/>
      <c r="F302" s="16"/>
      <c r="G302" s="16"/>
    </row>
    <row r="303" ht="15.75" customHeight="1">
      <c r="B303" s="16"/>
      <c r="C303" s="16"/>
      <c r="D303" s="16"/>
      <c r="E303" s="16"/>
      <c r="F303" s="16"/>
      <c r="G303" s="16"/>
    </row>
    <row r="304" ht="15.75" customHeight="1">
      <c r="B304" s="16"/>
      <c r="C304" s="16"/>
      <c r="D304" s="16"/>
      <c r="E304" s="16"/>
      <c r="F304" s="16"/>
      <c r="G304" s="16"/>
    </row>
    <row r="305" ht="15.75" customHeight="1">
      <c r="B305" s="16"/>
      <c r="C305" s="16"/>
      <c r="D305" s="16"/>
      <c r="E305" s="16"/>
      <c r="F305" s="16"/>
      <c r="G305" s="16"/>
    </row>
    <row r="306" ht="15.75" customHeight="1">
      <c r="B306" s="16"/>
      <c r="C306" s="16"/>
      <c r="D306" s="16"/>
      <c r="E306" s="16"/>
      <c r="F306" s="16"/>
      <c r="G306" s="16"/>
    </row>
    <row r="307" ht="15.75" customHeight="1">
      <c r="B307" s="16"/>
      <c r="C307" s="16"/>
      <c r="D307" s="16"/>
      <c r="E307" s="16"/>
      <c r="F307" s="16"/>
      <c r="G307" s="16"/>
    </row>
    <row r="308" ht="15.75" customHeight="1">
      <c r="B308" s="16"/>
      <c r="C308" s="16"/>
      <c r="D308" s="16"/>
      <c r="E308" s="16"/>
      <c r="F308" s="16"/>
      <c r="G308" s="16"/>
    </row>
    <row r="309" ht="15.75" customHeight="1">
      <c r="B309" s="16"/>
      <c r="C309" s="16"/>
      <c r="D309" s="16"/>
      <c r="E309" s="16"/>
      <c r="F309" s="16"/>
      <c r="G309" s="16"/>
    </row>
    <row r="310" ht="15.75" customHeight="1">
      <c r="B310" s="16"/>
      <c r="C310" s="16"/>
      <c r="D310" s="16"/>
      <c r="E310" s="16"/>
      <c r="F310" s="16"/>
      <c r="G310" s="16"/>
    </row>
    <row r="311" ht="15.75" customHeight="1">
      <c r="B311" s="16"/>
      <c r="C311" s="16"/>
      <c r="D311" s="16"/>
      <c r="E311" s="16"/>
      <c r="F311" s="16"/>
      <c r="G311" s="16"/>
    </row>
    <row r="312" ht="15.75" customHeight="1">
      <c r="B312" s="16"/>
      <c r="C312" s="16"/>
      <c r="D312" s="16"/>
      <c r="E312" s="16"/>
      <c r="F312" s="16"/>
      <c r="G312" s="16"/>
    </row>
    <row r="313" ht="15.75" customHeight="1">
      <c r="B313" s="16"/>
      <c r="C313" s="16"/>
      <c r="D313" s="16"/>
      <c r="E313" s="16"/>
      <c r="F313" s="16"/>
      <c r="G313" s="16"/>
    </row>
    <row r="314" ht="15.75" customHeight="1">
      <c r="B314" s="16"/>
      <c r="C314" s="16"/>
      <c r="D314" s="16"/>
      <c r="E314" s="16"/>
      <c r="F314" s="16"/>
      <c r="G314" s="16"/>
    </row>
    <row r="315" ht="15.75" customHeight="1">
      <c r="B315" s="16"/>
      <c r="C315" s="16"/>
      <c r="D315" s="16"/>
      <c r="E315" s="16"/>
      <c r="F315" s="16"/>
      <c r="G315" s="16"/>
    </row>
    <row r="316" ht="15.75" customHeight="1">
      <c r="B316" s="16"/>
      <c r="C316" s="16"/>
      <c r="D316" s="16"/>
      <c r="E316" s="16"/>
      <c r="F316" s="16"/>
      <c r="G316" s="16"/>
    </row>
    <row r="317" ht="15.75" customHeight="1">
      <c r="B317" s="16"/>
      <c r="C317" s="16"/>
      <c r="D317" s="16"/>
      <c r="E317" s="16"/>
      <c r="F317" s="16"/>
      <c r="G317" s="16"/>
    </row>
    <row r="318" ht="15.75" customHeight="1">
      <c r="B318" s="16"/>
      <c r="C318" s="16"/>
      <c r="D318" s="16"/>
      <c r="E318" s="16"/>
      <c r="F318" s="16"/>
      <c r="G318" s="16"/>
    </row>
    <row r="319" ht="15.75" customHeight="1">
      <c r="B319" s="16"/>
      <c r="C319" s="16"/>
      <c r="D319" s="16"/>
      <c r="E319" s="16"/>
      <c r="F319" s="16"/>
      <c r="G319" s="16"/>
    </row>
    <row r="320" ht="15.75" customHeight="1">
      <c r="B320" s="16"/>
      <c r="C320" s="16"/>
      <c r="D320" s="16"/>
      <c r="E320" s="16"/>
      <c r="F320" s="16"/>
      <c r="G320" s="16"/>
    </row>
    <row r="321" ht="15.75" customHeight="1">
      <c r="B321" s="16"/>
      <c r="C321" s="16"/>
      <c r="D321" s="16"/>
      <c r="E321" s="16"/>
      <c r="F321" s="16"/>
      <c r="G321" s="16"/>
    </row>
    <row r="322" ht="15.75" customHeight="1">
      <c r="B322" s="16"/>
      <c r="C322" s="16"/>
      <c r="D322" s="16"/>
      <c r="E322" s="16"/>
      <c r="F322" s="16"/>
      <c r="G322" s="16"/>
    </row>
    <row r="323" ht="15.75" customHeight="1">
      <c r="B323" s="16"/>
      <c r="C323" s="16"/>
      <c r="D323" s="16"/>
      <c r="E323" s="16"/>
      <c r="F323" s="16"/>
      <c r="G323" s="16"/>
    </row>
    <row r="324" ht="15.75" customHeight="1">
      <c r="B324" s="16"/>
      <c r="C324" s="16"/>
      <c r="D324" s="16"/>
      <c r="E324" s="16"/>
      <c r="F324" s="16"/>
      <c r="G324" s="16"/>
    </row>
    <row r="325" ht="15.75" customHeight="1">
      <c r="B325" s="16"/>
      <c r="C325" s="16"/>
      <c r="D325" s="16"/>
      <c r="E325" s="16"/>
      <c r="F325" s="16"/>
      <c r="G325" s="16"/>
    </row>
    <row r="326" ht="15.75" customHeight="1">
      <c r="B326" s="16"/>
      <c r="C326" s="16"/>
      <c r="D326" s="16"/>
      <c r="E326" s="16"/>
      <c r="F326" s="16"/>
      <c r="G326" s="16"/>
    </row>
    <row r="327" ht="15.75" customHeight="1">
      <c r="B327" s="16"/>
      <c r="C327" s="16"/>
      <c r="D327" s="16"/>
      <c r="E327" s="16"/>
      <c r="F327" s="16"/>
      <c r="G327" s="16"/>
    </row>
    <row r="328" ht="15.75" customHeight="1">
      <c r="B328" s="16"/>
      <c r="C328" s="16"/>
      <c r="D328" s="16"/>
      <c r="E328" s="16"/>
      <c r="F328" s="16"/>
      <c r="G328" s="16"/>
    </row>
    <row r="329" ht="15.75" customHeight="1">
      <c r="B329" s="16"/>
      <c r="C329" s="16"/>
      <c r="D329" s="16"/>
      <c r="E329" s="16"/>
      <c r="F329" s="16"/>
      <c r="G329" s="16"/>
    </row>
    <row r="330" ht="15.75" customHeight="1">
      <c r="B330" s="16"/>
      <c r="C330" s="16"/>
      <c r="D330" s="16"/>
      <c r="E330" s="16"/>
      <c r="F330" s="16"/>
      <c r="G330" s="16"/>
    </row>
    <row r="331" ht="15.75" customHeight="1">
      <c r="B331" s="16"/>
      <c r="C331" s="16"/>
      <c r="D331" s="16"/>
      <c r="E331" s="16"/>
      <c r="F331" s="16"/>
      <c r="G331" s="16"/>
    </row>
    <row r="332" ht="15.75" customHeight="1">
      <c r="B332" s="16"/>
      <c r="C332" s="16"/>
      <c r="D332" s="16"/>
      <c r="E332" s="16"/>
      <c r="F332" s="16"/>
      <c r="G332" s="16"/>
    </row>
    <row r="333" ht="15.75" customHeight="1">
      <c r="B333" s="16"/>
      <c r="C333" s="16"/>
      <c r="D333" s="16"/>
      <c r="E333" s="16"/>
      <c r="F333" s="16"/>
      <c r="G333" s="16"/>
    </row>
    <row r="334" ht="15.75" customHeight="1">
      <c r="B334" s="16"/>
      <c r="C334" s="16"/>
      <c r="D334" s="16"/>
      <c r="E334" s="16"/>
      <c r="F334" s="16"/>
      <c r="G334" s="16"/>
    </row>
    <row r="335" ht="15.75" customHeight="1">
      <c r="B335" s="16"/>
      <c r="C335" s="16"/>
      <c r="D335" s="16"/>
      <c r="E335" s="16"/>
      <c r="F335" s="16"/>
      <c r="G335" s="16"/>
    </row>
    <row r="336" ht="15.75" customHeight="1">
      <c r="B336" s="16"/>
      <c r="C336" s="16"/>
      <c r="D336" s="16"/>
      <c r="E336" s="16"/>
      <c r="F336" s="16"/>
      <c r="G336" s="16"/>
    </row>
    <row r="337" ht="15.75" customHeight="1">
      <c r="B337" s="16"/>
      <c r="C337" s="16"/>
      <c r="D337" s="16"/>
      <c r="E337" s="16"/>
      <c r="F337" s="16"/>
      <c r="G337" s="16"/>
    </row>
    <row r="338" ht="15.75" customHeight="1">
      <c r="B338" s="16"/>
      <c r="C338" s="16"/>
      <c r="D338" s="16"/>
      <c r="E338" s="16"/>
      <c r="F338" s="16"/>
      <c r="G338" s="16"/>
    </row>
    <row r="339" ht="15.75" customHeight="1">
      <c r="B339" s="16"/>
      <c r="C339" s="16"/>
      <c r="D339" s="16"/>
      <c r="E339" s="16"/>
      <c r="F339" s="16"/>
      <c r="G339" s="16"/>
    </row>
    <row r="340" ht="15.75" customHeight="1">
      <c r="B340" s="16"/>
      <c r="C340" s="16"/>
      <c r="D340" s="16"/>
      <c r="E340" s="16"/>
      <c r="F340" s="16"/>
      <c r="G340" s="16"/>
    </row>
    <row r="341" ht="15.75" customHeight="1">
      <c r="B341" s="16"/>
      <c r="C341" s="16"/>
      <c r="D341" s="16"/>
      <c r="E341" s="16"/>
      <c r="F341" s="16"/>
      <c r="G341" s="16"/>
    </row>
    <row r="342" ht="15.75" customHeight="1">
      <c r="B342" s="16"/>
      <c r="C342" s="16"/>
      <c r="D342" s="16"/>
      <c r="E342" s="16"/>
      <c r="F342" s="16"/>
      <c r="G342" s="16"/>
    </row>
    <row r="343" ht="15.75" customHeight="1">
      <c r="B343" s="16"/>
      <c r="C343" s="16"/>
      <c r="D343" s="16"/>
      <c r="E343" s="16"/>
      <c r="F343" s="16"/>
      <c r="G343" s="16"/>
    </row>
    <row r="344" ht="15.75" customHeight="1">
      <c r="B344" s="16"/>
      <c r="C344" s="16"/>
      <c r="D344" s="16"/>
      <c r="E344" s="16"/>
      <c r="F344" s="16"/>
      <c r="G344" s="16"/>
    </row>
    <row r="345" ht="15.75" customHeight="1">
      <c r="B345" s="16"/>
      <c r="C345" s="16"/>
      <c r="D345" s="16"/>
      <c r="E345" s="16"/>
      <c r="F345" s="16"/>
      <c r="G345" s="16"/>
    </row>
    <row r="346" ht="15.75" customHeight="1">
      <c r="B346" s="16"/>
      <c r="C346" s="16"/>
      <c r="D346" s="16"/>
      <c r="E346" s="16"/>
      <c r="F346" s="16"/>
      <c r="G346" s="16"/>
    </row>
    <row r="347" ht="15.75" customHeight="1">
      <c r="B347" s="16"/>
      <c r="C347" s="16"/>
      <c r="D347" s="16"/>
      <c r="E347" s="16"/>
      <c r="F347" s="16"/>
      <c r="G347" s="16"/>
    </row>
    <row r="348" ht="15.75" customHeight="1">
      <c r="B348" s="16"/>
      <c r="C348" s="16"/>
      <c r="D348" s="16"/>
      <c r="E348" s="16"/>
      <c r="F348" s="16"/>
      <c r="G348" s="16"/>
    </row>
    <row r="349" ht="15.75" customHeight="1">
      <c r="B349" s="16"/>
      <c r="C349" s="16"/>
      <c r="D349" s="16"/>
      <c r="E349" s="16"/>
      <c r="F349" s="16"/>
      <c r="G349" s="16"/>
    </row>
    <row r="350" ht="15.75" customHeight="1">
      <c r="B350" s="16"/>
      <c r="C350" s="16"/>
      <c r="D350" s="16"/>
      <c r="E350" s="16"/>
      <c r="F350" s="16"/>
      <c r="G350" s="16"/>
    </row>
    <row r="351" ht="15.75" customHeight="1">
      <c r="B351" s="16"/>
      <c r="C351" s="16"/>
      <c r="D351" s="16"/>
      <c r="E351" s="16"/>
      <c r="F351" s="16"/>
      <c r="G351" s="16"/>
    </row>
    <row r="352" ht="15.75" customHeight="1">
      <c r="B352" s="16"/>
      <c r="C352" s="16"/>
      <c r="D352" s="16"/>
      <c r="E352" s="16"/>
      <c r="F352" s="16"/>
      <c r="G352" s="16"/>
    </row>
    <row r="353" ht="15.75" customHeight="1">
      <c r="B353" s="16"/>
      <c r="C353" s="16"/>
      <c r="D353" s="16"/>
      <c r="E353" s="16"/>
      <c r="F353" s="16"/>
      <c r="G353" s="16"/>
    </row>
    <row r="354" ht="15.75" customHeight="1">
      <c r="B354" s="16"/>
      <c r="C354" s="16"/>
      <c r="D354" s="16"/>
      <c r="E354" s="16"/>
      <c r="F354" s="16"/>
      <c r="G354" s="16"/>
    </row>
    <row r="355" ht="15.75" customHeight="1">
      <c r="B355" s="16"/>
      <c r="C355" s="16"/>
      <c r="D355" s="16"/>
      <c r="E355" s="16"/>
      <c r="F355" s="16"/>
      <c r="G355" s="16"/>
    </row>
    <row r="356" ht="15.75" customHeight="1">
      <c r="B356" s="16"/>
      <c r="C356" s="16"/>
      <c r="D356" s="16"/>
      <c r="E356" s="16"/>
      <c r="F356" s="16"/>
      <c r="G356" s="16"/>
    </row>
    <row r="357" ht="15.75" customHeight="1">
      <c r="B357" s="16"/>
      <c r="C357" s="16"/>
      <c r="D357" s="16"/>
      <c r="E357" s="16"/>
      <c r="F357" s="16"/>
      <c r="G357" s="16"/>
    </row>
    <row r="358" ht="15.75" customHeight="1">
      <c r="B358" s="16"/>
      <c r="C358" s="16"/>
      <c r="D358" s="16"/>
      <c r="E358" s="16"/>
      <c r="F358" s="16"/>
      <c r="G358" s="16"/>
    </row>
    <row r="359" ht="15.75" customHeight="1">
      <c r="B359" s="16"/>
      <c r="C359" s="16"/>
      <c r="D359" s="16"/>
      <c r="E359" s="16"/>
      <c r="F359" s="16"/>
      <c r="G359" s="16"/>
    </row>
    <row r="360" ht="15.75" customHeight="1">
      <c r="B360" s="16"/>
      <c r="C360" s="16"/>
      <c r="D360" s="16"/>
      <c r="E360" s="16"/>
      <c r="F360" s="16"/>
      <c r="G360" s="16"/>
    </row>
    <row r="361" ht="15.75" customHeight="1">
      <c r="B361" s="16"/>
      <c r="C361" s="16"/>
      <c r="D361" s="16"/>
      <c r="E361" s="16"/>
      <c r="F361" s="16"/>
      <c r="G361" s="16"/>
    </row>
    <row r="362" ht="15.75" customHeight="1">
      <c r="B362" s="16"/>
      <c r="C362" s="16"/>
      <c r="D362" s="16"/>
      <c r="E362" s="16"/>
      <c r="F362" s="16"/>
      <c r="G362" s="16"/>
    </row>
    <row r="363" ht="15.75" customHeight="1">
      <c r="B363" s="16"/>
      <c r="C363" s="16"/>
      <c r="D363" s="16"/>
      <c r="E363" s="16"/>
      <c r="F363" s="16"/>
      <c r="G363" s="16"/>
    </row>
    <row r="364" ht="15.75" customHeight="1">
      <c r="B364" s="16"/>
      <c r="C364" s="16"/>
      <c r="D364" s="16"/>
      <c r="E364" s="16"/>
      <c r="F364" s="16"/>
      <c r="G364" s="16"/>
    </row>
    <row r="365" ht="15.75" customHeight="1">
      <c r="B365" s="16"/>
      <c r="C365" s="16"/>
      <c r="D365" s="16"/>
      <c r="E365" s="16"/>
      <c r="F365" s="16"/>
      <c r="G365" s="16"/>
    </row>
    <row r="366" ht="15.75" customHeight="1">
      <c r="B366" s="16"/>
      <c r="C366" s="16"/>
      <c r="D366" s="16"/>
      <c r="E366" s="16"/>
      <c r="F366" s="16"/>
      <c r="G366" s="16"/>
    </row>
    <row r="367" ht="15.75" customHeight="1">
      <c r="B367" s="16"/>
      <c r="C367" s="16"/>
      <c r="D367" s="16"/>
      <c r="E367" s="16"/>
      <c r="F367" s="16"/>
      <c r="G367" s="16"/>
    </row>
    <row r="368" ht="15.75" customHeight="1">
      <c r="B368" s="16"/>
      <c r="C368" s="16"/>
      <c r="D368" s="16"/>
      <c r="E368" s="16"/>
      <c r="F368" s="16"/>
      <c r="G368" s="16"/>
    </row>
    <row r="369" ht="15.75" customHeight="1">
      <c r="B369" s="16"/>
      <c r="C369" s="16"/>
      <c r="D369" s="16"/>
      <c r="E369" s="16"/>
      <c r="F369" s="16"/>
      <c r="G369" s="16"/>
    </row>
    <row r="370" ht="15.75" customHeight="1">
      <c r="B370" s="16"/>
      <c r="C370" s="16"/>
      <c r="D370" s="16"/>
      <c r="E370" s="16"/>
      <c r="F370" s="16"/>
      <c r="G370" s="16"/>
    </row>
    <row r="371" ht="15.75" customHeight="1">
      <c r="B371" s="16"/>
      <c r="C371" s="16"/>
      <c r="D371" s="16"/>
      <c r="E371" s="16"/>
      <c r="F371" s="16"/>
      <c r="G371" s="16"/>
    </row>
    <row r="372" ht="15.75" customHeight="1">
      <c r="B372" s="16"/>
      <c r="C372" s="16"/>
      <c r="D372" s="16"/>
      <c r="E372" s="16"/>
      <c r="F372" s="16"/>
      <c r="G372" s="16"/>
    </row>
    <row r="373" ht="15.75" customHeight="1">
      <c r="B373" s="16"/>
      <c r="C373" s="16"/>
      <c r="D373" s="16"/>
      <c r="E373" s="16"/>
      <c r="F373" s="16"/>
      <c r="G373" s="16"/>
    </row>
    <row r="374" ht="15.75" customHeight="1">
      <c r="B374" s="16"/>
      <c r="C374" s="16"/>
      <c r="D374" s="16"/>
      <c r="E374" s="16"/>
      <c r="F374" s="16"/>
      <c r="G374" s="16"/>
    </row>
    <row r="375" ht="15.75" customHeight="1">
      <c r="B375" s="16"/>
      <c r="C375" s="16"/>
      <c r="D375" s="16"/>
      <c r="E375" s="16"/>
      <c r="F375" s="16"/>
      <c r="G375" s="16"/>
    </row>
    <row r="376" ht="15.75" customHeight="1">
      <c r="B376" s="16"/>
      <c r="C376" s="16"/>
      <c r="D376" s="16"/>
      <c r="E376" s="16"/>
      <c r="F376" s="16"/>
      <c r="G376" s="16"/>
    </row>
    <row r="377" ht="15.75" customHeight="1">
      <c r="B377" s="16"/>
      <c r="C377" s="16"/>
      <c r="D377" s="16"/>
      <c r="E377" s="16"/>
      <c r="F377" s="16"/>
      <c r="G377" s="16"/>
    </row>
    <row r="378" ht="15.75" customHeight="1">
      <c r="B378" s="16"/>
      <c r="C378" s="16"/>
      <c r="D378" s="16"/>
      <c r="E378" s="16"/>
      <c r="F378" s="16"/>
      <c r="G378" s="16"/>
    </row>
    <row r="379" ht="15.75" customHeight="1">
      <c r="B379" s="16"/>
      <c r="C379" s="16"/>
      <c r="D379" s="16"/>
      <c r="E379" s="16"/>
      <c r="F379" s="16"/>
      <c r="G379" s="16"/>
    </row>
    <row r="380" ht="15.75" customHeight="1">
      <c r="B380" s="16"/>
      <c r="C380" s="16"/>
      <c r="D380" s="16"/>
      <c r="E380" s="16"/>
      <c r="F380" s="16"/>
      <c r="G380" s="16"/>
    </row>
    <row r="381" ht="15.75" customHeight="1">
      <c r="B381" s="16"/>
      <c r="C381" s="16"/>
      <c r="D381" s="16"/>
      <c r="E381" s="16"/>
      <c r="F381" s="16"/>
      <c r="G381" s="16"/>
    </row>
    <row r="382" ht="15.75" customHeight="1">
      <c r="B382" s="16"/>
      <c r="C382" s="16"/>
      <c r="D382" s="16"/>
      <c r="E382" s="16"/>
      <c r="F382" s="16"/>
      <c r="G382" s="16"/>
    </row>
    <row r="383" ht="15.75" customHeight="1">
      <c r="B383" s="16"/>
      <c r="C383" s="16"/>
      <c r="D383" s="16"/>
      <c r="E383" s="16"/>
      <c r="F383" s="16"/>
      <c r="G383" s="16"/>
    </row>
    <row r="384" ht="15.75" customHeight="1">
      <c r="B384" s="16"/>
      <c r="C384" s="16"/>
      <c r="D384" s="16"/>
      <c r="E384" s="16"/>
      <c r="F384" s="16"/>
      <c r="G384" s="16"/>
    </row>
    <row r="385" ht="15.75" customHeight="1">
      <c r="B385" s="16"/>
      <c r="C385" s="16"/>
      <c r="D385" s="16"/>
      <c r="E385" s="16"/>
      <c r="F385" s="16"/>
      <c r="G385" s="16"/>
    </row>
    <row r="386" ht="15.75" customHeight="1">
      <c r="B386" s="16"/>
      <c r="C386" s="16"/>
      <c r="D386" s="16"/>
      <c r="E386" s="16"/>
      <c r="F386" s="16"/>
      <c r="G386" s="16"/>
    </row>
    <row r="387" ht="15.75" customHeight="1">
      <c r="B387" s="16"/>
      <c r="C387" s="16"/>
      <c r="D387" s="16"/>
      <c r="E387" s="16"/>
      <c r="F387" s="16"/>
      <c r="G387" s="16"/>
    </row>
    <row r="388" ht="15.75" customHeight="1">
      <c r="B388" s="16"/>
      <c r="C388" s="16"/>
      <c r="D388" s="16"/>
      <c r="E388" s="16"/>
      <c r="F388" s="16"/>
      <c r="G388" s="16"/>
    </row>
    <row r="389" ht="15.75" customHeight="1">
      <c r="B389" s="16"/>
      <c r="C389" s="16"/>
      <c r="D389" s="16"/>
      <c r="E389" s="16"/>
      <c r="F389" s="16"/>
      <c r="G389" s="16"/>
    </row>
    <row r="390" ht="15.75" customHeight="1">
      <c r="B390" s="16"/>
      <c r="C390" s="16"/>
      <c r="D390" s="16"/>
      <c r="E390" s="16"/>
      <c r="F390" s="16"/>
      <c r="G390" s="16"/>
    </row>
    <row r="391" ht="15.75" customHeight="1">
      <c r="B391" s="16"/>
      <c r="C391" s="16"/>
      <c r="D391" s="16"/>
      <c r="E391" s="16"/>
      <c r="F391" s="16"/>
      <c r="G391" s="16"/>
    </row>
    <row r="392" ht="15.75" customHeight="1">
      <c r="B392" s="16"/>
      <c r="C392" s="16"/>
      <c r="D392" s="16"/>
      <c r="E392" s="16"/>
      <c r="F392" s="16"/>
      <c r="G392" s="16"/>
    </row>
    <row r="393" ht="15.75" customHeight="1">
      <c r="B393" s="16"/>
      <c r="C393" s="16"/>
      <c r="D393" s="16"/>
      <c r="E393" s="16"/>
      <c r="F393" s="16"/>
      <c r="G393" s="16"/>
    </row>
    <row r="394" ht="15.75" customHeight="1">
      <c r="B394" s="16"/>
      <c r="C394" s="16"/>
      <c r="D394" s="16"/>
      <c r="E394" s="16"/>
      <c r="F394" s="16"/>
      <c r="G394" s="16"/>
    </row>
    <row r="395" ht="15.75" customHeight="1">
      <c r="B395" s="16"/>
      <c r="C395" s="16"/>
      <c r="D395" s="16"/>
      <c r="E395" s="16"/>
      <c r="F395" s="16"/>
      <c r="G395" s="16"/>
    </row>
    <row r="396" ht="15.75" customHeight="1">
      <c r="B396" s="16"/>
      <c r="C396" s="16"/>
      <c r="D396" s="16"/>
      <c r="E396" s="16"/>
      <c r="F396" s="16"/>
      <c r="G396" s="16"/>
    </row>
    <row r="397" ht="15.75" customHeight="1">
      <c r="B397" s="16"/>
      <c r="C397" s="16"/>
      <c r="D397" s="16"/>
      <c r="E397" s="16"/>
      <c r="F397" s="16"/>
      <c r="G397" s="16"/>
    </row>
    <row r="398" ht="15.75" customHeight="1">
      <c r="B398" s="16"/>
      <c r="C398" s="16"/>
      <c r="D398" s="16"/>
      <c r="E398" s="16"/>
      <c r="F398" s="16"/>
      <c r="G398" s="16"/>
    </row>
    <row r="399" ht="15.75" customHeight="1">
      <c r="B399" s="16"/>
      <c r="C399" s="16"/>
      <c r="D399" s="16"/>
      <c r="E399" s="16"/>
      <c r="F399" s="16"/>
      <c r="G399" s="16"/>
    </row>
    <row r="400" ht="15.75" customHeight="1">
      <c r="B400" s="16"/>
      <c r="C400" s="16"/>
      <c r="D400" s="16"/>
      <c r="E400" s="16"/>
      <c r="F400" s="16"/>
      <c r="G400" s="16"/>
    </row>
    <row r="401" ht="15.75" customHeight="1">
      <c r="B401" s="16"/>
      <c r="C401" s="16"/>
      <c r="D401" s="16"/>
      <c r="E401" s="16"/>
      <c r="F401" s="16"/>
      <c r="G401" s="16"/>
    </row>
    <row r="402" ht="15.75" customHeight="1">
      <c r="B402" s="16"/>
      <c r="C402" s="16"/>
      <c r="D402" s="16"/>
      <c r="E402" s="16"/>
      <c r="F402" s="16"/>
      <c r="G402" s="16"/>
    </row>
    <row r="403" ht="15.75" customHeight="1">
      <c r="B403" s="16"/>
      <c r="C403" s="16"/>
      <c r="D403" s="16"/>
      <c r="E403" s="16"/>
      <c r="F403" s="16"/>
      <c r="G403" s="16"/>
    </row>
    <row r="404" ht="15.75" customHeight="1">
      <c r="B404" s="16"/>
      <c r="C404" s="16"/>
      <c r="D404" s="16"/>
      <c r="E404" s="16"/>
      <c r="F404" s="16"/>
      <c r="G404" s="16"/>
    </row>
    <row r="405" ht="15.75" customHeight="1">
      <c r="B405" s="16"/>
      <c r="C405" s="16"/>
      <c r="D405" s="16"/>
      <c r="E405" s="16"/>
      <c r="F405" s="16"/>
      <c r="G405" s="16"/>
    </row>
    <row r="406" ht="15.75" customHeight="1">
      <c r="B406" s="16"/>
      <c r="C406" s="16"/>
      <c r="D406" s="16"/>
      <c r="E406" s="16"/>
      <c r="F406" s="16"/>
      <c r="G406" s="16"/>
    </row>
    <row r="407" ht="15.75" customHeight="1">
      <c r="B407" s="16"/>
      <c r="C407" s="16"/>
      <c r="D407" s="16"/>
      <c r="E407" s="16"/>
      <c r="F407" s="16"/>
      <c r="G407" s="16"/>
    </row>
    <row r="408" ht="15.75" customHeight="1">
      <c r="B408" s="16"/>
      <c r="C408" s="16"/>
      <c r="D408" s="16"/>
      <c r="E408" s="16"/>
      <c r="F408" s="16"/>
      <c r="G408" s="16"/>
    </row>
    <row r="409" ht="15.75" customHeight="1">
      <c r="B409" s="16"/>
      <c r="C409" s="16"/>
      <c r="D409" s="16"/>
      <c r="E409" s="16"/>
      <c r="F409" s="16"/>
      <c r="G409" s="16"/>
    </row>
    <row r="410" ht="15.75" customHeight="1">
      <c r="B410" s="16"/>
      <c r="C410" s="16"/>
      <c r="D410" s="16"/>
      <c r="E410" s="16"/>
      <c r="F410" s="16"/>
      <c r="G410" s="16"/>
    </row>
    <row r="411" ht="15.75" customHeight="1">
      <c r="B411" s="16"/>
      <c r="C411" s="16"/>
      <c r="D411" s="16"/>
      <c r="E411" s="16"/>
      <c r="F411" s="16"/>
      <c r="G411" s="16"/>
    </row>
    <row r="412" ht="15.75" customHeight="1">
      <c r="B412" s="16"/>
      <c r="C412" s="16"/>
      <c r="D412" s="16"/>
      <c r="E412" s="16"/>
      <c r="F412" s="16"/>
      <c r="G412" s="16"/>
    </row>
    <row r="413" ht="15.75" customHeight="1">
      <c r="B413" s="16"/>
      <c r="C413" s="16"/>
      <c r="D413" s="16"/>
      <c r="E413" s="16"/>
      <c r="F413" s="16"/>
      <c r="G413" s="16"/>
    </row>
    <row r="414" ht="15.75" customHeight="1">
      <c r="B414" s="16"/>
      <c r="C414" s="16"/>
      <c r="D414" s="16"/>
      <c r="E414" s="16"/>
      <c r="F414" s="16"/>
      <c r="G414" s="16"/>
    </row>
    <row r="415" ht="15.75" customHeight="1">
      <c r="B415" s="16"/>
      <c r="C415" s="16"/>
      <c r="D415" s="16"/>
      <c r="E415" s="16"/>
      <c r="F415" s="16"/>
      <c r="G415" s="16"/>
    </row>
    <row r="416" ht="15.75" customHeight="1">
      <c r="B416" s="16"/>
      <c r="C416" s="16"/>
      <c r="D416" s="16"/>
      <c r="E416" s="16"/>
      <c r="F416" s="16"/>
      <c r="G416" s="16"/>
    </row>
    <row r="417" ht="15.75" customHeight="1">
      <c r="B417" s="16"/>
      <c r="C417" s="16"/>
      <c r="D417" s="16"/>
      <c r="E417" s="16"/>
      <c r="F417" s="16"/>
      <c r="G417" s="16"/>
    </row>
    <row r="418" ht="15.75" customHeight="1">
      <c r="B418" s="16"/>
      <c r="C418" s="16"/>
      <c r="D418" s="16"/>
      <c r="E418" s="16"/>
      <c r="F418" s="16"/>
      <c r="G418" s="16"/>
    </row>
    <row r="419" ht="15.75" customHeight="1">
      <c r="B419" s="16"/>
      <c r="C419" s="16"/>
      <c r="D419" s="16"/>
      <c r="E419" s="16"/>
      <c r="F419" s="16"/>
      <c r="G419" s="16"/>
    </row>
    <row r="420" ht="15.75" customHeight="1">
      <c r="B420" s="16"/>
      <c r="C420" s="16"/>
      <c r="D420" s="16"/>
      <c r="E420" s="16"/>
      <c r="F420" s="16"/>
      <c r="G420" s="16"/>
    </row>
    <row r="421" ht="15.75" customHeight="1">
      <c r="B421" s="16"/>
      <c r="C421" s="16"/>
      <c r="D421" s="16"/>
      <c r="E421" s="16"/>
      <c r="F421" s="16"/>
      <c r="G421" s="16"/>
    </row>
    <row r="422" ht="15.75" customHeight="1">
      <c r="B422" s="16"/>
      <c r="C422" s="16"/>
      <c r="D422" s="16"/>
      <c r="E422" s="16"/>
      <c r="F422" s="16"/>
      <c r="G422" s="16"/>
    </row>
    <row r="423" ht="15.75" customHeight="1">
      <c r="B423" s="16"/>
      <c r="C423" s="16"/>
      <c r="D423" s="16"/>
      <c r="E423" s="16"/>
      <c r="F423" s="16"/>
      <c r="G423" s="16"/>
    </row>
    <row r="424" ht="15.75" customHeight="1">
      <c r="B424" s="16"/>
      <c r="C424" s="16"/>
      <c r="D424" s="16"/>
      <c r="E424" s="16"/>
      <c r="F424" s="16"/>
      <c r="G424" s="16"/>
    </row>
    <row r="425" ht="15.75" customHeight="1">
      <c r="B425" s="16"/>
      <c r="C425" s="16"/>
      <c r="D425" s="16"/>
      <c r="E425" s="16"/>
      <c r="F425" s="16"/>
      <c r="G425" s="16"/>
    </row>
    <row r="426" ht="15.75" customHeight="1">
      <c r="B426" s="16"/>
      <c r="C426" s="16"/>
      <c r="D426" s="16"/>
      <c r="E426" s="16"/>
      <c r="F426" s="16"/>
      <c r="G426" s="16"/>
    </row>
    <row r="427" ht="15.75" customHeight="1">
      <c r="B427" s="16"/>
      <c r="C427" s="16"/>
      <c r="D427" s="16"/>
      <c r="E427" s="16"/>
      <c r="F427" s="16"/>
      <c r="G427" s="16"/>
    </row>
    <row r="428" ht="15.75" customHeight="1">
      <c r="B428" s="16"/>
      <c r="C428" s="16"/>
      <c r="D428" s="16"/>
      <c r="E428" s="16"/>
      <c r="F428" s="16"/>
      <c r="G428" s="16"/>
    </row>
    <row r="429" ht="15.75" customHeight="1">
      <c r="B429" s="16"/>
      <c r="C429" s="16"/>
      <c r="D429" s="16"/>
      <c r="E429" s="16"/>
      <c r="F429" s="16"/>
      <c r="G429" s="16"/>
    </row>
    <row r="430" ht="15.75" customHeight="1">
      <c r="B430" s="16"/>
      <c r="C430" s="16"/>
      <c r="D430" s="16"/>
      <c r="E430" s="16"/>
      <c r="F430" s="16"/>
      <c r="G430" s="16"/>
    </row>
    <row r="431" ht="15.75" customHeight="1">
      <c r="B431" s="16"/>
      <c r="C431" s="16"/>
      <c r="D431" s="16"/>
      <c r="E431" s="16"/>
      <c r="F431" s="16"/>
      <c r="G431" s="16"/>
    </row>
    <row r="432" ht="15.75" customHeight="1">
      <c r="B432" s="16"/>
      <c r="C432" s="16"/>
      <c r="D432" s="16"/>
      <c r="E432" s="16"/>
      <c r="F432" s="16"/>
      <c r="G432" s="16"/>
    </row>
    <row r="433" ht="15.75" customHeight="1">
      <c r="B433" s="16"/>
      <c r="C433" s="16"/>
      <c r="D433" s="16"/>
      <c r="E433" s="16"/>
      <c r="F433" s="16"/>
      <c r="G433" s="16"/>
    </row>
    <row r="434" ht="15.75" customHeight="1">
      <c r="B434" s="16"/>
      <c r="C434" s="16"/>
      <c r="D434" s="16"/>
      <c r="E434" s="16"/>
      <c r="F434" s="16"/>
      <c r="G434" s="16"/>
    </row>
    <row r="435" ht="15.75" customHeight="1">
      <c r="B435" s="16"/>
      <c r="C435" s="16"/>
      <c r="D435" s="16"/>
      <c r="E435" s="16"/>
      <c r="F435" s="16"/>
      <c r="G435" s="16"/>
    </row>
    <row r="436" ht="15.75" customHeight="1">
      <c r="B436" s="16"/>
      <c r="C436" s="16"/>
      <c r="D436" s="16"/>
      <c r="E436" s="16"/>
      <c r="F436" s="16"/>
      <c r="G436" s="16"/>
    </row>
    <row r="437" ht="15.75" customHeight="1">
      <c r="B437" s="16"/>
      <c r="C437" s="16"/>
      <c r="D437" s="16"/>
      <c r="E437" s="16"/>
      <c r="F437" s="16"/>
      <c r="G437" s="16"/>
    </row>
    <row r="438" ht="15.75" customHeight="1">
      <c r="B438" s="16"/>
      <c r="C438" s="16"/>
      <c r="D438" s="16"/>
      <c r="E438" s="16"/>
      <c r="F438" s="16"/>
      <c r="G438" s="16"/>
    </row>
    <row r="439" ht="15.75" customHeight="1">
      <c r="B439" s="16"/>
      <c r="C439" s="16"/>
      <c r="D439" s="16"/>
      <c r="E439" s="16"/>
      <c r="F439" s="16"/>
      <c r="G439" s="16"/>
    </row>
    <row r="440" ht="15.75" customHeight="1">
      <c r="B440" s="16"/>
      <c r="C440" s="16"/>
      <c r="D440" s="16"/>
      <c r="E440" s="16"/>
      <c r="F440" s="16"/>
      <c r="G440" s="16"/>
    </row>
    <row r="441" ht="15.75" customHeight="1">
      <c r="B441" s="16"/>
      <c r="C441" s="16"/>
      <c r="D441" s="16"/>
      <c r="E441" s="16"/>
      <c r="F441" s="16"/>
      <c r="G441" s="16"/>
    </row>
    <row r="442" ht="15.75" customHeight="1">
      <c r="B442" s="16"/>
      <c r="C442" s="16"/>
      <c r="D442" s="16"/>
      <c r="E442" s="16"/>
      <c r="F442" s="16"/>
      <c r="G442" s="16"/>
    </row>
    <row r="443" ht="15.75" customHeight="1">
      <c r="B443" s="16"/>
      <c r="C443" s="16"/>
      <c r="D443" s="16"/>
      <c r="E443" s="16"/>
      <c r="F443" s="16"/>
      <c r="G443" s="16"/>
    </row>
    <row r="444" ht="15.75" customHeight="1">
      <c r="B444" s="16"/>
      <c r="C444" s="16"/>
      <c r="D444" s="16"/>
      <c r="E444" s="16"/>
      <c r="F444" s="16"/>
      <c r="G444" s="16"/>
    </row>
    <row r="445" ht="15.75" customHeight="1">
      <c r="B445" s="16"/>
      <c r="C445" s="16"/>
      <c r="D445" s="16"/>
      <c r="E445" s="16"/>
      <c r="F445" s="16"/>
      <c r="G445" s="16"/>
    </row>
    <row r="446" ht="15.75" customHeight="1">
      <c r="B446" s="16"/>
      <c r="C446" s="16"/>
      <c r="D446" s="16"/>
      <c r="E446" s="16"/>
      <c r="F446" s="16"/>
      <c r="G446" s="16"/>
    </row>
    <row r="447" ht="15.75" customHeight="1">
      <c r="B447" s="16"/>
      <c r="C447" s="16"/>
      <c r="D447" s="16"/>
      <c r="E447" s="16"/>
      <c r="F447" s="16"/>
      <c r="G447" s="16"/>
    </row>
    <row r="448" ht="15.75" customHeight="1">
      <c r="B448" s="16"/>
      <c r="C448" s="16"/>
      <c r="D448" s="16"/>
      <c r="E448" s="16"/>
      <c r="F448" s="16"/>
      <c r="G448" s="16"/>
    </row>
    <row r="449" ht="15.75" customHeight="1">
      <c r="B449" s="16"/>
      <c r="C449" s="16"/>
      <c r="D449" s="16"/>
      <c r="E449" s="16"/>
      <c r="F449" s="16"/>
      <c r="G449" s="16"/>
    </row>
    <row r="450" ht="15.75" customHeight="1">
      <c r="B450" s="16"/>
      <c r="C450" s="16"/>
      <c r="D450" s="16"/>
      <c r="E450" s="16"/>
      <c r="F450" s="16"/>
      <c r="G450" s="16"/>
    </row>
    <row r="451" ht="15.75" customHeight="1">
      <c r="B451" s="16"/>
      <c r="C451" s="16"/>
      <c r="D451" s="16"/>
      <c r="E451" s="16"/>
      <c r="F451" s="16"/>
      <c r="G451" s="16"/>
    </row>
    <row r="452" ht="15.75" customHeight="1">
      <c r="B452" s="16"/>
      <c r="C452" s="16"/>
      <c r="D452" s="16"/>
      <c r="E452" s="16"/>
      <c r="F452" s="16"/>
      <c r="G452" s="16"/>
    </row>
    <row r="453" ht="15.75" customHeight="1">
      <c r="B453" s="16"/>
      <c r="C453" s="16"/>
      <c r="D453" s="16"/>
      <c r="E453" s="16"/>
      <c r="F453" s="16"/>
      <c r="G453" s="16"/>
    </row>
    <row r="454" ht="15.75" customHeight="1">
      <c r="B454" s="16"/>
      <c r="C454" s="16"/>
      <c r="D454" s="16"/>
      <c r="E454" s="16"/>
      <c r="F454" s="16"/>
      <c r="G454" s="16"/>
    </row>
    <row r="455" ht="15.75" customHeight="1">
      <c r="B455" s="16"/>
      <c r="C455" s="16"/>
      <c r="D455" s="16"/>
      <c r="E455" s="16"/>
      <c r="F455" s="16"/>
      <c r="G455" s="16"/>
    </row>
    <row r="456" ht="15.75" customHeight="1">
      <c r="B456" s="16"/>
      <c r="C456" s="16"/>
      <c r="D456" s="16"/>
      <c r="E456" s="16"/>
      <c r="F456" s="16"/>
      <c r="G456" s="16"/>
    </row>
    <row r="457" ht="15.75" customHeight="1">
      <c r="B457" s="16"/>
      <c r="C457" s="16"/>
      <c r="D457" s="16"/>
      <c r="E457" s="16"/>
      <c r="F457" s="16"/>
      <c r="G457" s="16"/>
    </row>
    <row r="458" ht="15.75" customHeight="1">
      <c r="B458" s="16"/>
      <c r="C458" s="16"/>
      <c r="D458" s="16"/>
      <c r="E458" s="16"/>
      <c r="F458" s="16"/>
      <c r="G458" s="16"/>
    </row>
    <row r="459" ht="15.75" customHeight="1">
      <c r="B459" s="16"/>
      <c r="C459" s="16"/>
      <c r="D459" s="16"/>
      <c r="E459" s="16"/>
      <c r="F459" s="16"/>
      <c r="G459" s="16"/>
    </row>
    <row r="460" ht="15.75" customHeight="1">
      <c r="B460" s="16"/>
      <c r="C460" s="16"/>
      <c r="D460" s="16"/>
      <c r="E460" s="16"/>
      <c r="F460" s="16"/>
      <c r="G460" s="16"/>
    </row>
    <row r="461" ht="15.75" customHeight="1">
      <c r="B461" s="16"/>
      <c r="C461" s="16"/>
      <c r="D461" s="16"/>
      <c r="E461" s="16"/>
      <c r="F461" s="16"/>
      <c r="G461" s="16"/>
    </row>
    <row r="462" ht="15.75" customHeight="1">
      <c r="B462" s="16"/>
      <c r="C462" s="16"/>
      <c r="D462" s="16"/>
      <c r="E462" s="16"/>
      <c r="F462" s="16"/>
      <c r="G462" s="16"/>
    </row>
    <row r="463" ht="15.75" customHeight="1">
      <c r="B463" s="16"/>
      <c r="C463" s="16"/>
      <c r="D463" s="16"/>
      <c r="E463" s="16"/>
      <c r="F463" s="16"/>
      <c r="G463" s="16"/>
    </row>
    <row r="464" ht="15.75" customHeight="1">
      <c r="B464" s="16"/>
      <c r="C464" s="16"/>
      <c r="D464" s="16"/>
      <c r="E464" s="16"/>
      <c r="F464" s="16"/>
      <c r="G464" s="16"/>
    </row>
    <row r="465" ht="15.75" customHeight="1">
      <c r="B465" s="16"/>
      <c r="C465" s="16"/>
      <c r="D465" s="16"/>
      <c r="E465" s="16"/>
      <c r="F465" s="16"/>
      <c r="G465" s="16"/>
    </row>
    <row r="466" ht="15.75" customHeight="1">
      <c r="B466" s="16"/>
      <c r="C466" s="16"/>
      <c r="D466" s="16"/>
      <c r="E466" s="16"/>
      <c r="F466" s="16"/>
      <c r="G466" s="16"/>
    </row>
    <row r="467" ht="15.75" customHeight="1">
      <c r="B467" s="16"/>
      <c r="C467" s="16"/>
      <c r="D467" s="16"/>
      <c r="E467" s="16"/>
      <c r="F467" s="16"/>
      <c r="G467" s="16"/>
    </row>
    <row r="468" ht="15.75" customHeight="1">
      <c r="B468" s="16"/>
      <c r="C468" s="16"/>
      <c r="D468" s="16"/>
      <c r="E468" s="16"/>
      <c r="F468" s="16"/>
      <c r="G468" s="16"/>
    </row>
    <row r="469" ht="15.75" customHeight="1">
      <c r="B469" s="16"/>
      <c r="C469" s="16"/>
      <c r="D469" s="16"/>
      <c r="E469" s="16"/>
      <c r="F469" s="16"/>
      <c r="G469" s="16"/>
    </row>
    <row r="470" ht="15.75" customHeight="1">
      <c r="B470" s="16"/>
      <c r="C470" s="16"/>
      <c r="D470" s="16"/>
      <c r="E470" s="16"/>
      <c r="F470" s="16"/>
      <c r="G470" s="16"/>
    </row>
    <row r="471" ht="15.75" customHeight="1">
      <c r="B471" s="16"/>
      <c r="C471" s="16"/>
      <c r="D471" s="16"/>
      <c r="E471" s="16"/>
      <c r="F471" s="16"/>
      <c r="G471" s="16"/>
    </row>
    <row r="472" ht="15.75" customHeight="1">
      <c r="B472" s="16"/>
      <c r="C472" s="16"/>
      <c r="D472" s="16"/>
      <c r="E472" s="16"/>
      <c r="F472" s="16"/>
      <c r="G472" s="16"/>
    </row>
    <row r="473" ht="15.75" customHeight="1">
      <c r="B473" s="16"/>
      <c r="C473" s="16"/>
      <c r="D473" s="16"/>
      <c r="E473" s="16"/>
      <c r="F473" s="16"/>
      <c r="G473" s="16"/>
    </row>
    <row r="474" ht="15.75" customHeight="1">
      <c r="B474" s="16"/>
      <c r="C474" s="16"/>
      <c r="D474" s="16"/>
      <c r="E474" s="16"/>
      <c r="F474" s="16"/>
      <c r="G474" s="16"/>
    </row>
    <row r="475" ht="15.75" customHeight="1">
      <c r="B475" s="16"/>
      <c r="C475" s="16"/>
      <c r="D475" s="16"/>
      <c r="E475" s="16"/>
      <c r="F475" s="16"/>
      <c r="G475" s="16"/>
    </row>
    <row r="476" ht="15.75" customHeight="1">
      <c r="B476" s="16"/>
      <c r="C476" s="16"/>
      <c r="D476" s="16"/>
      <c r="E476" s="16"/>
      <c r="F476" s="16"/>
      <c r="G476" s="16"/>
    </row>
    <row r="477" ht="15.75" customHeight="1">
      <c r="B477" s="16"/>
      <c r="C477" s="16"/>
      <c r="D477" s="16"/>
      <c r="E477" s="16"/>
      <c r="F477" s="16"/>
      <c r="G477" s="16"/>
    </row>
    <row r="478" ht="15.75" customHeight="1">
      <c r="B478" s="16"/>
      <c r="C478" s="16"/>
      <c r="D478" s="16"/>
      <c r="E478" s="16"/>
      <c r="F478" s="16"/>
      <c r="G478" s="16"/>
    </row>
    <row r="479" ht="15.75" customHeight="1">
      <c r="B479" s="16"/>
      <c r="C479" s="16"/>
      <c r="D479" s="16"/>
      <c r="E479" s="16"/>
      <c r="F479" s="16"/>
      <c r="G479" s="16"/>
    </row>
    <row r="480" ht="15.75" customHeight="1">
      <c r="B480" s="16"/>
      <c r="C480" s="16"/>
      <c r="D480" s="16"/>
      <c r="E480" s="16"/>
      <c r="F480" s="16"/>
      <c r="G480" s="16"/>
    </row>
    <row r="481" ht="15.75" customHeight="1">
      <c r="B481" s="16"/>
      <c r="C481" s="16"/>
      <c r="D481" s="16"/>
      <c r="E481" s="16"/>
      <c r="F481" s="16"/>
      <c r="G481" s="16"/>
    </row>
    <row r="482" ht="15.75" customHeight="1">
      <c r="B482" s="16"/>
      <c r="C482" s="16"/>
      <c r="D482" s="16"/>
      <c r="E482" s="16"/>
      <c r="F482" s="16"/>
      <c r="G482" s="16"/>
    </row>
    <row r="483" ht="15.75" customHeight="1">
      <c r="B483" s="16"/>
      <c r="C483" s="16"/>
      <c r="D483" s="16"/>
      <c r="E483" s="16"/>
      <c r="F483" s="16"/>
      <c r="G483" s="16"/>
    </row>
    <row r="484" ht="15.75" customHeight="1">
      <c r="B484" s="16"/>
      <c r="C484" s="16"/>
      <c r="D484" s="16"/>
      <c r="E484" s="16"/>
      <c r="F484" s="16"/>
      <c r="G484" s="16"/>
    </row>
    <row r="485" ht="15.75" customHeight="1">
      <c r="B485" s="16"/>
      <c r="C485" s="16"/>
      <c r="D485" s="16"/>
      <c r="E485" s="16"/>
      <c r="F485" s="16"/>
      <c r="G485" s="16"/>
    </row>
    <row r="486" ht="15.75" customHeight="1">
      <c r="B486" s="16"/>
      <c r="C486" s="16"/>
      <c r="D486" s="16"/>
      <c r="E486" s="16"/>
      <c r="F486" s="16"/>
      <c r="G486" s="16"/>
    </row>
    <row r="487" ht="15.75" customHeight="1">
      <c r="B487" s="16"/>
      <c r="C487" s="16"/>
      <c r="D487" s="16"/>
      <c r="E487" s="16"/>
      <c r="F487" s="16"/>
      <c r="G487" s="16"/>
    </row>
    <row r="488" ht="15.75" customHeight="1">
      <c r="B488" s="16"/>
      <c r="C488" s="16"/>
      <c r="D488" s="16"/>
      <c r="E488" s="16"/>
      <c r="F488" s="16"/>
      <c r="G488" s="16"/>
    </row>
    <row r="489" ht="15.75" customHeight="1">
      <c r="B489" s="16"/>
      <c r="C489" s="16"/>
      <c r="D489" s="16"/>
      <c r="E489" s="16"/>
      <c r="F489" s="16"/>
      <c r="G489" s="16"/>
    </row>
    <row r="490" ht="15.75" customHeight="1">
      <c r="B490" s="16"/>
      <c r="C490" s="16"/>
      <c r="D490" s="16"/>
      <c r="E490" s="16"/>
      <c r="F490" s="16"/>
      <c r="G490" s="16"/>
    </row>
    <row r="491" ht="15.75" customHeight="1">
      <c r="B491" s="16"/>
      <c r="C491" s="16"/>
      <c r="D491" s="16"/>
      <c r="E491" s="16"/>
      <c r="F491" s="16"/>
      <c r="G491" s="16"/>
    </row>
    <row r="492" ht="15.75" customHeight="1">
      <c r="B492" s="16"/>
      <c r="C492" s="16"/>
      <c r="D492" s="16"/>
      <c r="E492" s="16"/>
      <c r="F492" s="16"/>
      <c r="G492" s="16"/>
    </row>
    <row r="493" ht="15.75" customHeight="1">
      <c r="B493" s="16"/>
      <c r="C493" s="16"/>
      <c r="D493" s="16"/>
      <c r="E493" s="16"/>
      <c r="F493" s="16"/>
      <c r="G493" s="16"/>
    </row>
    <row r="494" ht="15.75" customHeight="1">
      <c r="B494" s="16"/>
      <c r="C494" s="16"/>
      <c r="D494" s="16"/>
      <c r="E494" s="16"/>
      <c r="F494" s="16"/>
      <c r="G494" s="16"/>
    </row>
    <row r="495" ht="15.75" customHeight="1">
      <c r="B495" s="16"/>
      <c r="C495" s="16"/>
      <c r="D495" s="16"/>
      <c r="E495" s="16"/>
      <c r="F495" s="16"/>
      <c r="G495" s="16"/>
    </row>
    <row r="496" ht="15.75" customHeight="1">
      <c r="B496" s="16"/>
      <c r="C496" s="16"/>
      <c r="D496" s="16"/>
      <c r="E496" s="16"/>
      <c r="F496" s="16"/>
      <c r="G496" s="16"/>
    </row>
    <row r="497" ht="15.75" customHeight="1">
      <c r="B497" s="16"/>
      <c r="C497" s="16"/>
      <c r="D497" s="16"/>
      <c r="E497" s="16"/>
      <c r="F497" s="16"/>
      <c r="G497" s="16"/>
    </row>
    <row r="498" ht="15.75" customHeight="1">
      <c r="B498" s="16"/>
      <c r="C498" s="16"/>
      <c r="D498" s="16"/>
      <c r="E498" s="16"/>
      <c r="F498" s="16"/>
      <c r="G498" s="16"/>
    </row>
    <row r="499" ht="15.75" customHeight="1">
      <c r="B499" s="16"/>
      <c r="C499" s="16"/>
      <c r="D499" s="16"/>
      <c r="E499" s="16"/>
      <c r="F499" s="16"/>
      <c r="G499" s="16"/>
    </row>
    <row r="500" ht="15.75" customHeight="1">
      <c r="B500" s="16"/>
      <c r="C500" s="16"/>
      <c r="D500" s="16"/>
      <c r="E500" s="16"/>
      <c r="F500" s="16"/>
      <c r="G500" s="16"/>
    </row>
    <row r="501" ht="15.75" customHeight="1">
      <c r="B501" s="16"/>
      <c r="C501" s="16"/>
      <c r="D501" s="16"/>
      <c r="E501" s="16"/>
      <c r="F501" s="16"/>
      <c r="G501" s="16"/>
    </row>
    <row r="502" ht="15.75" customHeight="1">
      <c r="B502" s="16"/>
      <c r="C502" s="16"/>
      <c r="D502" s="16"/>
      <c r="E502" s="16"/>
      <c r="F502" s="16"/>
      <c r="G502" s="16"/>
    </row>
    <row r="503" ht="15.75" customHeight="1">
      <c r="B503" s="16"/>
      <c r="C503" s="16"/>
      <c r="D503" s="16"/>
      <c r="E503" s="16"/>
      <c r="F503" s="16"/>
      <c r="G503" s="16"/>
    </row>
    <row r="504" ht="15.75" customHeight="1">
      <c r="B504" s="16"/>
      <c r="C504" s="16"/>
      <c r="D504" s="16"/>
      <c r="E504" s="16"/>
      <c r="F504" s="16"/>
      <c r="G504" s="16"/>
    </row>
    <row r="505" ht="15.75" customHeight="1">
      <c r="B505" s="16"/>
      <c r="C505" s="16"/>
      <c r="D505" s="16"/>
      <c r="E505" s="16"/>
      <c r="F505" s="16"/>
      <c r="G505" s="16"/>
    </row>
    <row r="506" ht="15.75" customHeight="1">
      <c r="B506" s="16"/>
      <c r="C506" s="16"/>
      <c r="D506" s="16"/>
      <c r="E506" s="16"/>
      <c r="F506" s="16"/>
      <c r="G506" s="16"/>
    </row>
    <row r="507" ht="15.75" customHeight="1">
      <c r="B507" s="16"/>
      <c r="C507" s="16"/>
      <c r="D507" s="16"/>
      <c r="E507" s="16"/>
      <c r="F507" s="16"/>
      <c r="G507" s="16"/>
    </row>
    <row r="508" ht="15.75" customHeight="1">
      <c r="B508" s="16"/>
      <c r="C508" s="16"/>
      <c r="D508" s="16"/>
      <c r="E508" s="16"/>
      <c r="F508" s="16"/>
      <c r="G508" s="16"/>
    </row>
    <row r="509" ht="15.75" customHeight="1">
      <c r="B509" s="16"/>
      <c r="C509" s="16"/>
      <c r="D509" s="16"/>
      <c r="E509" s="16"/>
      <c r="F509" s="16"/>
      <c r="G509" s="16"/>
    </row>
    <row r="510" ht="15.75" customHeight="1">
      <c r="B510" s="16"/>
      <c r="C510" s="16"/>
      <c r="D510" s="16"/>
      <c r="E510" s="16"/>
      <c r="F510" s="16"/>
      <c r="G510" s="16"/>
    </row>
    <row r="511" ht="15.75" customHeight="1">
      <c r="B511" s="16"/>
      <c r="C511" s="16"/>
      <c r="D511" s="16"/>
      <c r="E511" s="16"/>
      <c r="F511" s="16"/>
      <c r="G511" s="16"/>
    </row>
    <row r="512" ht="15.75" customHeight="1">
      <c r="B512" s="16"/>
      <c r="C512" s="16"/>
      <c r="D512" s="16"/>
      <c r="E512" s="16"/>
      <c r="F512" s="16"/>
      <c r="G512" s="16"/>
    </row>
    <row r="513" ht="15.75" customHeight="1">
      <c r="B513" s="16"/>
      <c r="C513" s="16"/>
      <c r="D513" s="16"/>
      <c r="E513" s="16"/>
      <c r="F513" s="16"/>
      <c r="G513" s="16"/>
    </row>
    <row r="514" ht="15.75" customHeight="1">
      <c r="B514" s="16"/>
      <c r="C514" s="16"/>
      <c r="D514" s="16"/>
      <c r="E514" s="16"/>
      <c r="F514" s="16"/>
      <c r="G514" s="16"/>
    </row>
    <row r="515" ht="15.75" customHeight="1">
      <c r="B515" s="16"/>
      <c r="C515" s="16"/>
      <c r="D515" s="16"/>
      <c r="E515" s="16"/>
      <c r="F515" s="16"/>
      <c r="G515" s="16"/>
    </row>
    <row r="516" ht="15.75" customHeight="1">
      <c r="B516" s="16"/>
      <c r="C516" s="16"/>
      <c r="D516" s="16"/>
      <c r="E516" s="16"/>
      <c r="F516" s="16"/>
      <c r="G516" s="16"/>
    </row>
    <row r="517" ht="15.75" customHeight="1">
      <c r="B517" s="16"/>
      <c r="C517" s="16"/>
      <c r="D517" s="16"/>
      <c r="E517" s="16"/>
      <c r="F517" s="16"/>
      <c r="G517" s="16"/>
    </row>
    <row r="518" ht="15.75" customHeight="1">
      <c r="B518" s="16"/>
      <c r="C518" s="16"/>
      <c r="D518" s="16"/>
      <c r="E518" s="16"/>
      <c r="F518" s="16"/>
      <c r="G518" s="16"/>
    </row>
    <row r="519" ht="15.75" customHeight="1">
      <c r="B519" s="16"/>
      <c r="C519" s="16"/>
      <c r="D519" s="16"/>
      <c r="E519" s="16"/>
      <c r="F519" s="16"/>
      <c r="G519" s="16"/>
    </row>
    <row r="520" ht="15.75" customHeight="1">
      <c r="B520" s="16"/>
      <c r="C520" s="16"/>
      <c r="D520" s="16"/>
      <c r="E520" s="16"/>
      <c r="F520" s="16"/>
      <c r="G520" s="16"/>
    </row>
    <row r="521" ht="15.75" customHeight="1">
      <c r="B521" s="16"/>
      <c r="C521" s="16"/>
      <c r="D521" s="16"/>
      <c r="E521" s="16"/>
      <c r="F521" s="16"/>
      <c r="G521" s="16"/>
    </row>
    <row r="522" ht="15.75" customHeight="1">
      <c r="B522" s="16"/>
      <c r="C522" s="16"/>
      <c r="D522" s="16"/>
      <c r="E522" s="16"/>
      <c r="F522" s="16"/>
      <c r="G522" s="16"/>
    </row>
    <row r="523" ht="15.75" customHeight="1">
      <c r="B523" s="16"/>
      <c r="C523" s="16"/>
      <c r="D523" s="16"/>
      <c r="E523" s="16"/>
      <c r="F523" s="16"/>
      <c r="G523" s="16"/>
    </row>
    <row r="524" ht="15.75" customHeight="1">
      <c r="B524" s="16"/>
      <c r="C524" s="16"/>
      <c r="D524" s="16"/>
      <c r="E524" s="16"/>
      <c r="F524" s="16"/>
      <c r="G524" s="16"/>
    </row>
    <row r="525" ht="15.75" customHeight="1">
      <c r="B525" s="16"/>
      <c r="C525" s="16"/>
      <c r="D525" s="16"/>
      <c r="E525" s="16"/>
      <c r="F525" s="16"/>
      <c r="G525" s="16"/>
    </row>
    <row r="526" ht="15.75" customHeight="1">
      <c r="B526" s="16"/>
      <c r="C526" s="16"/>
      <c r="D526" s="16"/>
      <c r="E526" s="16"/>
      <c r="F526" s="16"/>
      <c r="G526" s="16"/>
    </row>
    <row r="527" ht="15.75" customHeight="1">
      <c r="B527" s="16"/>
      <c r="C527" s="16"/>
      <c r="D527" s="16"/>
      <c r="E527" s="16"/>
      <c r="F527" s="16"/>
      <c r="G527" s="16"/>
    </row>
    <row r="528" ht="15.75" customHeight="1">
      <c r="B528" s="16"/>
      <c r="C528" s="16"/>
      <c r="D528" s="16"/>
      <c r="E528" s="16"/>
      <c r="F528" s="16"/>
      <c r="G528" s="16"/>
    </row>
    <row r="529" ht="15.75" customHeight="1">
      <c r="B529" s="16"/>
      <c r="C529" s="16"/>
      <c r="D529" s="16"/>
      <c r="E529" s="16"/>
      <c r="F529" s="16"/>
      <c r="G529" s="16"/>
    </row>
    <row r="530" ht="15.75" customHeight="1">
      <c r="B530" s="16"/>
      <c r="C530" s="16"/>
      <c r="D530" s="16"/>
      <c r="E530" s="16"/>
      <c r="F530" s="16"/>
      <c r="G530" s="16"/>
    </row>
    <row r="531" ht="15.75" customHeight="1">
      <c r="B531" s="16"/>
      <c r="C531" s="16"/>
      <c r="D531" s="16"/>
      <c r="E531" s="16"/>
      <c r="F531" s="16"/>
      <c r="G531" s="16"/>
    </row>
    <row r="532" ht="15.75" customHeight="1">
      <c r="B532" s="16"/>
      <c r="C532" s="16"/>
      <c r="D532" s="16"/>
      <c r="E532" s="16"/>
      <c r="F532" s="16"/>
      <c r="G532" s="16"/>
    </row>
    <row r="533" ht="15.75" customHeight="1">
      <c r="B533" s="16"/>
      <c r="C533" s="16"/>
      <c r="D533" s="16"/>
      <c r="E533" s="16"/>
      <c r="F533" s="16"/>
      <c r="G533" s="16"/>
    </row>
    <row r="534" ht="15.75" customHeight="1">
      <c r="B534" s="16"/>
      <c r="C534" s="16"/>
      <c r="D534" s="16"/>
      <c r="E534" s="16"/>
      <c r="F534" s="16"/>
      <c r="G534" s="16"/>
    </row>
    <row r="535" ht="15.75" customHeight="1">
      <c r="B535" s="16"/>
      <c r="C535" s="16"/>
      <c r="D535" s="16"/>
      <c r="E535" s="16"/>
      <c r="F535" s="16"/>
      <c r="G535" s="16"/>
    </row>
    <row r="536" ht="15.75" customHeight="1">
      <c r="B536" s="16"/>
      <c r="C536" s="16"/>
      <c r="D536" s="16"/>
      <c r="E536" s="16"/>
      <c r="F536" s="16"/>
      <c r="G536" s="16"/>
    </row>
    <row r="537" ht="15.75" customHeight="1">
      <c r="B537" s="16"/>
      <c r="C537" s="16"/>
      <c r="D537" s="16"/>
      <c r="E537" s="16"/>
      <c r="F537" s="16"/>
      <c r="G537" s="16"/>
    </row>
    <row r="538" ht="15.75" customHeight="1">
      <c r="B538" s="16"/>
      <c r="C538" s="16"/>
      <c r="D538" s="16"/>
      <c r="E538" s="16"/>
      <c r="F538" s="16"/>
      <c r="G538" s="16"/>
    </row>
    <row r="539" ht="15.75" customHeight="1">
      <c r="B539" s="16"/>
      <c r="C539" s="16"/>
      <c r="D539" s="16"/>
      <c r="E539" s="16"/>
      <c r="F539" s="16"/>
      <c r="G539" s="16"/>
    </row>
    <row r="540" ht="15.75" customHeight="1">
      <c r="B540" s="16"/>
      <c r="C540" s="16"/>
      <c r="D540" s="16"/>
      <c r="E540" s="16"/>
      <c r="F540" s="16"/>
      <c r="G540" s="16"/>
    </row>
    <row r="541" ht="15.75" customHeight="1">
      <c r="B541" s="16"/>
      <c r="C541" s="16"/>
      <c r="D541" s="16"/>
      <c r="E541" s="16"/>
      <c r="F541" s="16"/>
      <c r="G541" s="16"/>
    </row>
    <row r="542" ht="15.75" customHeight="1">
      <c r="B542" s="16"/>
      <c r="C542" s="16"/>
      <c r="D542" s="16"/>
      <c r="E542" s="16"/>
      <c r="F542" s="16"/>
      <c r="G542" s="16"/>
    </row>
    <row r="543" ht="15.75" customHeight="1">
      <c r="B543" s="16"/>
      <c r="C543" s="16"/>
      <c r="D543" s="16"/>
      <c r="E543" s="16"/>
      <c r="F543" s="16"/>
      <c r="G543" s="16"/>
    </row>
    <row r="544" ht="15.75" customHeight="1">
      <c r="B544" s="16"/>
      <c r="C544" s="16"/>
      <c r="D544" s="16"/>
      <c r="E544" s="16"/>
      <c r="F544" s="16"/>
      <c r="G544" s="16"/>
    </row>
    <row r="545" ht="15.75" customHeight="1">
      <c r="B545" s="16"/>
      <c r="C545" s="16"/>
      <c r="D545" s="16"/>
      <c r="E545" s="16"/>
      <c r="F545" s="16"/>
      <c r="G545" s="16"/>
    </row>
    <row r="546" ht="15.75" customHeight="1">
      <c r="B546" s="16"/>
      <c r="C546" s="16"/>
      <c r="D546" s="16"/>
      <c r="E546" s="16"/>
      <c r="F546" s="16"/>
      <c r="G546" s="16"/>
    </row>
    <row r="547" ht="15.75" customHeight="1">
      <c r="B547" s="16"/>
      <c r="C547" s="16"/>
      <c r="D547" s="16"/>
      <c r="E547" s="16"/>
      <c r="F547" s="16"/>
      <c r="G547" s="16"/>
    </row>
    <row r="548" ht="15.75" customHeight="1">
      <c r="B548" s="16"/>
      <c r="C548" s="16"/>
      <c r="D548" s="16"/>
      <c r="E548" s="16"/>
      <c r="F548" s="16"/>
      <c r="G548" s="16"/>
    </row>
    <row r="549" ht="15.75" customHeight="1">
      <c r="B549" s="16"/>
      <c r="C549" s="16"/>
      <c r="D549" s="16"/>
      <c r="E549" s="16"/>
      <c r="F549" s="16"/>
      <c r="G549" s="16"/>
    </row>
    <row r="550" ht="15.75" customHeight="1">
      <c r="B550" s="16"/>
      <c r="C550" s="16"/>
      <c r="D550" s="16"/>
      <c r="E550" s="16"/>
      <c r="F550" s="16"/>
      <c r="G550" s="16"/>
    </row>
    <row r="551" ht="15.75" customHeight="1">
      <c r="B551" s="16"/>
      <c r="C551" s="16"/>
      <c r="D551" s="16"/>
      <c r="E551" s="16"/>
      <c r="F551" s="16"/>
      <c r="G551" s="16"/>
    </row>
    <row r="552" ht="15.75" customHeight="1">
      <c r="B552" s="16"/>
      <c r="C552" s="16"/>
      <c r="D552" s="16"/>
      <c r="E552" s="16"/>
      <c r="F552" s="16"/>
      <c r="G552" s="16"/>
    </row>
    <row r="553" ht="15.75" customHeight="1">
      <c r="B553" s="16"/>
      <c r="C553" s="16"/>
      <c r="D553" s="16"/>
      <c r="E553" s="16"/>
      <c r="F553" s="16"/>
      <c r="G553" s="16"/>
    </row>
    <row r="554" ht="15.75" customHeight="1">
      <c r="B554" s="16"/>
      <c r="C554" s="16"/>
      <c r="D554" s="16"/>
      <c r="E554" s="16"/>
      <c r="F554" s="16"/>
      <c r="G554" s="16"/>
    </row>
    <row r="555" ht="15.75" customHeight="1">
      <c r="B555" s="16"/>
      <c r="C555" s="16"/>
      <c r="D555" s="16"/>
      <c r="E555" s="16"/>
      <c r="F555" s="16"/>
      <c r="G555" s="16"/>
    </row>
    <row r="556" ht="15.75" customHeight="1">
      <c r="B556" s="16"/>
      <c r="C556" s="16"/>
      <c r="D556" s="16"/>
      <c r="E556" s="16"/>
      <c r="F556" s="16"/>
      <c r="G556" s="16"/>
    </row>
    <row r="557" ht="15.75" customHeight="1">
      <c r="B557" s="16"/>
      <c r="C557" s="16"/>
      <c r="D557" s="16"/>
      <c r="E557" s="16"/>
      <c r="F557" s="16"/>
      <c r="G557" s="16"/>
    </row>
    <row r="558" ht="15.75" customHeight="1">
      <c r="B558" s="16"/>
      <c r="C558" s="16"/>
      <c r="D558" s="16"/>
      <c r="E558" s="16"/>
      <c r="F558" s="16"/>
      <c r="G558" s="16"/>
    </row>
    <row r="559" ht="15.75" customHeight="1">
      <c r="B559" s="16"/>
      <c r="C559" s="16"/>
      <c r="D559" s="16"/>
      <c r="E559" s="16"/>
      <c r="F559" s="16"/>
      <c r="G559" s="16"/>
    </row>
    <row r="560" ht="15.75" customHeight="1">
      <c r="B560" s="16"/>
      <c r="C560" s="16"/>
      <c r="D560" s="16"/>
      <c r="E560" s="16"/>
      <c r="F560" s="16"/>
      <c r="G560" s="16"/>
    </row>
    <row r="561" ht="15.75" customHeight="1">
      <c r="B561" s="16"/>
      <c r="C561" s="16"/>
      <c r="D561" s="16"/>
      <c r="E561" s="16"/>
      <c r="F561" s="16"/>
      <c r="G561" s="16"/>
    </row>
    <row r="562" ht="15.75" customHeight="1">
      <c r="B562" s="16"/>
      <c r="C562" s="16"/>
      <c r="D562" s="16"/>
      <c r="E562" s="16"/>
      <c r="F562" s="16"/>
      <c r="G562" s="16"/>
    </row>
    <row r="563" ht="15.75" customHeight="1">
      <c r="B563" s="16"/>
      <c r="C563" s="16"/>
      <c r="D563" s="16"/>
      <c r="E563" s="16"/>
      <c r="F563" s="16"/>
      <c r="G563" s="16"/>
    </row>
    <row r="564" ht="15.75" customHeight="1">
      <c r="B564" s="16"/>
      <c r="C564" s="16"/>
      <c r="D564" s="16"/>
      <c r="E564" s="16"/>
      <c r="F564" s="16"/>
      <c r="G564" s="16"/>
    </row>
    <row r="565" ht="15.75" customHeight="1">
      <c r="B565" s="16"/>
      <c r="C565" s="16"/>
      <c r="D565" s="16"/>
      <c r="E565" s="16"/>
      <c r="F565" s="16"/>
      <c r="G565" s="16"/>
    </row>
    <row r="566" ht="15.75" customHeight="1">
      <c r="B566" s="16"/>
      <c r="C566" s="16"/>
      <c r="D566" s="16"/>
      <c r="E566" s="16"/>
      <c r="F566" s="16"/>
      <c r="G566" s="16"/>
    </row>
    <row r="567" ht="15.75" customHeight="1">
      <c r="B567" s="16"/>
      <c r="C567" s="16"/>
      <c r="D567" s="16"/>
      <c r="E567" s="16"/>
      <c r="F567" s="16"/>
      <c r="G567" s="16"/>
    </row>
    <row r="568" ht="15.75" customHeight="1">
      <c r="B568" s="16"/>
      <c r="C568" s="16"/>
      <c r="D568" s="16"/>
      <c r="E568" s="16"/>
      <c r="F568" s="16"/>
      <c r="G568" s="16"/>
    </row>
    <row r="569" ht="15.75" customHeight="1">
      <c r="B569" s="16"/>
      <c r="C569" s="16"/>
      <c r="D569" s="16"/>
      <c r="E569" s="16"/>
      <c r="F569" s="16"/>
      <c r="G569" s="16"/>
    </row>
    <row r="570" ht="15.75" customHeight="1">
      <c r="B570" s="16"/>
      <c r="C570" s="16"/>
      <c r="D570" s="16"/>
      <c r="E570" s="16"/>
      <c r="F570" s="16"/>
      <c r="G570" s="16"/>
    </row>
    <row r="571" ht="15.75" customHeight="1">
      <c r="B571" s="16"/>
      <c r="C571" s="16"/>
      <c r="D571" s="16"/>
      <c r="E571" s="16"/>
      <c r="F571" s="16"/>
      <c r="G571" s="16"/>
    </row>
    <row r="572" ht="15.75" customHeight="1">
      <c r="B572" s="16"/>
      <c r="C572" s="16"/>
      <c r="D572" s="16"/>
      <c r="E572" s="16"/>
      <c r="F572" s="16"/>
      <c r="G572" s="16"/>
    </row>
    <row r="573" ht="15.75" customHeight="1">
      <c r="B573" s="16"/>
      <c r="C573" s="16"/>
      <c r="D573" s="16"/>
      <c r="E573" s="16"/>
      <c r="F573" s="16"/>
      <c r="G573" s="16"/>
    </row>
    <row r="574" ht="15.75" customHeight="1">
      <c r="B574" s="16"/>
      <c r="C574" s="16"/>
      <c r="D574" s="16"/>
      <c r="E574" s="16"/>
      <c r="F574" s="16"/>
      <c r="G574" s="16"/>
    </row>
    <row r="575" ht="15.75" customHeight="1">
      <c r="B575" s="16"/>
      <c r="C575" s="16"/>
      <c r="D575" s="16"/>
      <c r="E575" s="16"/>
      <c r="F575" s="16"/>
      <c r="G575" s="16"/>
    </row>
    <row r="576" ht="15.75" customHeight="1">
      <c r="B576" s="16"/>
      <c r="C576" s="16"/>
      <c r="D576" s="16"/>
      <c r="E576" s="16"/>
      <c r="F576" s="16"/>
      <c r="G576" s="16"/>
    </row>
    <row r="577" ht="15.75" customHeight="1">
      <c r="B577" s="16"/>
      <c r="C577" s="16"/>
      <c r="D577" s="16"/>
      <c r="E577" s="16"/>
      <c r="F577" s="16"/>
      <c r="G577" s="16"/>
    </row>
    <row r="578" ht="15.75" customHeight="1">
      <c r="B578" s="16"/>
      <c r="C578" s="16"/>
      <c r="D578" s="16"/>
      <c r="E578" s="16"/>
      <c r="F578" s="16"/>
      <c r="G578" s="16"/>
    </row>
    <row r="579" ht="15.75" customHeight="1">
      <c r="B579" s="16"/>
      <c r="C579" s="16"/>
      <c r="D579" s="16"/>
      <c r="E579" s="16"/>
      <c r="F579" s="16"/>
      <c r="G579" s="16"/>
    </row>
    <row r="580" ht="15.75" customHeight="1">
      <c r="B580" s="16"/>
      <c r="C580" s="16"/>
      <c r="D580" s="16"/>
      <c r="E580" s="16"/>
      <c r="F580" s="16"/>
      <c r="G580" s="16"/>
    </row>
    <row r="581" ht="15.75" customHeight="1">
      <c r="B581" s="16"/>
      <c r="C581" s="16"/>
      <c r="D581" s="16"/>
      <c r="E581" s="16"/>
      <c r="F581" s="16"/>
      <c r="G581" s="16"/>
    </row>
    <row r="582" ht="15.75" customHeight="1">
      <c r="B582" s="16"/>
      <c r="C582" s="16"/>
      <c r="D582" s="16"/>
      <c r="E582" s="16"/>
      <c r="F582" s="16"/>
      <c r="G582" s="16"/>
    </row>
    <row r="583" ht="15.75" customHeight="1">
      <c r="B583" s="16"/>
      <c r="C583" s="16"/>
      <c r="D583" s="16"/>
      <c r="E583" s="16"/>
      <c r="F583" s="16"/>
      <c r="G583" s="16"/>
    </row>
    <row r="584" ht="15.75" customHeight="1">
      <c r="B584" s="16"/>
      <c r="C584" s="16"/>
      <c r="D584" s="16"/>
      <c r="E584" s="16"/>
      <c r="F584" s="16"/>
      <c r="G584" s="16"/>
    </row>
    <row r="585" ht="15.75" customHeight="1">
      <c r="B585" s="16"/>
      <c r="C585" s="16"/>
      <c r="D585" s="16"/>
      <c r="E585" s="16"/>
      <c r="F585" s="16"/>
      <c r="G585" s="16"/>
    </row>
    <row r="586" ht="15.75" customHeight="1">
      <c r="B586" s="16"/>
      <c r="C586" s="16"/>
      <c r="D586" s="16"/>
      <c r="E586" s="16"/>
      <c r="F586" s="16"/>
      <c r="G586" s="16"/>
    </row>
    <row r="587" ht="15.75" customHeight="1">
      <c r="B587" s="16"/>
      <c r="C587" s="16"/>
      <c r="D587" s="16"/>
      <c r="E587" s="16"/>
      <c r="F587" s="16"/>
      <c r="G587" s="16"/>
    </row>
    <row r="588" ht="15.75" customHeight="1">
      <c r="B588" s="16"/>
      <c r="C588" s="16"/>
      <c r="D588" s="16"/>
      <c r="E588" s="16"/>
      <c r="F588" s="16"/>
      <c r="G588" s="16"/>
    </row>
    <row r="589" ht="15.75" customHeight="1">
      <c r="B589" s="16"/>
      <c r="C589" s="16"/>
      <c r="D589" s="16"/>
      <c r="E589" s="16"/>
      <c r="F589" s="16"/>
      <c r="G589" s="16"/>
    </row>
    <row r="590" ht="15.75" customHeight="1">
      <c r="B590" s="16"/>
      <c r="C590" s="16"/>
      <c r="D590" s="16"/>
      <c r="E590" s="16"/>
      <c r="F590" s="16"/>
      <c r="G590" s="16"/>
    </row>
    <row r="591" ht="15.75" customHeight="1">
      <c r="B591" s="16"/>
      <c r="C591" s="16"/>
      <c r="D591" s="16"/>
      <c r="E591" s="16"/>
      <c r="F591" s="16"/>
      <c r="G591" s="16"/>
    </row>
    <row r="592" ht="15.75" customHeight="1">
      <c r="B592" s="16"/>
      <c r="C592" s="16"/>
      <c r="D592" s="16"/>
      <c r="E592" s="16"/>
      <c r="F592" s="16"/>
      <c r="G592" s="16"/>
    </row>
    <row r="593" ht="15.75" customHeight="1">
      <c r="B593" s="16"/>
      <c r="C593" s="16"/>
      <c r="D593" s="16"/>
      <c r="E593" s="16"/>
      <c r="F593" s="16"/>
      <c r="G593" s="16"/>
    </row>
    <row r="594" ht="15.75" customHeight="1">
      <c r="B594" s="16"/>
      <c r="C594" s="16"/>
      <c r="D594" s="16"/>
      <c r="E594" s="16"/>
      <c r="F594" s="16"/>
      <c r="G594" s="16"/>
    </row>
    <row r="595" ht="15.75" customHeight="1">
      <c r="B595" s="16"/>
      <c r="C595" s="16"/>
      <c r="D595" s="16"/>
      <c r="E595" s="16"/>
      <c r="F595" s="16"/>
      <c r="G595" s="16"/>
    </row>
    <row r="596" ht="15.75" customHeight="1">
      <c r="B596" s="16"/>
      <c r="C596" s="16"/>
      <c r="D596" s="16"/>
      <c r="E596" s="16"/>
      <c r="F596" s="16"/>
      <c r="G596" s="16"/>
    </row>
    <row r="597" ht="15.75" customHeight="1">
      <c r="B597" s="16"/>
      <c r="C597" s="16"/>
      <c r="D597" s="16"/>
      <c r="E597" s="16"/>
      <c r="F597" s="16"/>
      <c r="G597" s="16"/>
    </row>
    <row r="598" ht="15.75" customHeight="1">
      <c r="B598" s="16"/>
      <c r="C598" s="16"/>
      <c r="D598" s="16"/>
      <c r="E598" s="16"/>
      <c r="F598" s="16"/>
      <c r="G598" s="16"/>
    </row>
    <row r="599" ht="15.75" customHeight="1">
      <c r="B599" s="16"/>
      <c r="C599" s="16"/>
      <c r="D599" s="16"/>
      <c r="E599" s="16"/>
      <c r="F599" s="16"/>
      <c r="G599" s="16"/>
    </row>
    <row r="600" ht="15.75" customHeight="1">
      <c r="B600" s="16"/>
      <c r="C600" s="16"/>
      <c r="D600" s="16"/>
      <c r="E600" s="16"/>
      <c r="F600" s="16"/>
      <c r="G600" s="16"/>
    </row>
    <row r="601" ht="15.75" customHeight="1">
      <c r="B601" s="16"/>
      <c r="C601" s="16"/>
      <c r="D601" s="16"/>
      <c r="E601" s="16"/>
      <c r="F601" s="16"/>
      <c r="G601" s="16"/>
    </row>
    <row r="602" ht="15.75" customHeight="1">
      <c r="B602" s="16"/>
      <c r="C602" s="16"/>
      <c r="D602" s="16"/>
      <c r="E602" s="16"/>
      <c r="F602" s="16"/>
      <c r="G602" s="16"/>
    </row>
    <row r="603" ht="15.75" customHeight="1">
      <c r="B603" s="16"/>
      <c r="C603" s="16"/>
      <c r="D603" s="16"/>
      <c r="E603" s="16"/>
      <c r="F603" s="16"/>
      <c r="G603" s="16"/>
    </row>
    <row r="604" ht="15.75" customHeight="1">
      <c r="B604" s="16"/>
      <c r="C604" s="16"/>
      <c r="D604" s="16"/>
      <c r="E604" s="16"/>
      <c r="F604" s="16"/>
      <c r="G604" s="16"/>
    </row>
    <row r="605" ht="15.75" customHeight="1">
      <c r="B605" s="16"/>
      <c r="C605" s="16"/>
      <c r="D605" s="16"/>
      <c r="E605" s="16"/>
      <c r="F605" s="16"/>
      <c r="G605" s="16"/>
    </row>
    <row r="606" ht="15.75" customHeight="1">
      <c r="B606" s="16"/>
      <c r="C606" s="16"/>
      <c r="D606" s="16"/>
      <c r="E606" s="16"/>
      <c r="F606" s="16"/>
      <c r="G606" s="16"/>
    </row>
    <row r="607" ht="15.75" customHeight="1">
      <c r="B607" s="16"/>
      <c r="C607" s="16"/>
      <c r="D607" s="16"/>
      <c r="E607" s="16"/>
      <c r="F607" s="16"/>
      <c r="G607" s="16"/>
    </row>
    <row r="608" ht="15.75" customHeight="1">
      <c r="B608" s="16"/>
      <c r="C608" s="16"/>
      <c r="D608" s="16"/>
      <c r="E608" s="16"/>
      <c r="F608" s="16"/>
      <c r="G608" s="16"/>
    </row>
    <row r="609" ht="15.75" customHeight="1">
      <c r="B609" s="16"/>
      <c r="C609" s="16"/>
      <c r="D609" s="16"/>
      <c r="E609" s="16"/>
      <c r="F609" s="16"/>
      <c r="G609" s="16"/>
    </row>
    <row r="610" ht="15.75" customHeight="1">
      <c r="B610" s="16"/>
      <c r="C610" s="16"/>
      <c r="D610" s="16"/>
      <c r="E610" s="16"/>
      <c r="F610" s="16"/>
      <c r="G610" s="16"/>
    </row>
    <row r="611" ht="15.75" customHeight="1">
      <c r="B611" s="16"/>
      <c r="C611" s="16"/>
      <c r="D611" s="16"/>
      <c r="E611" s="16"/>
      <c r="F611" s="16"/>
      <c r="G611" s="16"/>
    </row>
    <row r="612" ht="15.75" customHeight="1">
      <c r="B612" s="16"/>
      <c r="C612" s="16"/>
      <c r="D612" s="16"/>
      <c r="E612" s="16"/>
      <c r="F612" s="16"/>
      <c r="G612" s="16"/>
    </row>
    <row r="613" ht="15.75" customHeight="1">
      <c r="B613" s="16"/>
      <c r="C613" s="16"/>
      <c r="D613" s="16"/>
      <c r="E613" s="16"/>
      <c r="F613" s="16"/>
      <c r="G613" s="16"/>
    </row>
    <row r="614" ht="15.75" customHeight="1">
      <c r="B614" s="16"/>
      <c r="C614" s="16"/>
      <c r="D614" s="16"/>
      <c r="E614" s="16"/>
      <c r="F614" s="16"/>
      <c r="G614" s="16"/>
    </row>
    <row r="615" ht="15.75" customHeight="1">
      <c r="B615" s="16"/>
      <c r="C615" s="16"/>
      <c r="D615" s="16"/>
      <c r="E615" s="16"/>
      <c r="F615" s="16"/>
      <c r="G615" s="16"/>
    </row>
    <row r="616" ht="15.75" customHeight="1">
      <c r="B616" s="16"/>
      <c r="C616" s="16"/>
      <c r="D616" s="16"/>
      <c r="E616" s="16"/>
      <c r="F616" s="16"/>
      <c r="G616" s="16"/>
    </row>
    <row r="617" ht="15.75" customHeight="1">
      <c r="B617" s="16"/>
      <c r="C617" s="16"/>
      <c r="D617" s="16"/>
      <c r="E617" s="16"/>
      <c r="F617" s="16"/>
      <c r="G617" s="16"/>
    </row>
    <row r="618" ht="15.75" customHeight="1">
      <c r="B618" s="16"/>
      <c r="C618" s="16"/>
      <c r="D618" s="16"/>
      <c r="E618" s="16"/>
      <c r="F618" s="16"/>
      <c r="G618" s="16"/>
    </row>
    <row r="619" ht="15.75" customHeight="1">
      <c r="B619" s="16"/>
      <c r="C619" s="16"/>
      <c r="D619" s="16"/>
      <c r="E619" s="16"/>
      <c r="F619" s="16"/>
      <c r="G619" s="16"/>
    </row>
    <row r="620" ht="15.75" customHeight="1">
      <c r="B620" s="16"/>
      <c r="C620" s="16"/>
      <c r="D620" s="16"/>
      <c r="E620" s="16"/>
      <c r="F620" s="16"/>
      <c r="G620" s="16"/>
    </row>
    <row r="621" ht="15.75" customHeight="1">
      <c r="B621" s="16"/>
      <c r="C621" s="16"/>
      <c r="D621" s="16"/>
      <c r="E621" s="16"/>
      <c r="F621" s="16"/>
      <c r="G621" s="16"/>
    </row>
    <row r="622" ht="15.75" customHeight="1">
      <c r="B622" s="16"/>
      <c r="C622" s="16"/>
      <c r="D622" s="16"/>
      <c r="E622" s="16"/>
      <c r="F622" s="16"/>
      <c r="G622" s="16"/>
    </row>
    <row r="623" ht="15.75" customHeight="1">
      <c r="B623" s="16"/>
      <c r="C623" s="16"/>
      <c r="D623" s="16"/>
      <c r="E623" s="16"/>
      <c r="F623" s="16"/>
      <c r="G623" s="16"/>
    </row>
    <row r="624" ht="15.75" customHeight="1">
      <c r="B624" s="16"/>
      <c r="C624" s="16"/>
      <c r="D624" s="16"/>
      <c r="E624" s="16"/>
      <c r="F624" s="16"/>
      <c r="G624" s="16"/>
    </row>
    <row r="625" ht="15.75" customHeight="1">
      <c r="B625" s="16"/>
      <c r="C625" s="16"/>
      <c r="D625" s="16"/>
      <c r="E625" s="16"/>
      <c r="F625" s="16"/>
      <c r="G625" s="16"/>
    </row>
    <row r="626" ht="15.75" customHeight="1">
      <c r="B626" s="16"/>
      <c r="C626" s="16"/>
      <c r="D626" s="16"/>
      <c r="E626" s="16"/>
      <c r="F626" s="16"/>
      <c r="G626" s="16"/>
    </row>
    <row r="627" ht="15.75" customHeight="1">
      <c r="B627" s="16"/>
      <c r="C627" s="16"/>
      <c r="D627" s="16"/>
      <c r="E627" s="16"/>
      <c r="F627" s="16"/>
      <c r="G627" s="16"/>
    </row>
    <row r="628" ht="15.75" customHeight="1">
      <c r="B628" s="16"/>
      <c r="C628" s="16"/>
      <c r="D628" s="16"/>
      <c r="E628" s="16"/>
      <c r="F628" s="16"/>
      <c r="G628" s="16"/>
    </row>
    <row r="629" ht="15.75" customHeight="1">
      <c r="B629" s="16"/>
      <c r="C629" s="16"/>
      <c r="D629" s="16"/>
      <c r="E629" s="16"/>
      <c r="F629" s="16"/>
      <c r="G629" s="16"/>
    </row>
    <row r="630" ht="15.75" customHeight="1">
      <c r="B630" s="16"/>
      <c r="C630" s="16"/>
      <c r="D630" s="16"/>
      <c r="E630" s="16"/>
      <c r="F630" s="16"/>
      <c r="G630" s="16"/>
    </row>
    <row r="631" ht="15.75" customHeight="1">
      <c r="B631" s="16"/>
      <c r="C631" s="16"/>
      <c r="D631" s="16"/>
      <c r="E631" s="16"/>
      <c r="F631" s="16"/>
      <c r="G631" s="16"/>
    </row>
    <row r="632" ht="15.75" customHeight="1">
      <c r="B632" s="16"/>
      <c r="C632" s="16"/>
      <c r="D632" s="16"/>
      <c r="E632" s="16"/>
      <c r="F632" s="16"/>
      <c r="G632" s="16"/>
    </row>
    <row r="633" ht="15.75" customHeight="1">
      <c r="B633" s="16"/>
      <c r="C633" s="16"/>
      <c r="D633" s="16"/>
      <c r="E633" s="16"/>
      <c r="F633" s="16"/>
      <c r="G633" s="16"/>
    </row>
    <row r="634" ht="15.75" customHeight="1">
      <c r="B634" s="16"/>
      <c r="C634" s="16"/>
      <c r="D634" s="16"/>
      <c r="E634" s="16"/>
      <c r="F634" s="16"/>
      <c r="G634" s="16"/>
    </row>
    <row r="635" ht="15.75" customHeight="1">
      <c r="B635" s="16"/>
      <c r="C635" s="16"/>
      <c r="D635" s="16"/>
      <c r="E635" s="16"/>
      <c r="F635" s="16"/>
      <c r="G635" s="16"/>
    </row>
    <row r="636" ht="15.75" customHeight="1">
      <c r="B636" s="16"/>
      <c r="C636" s="16"/>
      <c r="D636" s="16"/>
      <c r="E636" s="16"/>
      <c r="F636" s="16"/>
      <c r="G636" s="16"/>
    </row>
    <row r="637" ht="15.75" customHeight="1">
      <c r="B637" s="16"/>
      <c r="C637" s="16"/>
      <c r="D637" s="16"/>
      <c r="E637" s="16"/>
      <c r="F637" s="16"/>
      <c r="G637" s="16"/>
    </row>
    <row r="638" ht="15.75" customHeight="1">
      <c r="B638" s="16"/>
      <c r="C638" s="16"/>
      <c r="D638" s="16"/>
      <c r="E638" s="16"/>
      <c r="F638" s="16"/>
      <c r="G638" s="16"/>
    </row>
    <row r="639" ht="15.75" customHeight="1">
      <c r="B639" s="16"/>
      <c r="C639" s="16"/>
      <c r="D639" s="16"/>
      <c r="E639" s="16"/>
      <c r="F639" s="16"/>
      <c r="G639" s="16"/>
    </row>
    <row r="640" ht="15.75" customHeight="1">
      <c r="B640" s="16"/>
      <c r="C640" s="16"/>
      <c r="D640" s="16"/>
      <c r="E640" s="16"/>
      <c r="F640" s="16"/>
      <c r="G640" s="16"/>
    </row>
    <row r="641" ht="15.75" customHeight="1">
      <c r="B641" s="16"/>
      <c r="C641" s="16"/>
      <c r="D641" s="16"/>
      <c r="E641" s="16"/>
      <c r="F641" s="16"/>
      <c r="G641" s="16"/>
    </row>
    <row r="642" ht="15.75" customHeight="1">
      <c r="B642" s="16"/>
      <c r="C642" s="16"/>
      <c r="D642" s="16"/>
      <c r="E642" s="16"/>
      <c r="F642" s="16"/>
      <c r="G642" s="16"/>
    </row>
    <row r="643" ht="15.75" customHeight="1">
      <c r="B643" s="16"/>
      <c r="C643" s="16"/>
      <c r="D643" s="16"/>
      <c r="E643" s="16"/>
      <c r="F643" s="16"/>
      <c r="G643" s="16"/>
    </row>
    <row r="644" ht="15.75" customHeight="1">
      <c r="B644" s="16"/>
      <c r="C644" s="16"/>
      <c r="D644" s="16"/>
      <c r="E644" s="16"/>
      <c r="F644" s="16"/>
      <c r="G644" s="16"/>
    </row>
    <row r="645" ht="15.75" customHeight="1">
      <c r="B645" s="16"/>
      <c r="C645" s="16"/>
      <c r="D645" s="16"/>
      <c r="E645" s="16"/>
      <c r="F645" s="16"/>
      <c r="G645" s="16"/>
    </row>
    <row r="646" ht="15.75" customHeight="1">
      <c r="B646" s="16"/>
      <c r="C646" s="16"/>
      <c r="D646" s="16"/>
      <c r="E646" s="16"/>
      <c r="F646" s="16"/>
      <c r="G646" s="16"/>
    </row>
    <row r="647" ht="15.75" customHeight="1">
      <c r="B647" s="16"/>
      <c r="C647" s="16"/>
      <c r="D647" s="16"/>
      <c r="E647" s="16"/>
      <c r="F647" s="16"/>
      <c r="G647" s="16"/>
    </row>
    <row r="648" ht="15.75" customHeight="1">
      <c r="B648" s="16"/>
      <c r="C648" s="16"/>
      <c r="D648" s="16"/>
      <c r="E648" s="16"/>
      <c r="F648" s="16"/>
      <c r="G648" s="16"/>
    </row>
    <row r="649" ht="15.75" customHeight="1">
      <c r="B649" s="16"/>
      <c r="C649" s="16"/>
      <c r="D649" s="16"/>
      <c r="E649" s="16"/>
      <c r="F649" s="16"/>
      <c r="G649" s="16"/>
    </row>
    <row r="650" ht="15.75" customHeight="1">
      <c r="B650" s="16"/>
      <c r="C650" s="16"/>
      <c r="D650" s="16"/>
      <c r="E650" s="16"/>
      <c r="F650" s="16"/>
      <c r="G650" s="16"/>
    </row>
    <row r="651" ht="15.75" customHeight="1">
      <c r="B651" s="16"/>
      <c r="C651" s="16"/>
      <c r="D651" s="16"/>
      <c r="E651" s="16"/>
      <c r="F651" s="16"/>
      <c r="G651" s="16"/>
    </row>
    <row r="652" ht="15.75" customHeight="1">
      <c r="B652" s="16"/>
      <c r="C652" s="16"/>
      <c r="D652" s="16"/>
      <c r="E652" s="16"/>
      <c r="F652" s="16"/>
      <c r="G652" s="16"/>
    </row>
    <row r="653" ht="15.75" customHeight="1">
      <c r="B653" s="16"/>
      <c r="C653" s="16"/>
      <c r="D653" s="16"/>
      <c r="E653" s="16"/>
      <c r="F653" s="16"/>
      <c r="G653" s="16"/>
    </row>
    <row r="654" ht="15.75" customHeight="1">
      <c r="B654" s="16"/>
      <c r="C654" s="16"/>
      <c r="D654" s="16"/>
      <c r="E654" s="16"/>
      <c r="F654" s="16"/>
      <c r="G654" s="16"/>
    </row>
    <row r="655" ht="15.75" customHeight="1">
      <c r="B655" s="16"/>
      <c r="C655" s="16"/>
      <c r="D655" s="16"/>
      <c r="E655" s="16"/>
      <c r="F655" s="16"/>
      <c r="G655" s="16"/>
    </row>
    <row r="656" ht="15.75" customHeight="1">
      <c r="B656" s="16"/>
      <c r="C656" s="16"/>
      <c r="D656" s="16"/>
      <c r="E656" s="16"/>
      <c r="F656" s="16"/>
      <c r="G656" s="16"/>
    </row>
    <row r="657" ht="15.75" customHeight="1">
      <c r="B657" s="16"/>
      <c r="C657" s="16"/>
      <c r="D657" s="16"/>
      <c r="E657" s="16"/>
      <c r="F657" s="16"/>
      <c r="G657" s="16"/>
    </row>
    <row r="658" ht="15.75" customHeight="1">
      <c r="B658" s="16"/>
      <c r="C658" s="16"/>
      <c r="D658" s="16"/>
      <c r="E658" s="16"/>
      <c r="F658" s="16"/>
      <c r="G658" s="16"/>
    </row>
    <row r="659" ht="15.75" customHeight="1">
      <c r="B659" s="16"/>
      <c r="C659" s="16"/>
      <c r="D659" s="16"/>
      <c r="E659" s="16"/>
      <c r="F659" s="16"/>
      <c r="G659" s="16"/>
    </row>
    <row r="660" ht="15.75" customHeight="1">
      <c r="B660" s="16"/>
      <c r="C660" s="16"/>
      <c r="D660" s="16"/>
      <c r="E660" s="16"/>
      <c r="F660" s="16"/>
      <c r="G660" s="16"/>
    </row>
    <row r="661" ht="15.75" customHeight="1">
      <c r="B661" s="16"/>
      <c r="C661" s="16"/>
      <c r="D661" s="16"/>
      <c r="E661" s="16"/>
      <c r="F661" s="16"/>
      <c r="G661" s="16"/>
    </row>
    <row r="662" ht="15.75" customHeight="1">
      <c r="B662" s="16"/>
      <c r="C662" s="16"/>
      <c r="D662" s="16"/>
      <c r="E662" s="16"/>
      <c r="F662" s="16"/>
      <c r="G662" s="16"/>
    </row>
    <row r="663" ht="15.75" customHeight="1">
      <c r="B663" s="16"/>
      <c r="C663" s="16"/>
      <c r="D663" s="16"/>
      <c r="E663" s="16"/>
      <c r="F663" s="16"/>
      <c r="G663" s="16"/>
    </row>
    <row r="664" ht="15.75" customHeight="1">
      <c r="B664" s="16"/>
      <c r="C664" s="16"/>
      <c r="D664" s="16"/>
      <c r="E664" s="16"/>
      <c r="F664" s="16"/>
      <c r="G664" s="16"/>
    </row>
    <row r="665" ht="15.75" customHeight="1">
      <c r="B665" s="16"/>
      <c r="C665" s="16"/>
      <c r="D665" s="16"/>
      <c r="E665" s="16"/>
      <c r="F665" s="16"/>
      <c r="G665" s="16"/>
    </row>
    <row r="666" ht="15.75" customHeight="1">
      <c r="B666" s="16"/>
      <c r="C666" s="16"/>
      <c r="D666" s="16"/>
      <c r="E666" s="16"/>
      <c r="F666" s="16"/>
      <c r="G666" s="16"/>
    </row>
    <row r="667" ht="15.75" customHeight="1">
      <c r="B667" s="16"/>
      <c r="C667" s="16"/>
      <c r="D667" s="16"/>
      <c r="E667" s="16"/>
      <c r="F667" s="16"/>
      <c r="G667" s="16"/>
    </row>
    <row r="668" ht="15.75" customHeight="1">
      <c r="B668" s="16"/>
      <c r="C668" s="16"/>
      <c r="D668" s="16"/>
      <c r="E668" s="16"/>
      <c r="F668" s="16"/>
      <c r="G668" s="16"/>
    </row>
    <row r="669" ht="15.75" customHeight="1">
      <c r="B669" s="16"/>
      <c r="C669" s="16"/>
      <c r="D669" s="16"/>
      <c r="E669" s="16"/>
      <c r="F669" s="16"/>
      <c r="G669" s="16"/>
    </row>
    <row r="670" ht="15.75" customHeight="1">
      <c r="B670" s="16"/>
      <c r="C670" s="16"/>
      <c r="D670" s="16"/>
      <c r="E670" s="16"/>
      <c r="F670" s="16"/>
      <c r="G670" s="16"/>
    </row>
    <row r="671" ht="15.75" customHeight="1">
      <c r="B671" s="16"/>
      <c r="C671" s="16"/>
      <c r="D671" s="16"/>
      <c r="E671" s="16"/>
      <c r="F671" s="16"/>
      <c r="G671" s="16"/>
    </row>
    <row r="672" ht="15.75" customHeight="1">
      <c r="B672" s="16"/>
      <c r="C672" s="16"/>
      <c r="D672" s="16"/>
      <c r="E672" s="16"/>
      <c r="F672" s="16"/>
      <c r="G672" s="16"/>
    </row>
    <row r="673" ht="15.75" customHeight="1">
      <c r="B673" s="16"/>
      <c r="C673" s="16"/>
      <c r="D673" s="16"/>
      <c r="E673" s="16"/>
      <c r="F673" s="16"/>
      <c r="G673" s="16"/>
    </row>
    <row r="674" ht="15.75" customHeight="1">
      <c r="B674" s="16"/>
      <c r="C674" s="16"/>
      <c r="D674" s="16"/>
      <c r="E674" s="16"/>
      <c r="F674" s="16"/>
      <c r="G674" s="16"/>
    </row>
    <row r="675" ht="15.75" customHeight="1">
      <c r="B675" s="16"/>
      <c r="C675" s="16"/>
      <c r="D675" s="16"/>
      <c r="E675" s="16"/>
      <c r="F675" s="16"/>
      <c r="G675" s="16"/>
    </row>
    <row r="676" ht="15.75" customHeight="1">
      <c r="B676" s="16"/>
      <c r="C676" s="16"/>
      <c r="D676" s="16"/>
      <c r="E676" s="16"/>
      <c r="F676" s="16"/>
      <c r="G676" s="16"/>
    </row>
    <row r="677" ht="15.75" customHeight="1">
      <c r="B677" s="16"/>
      <c r="C677" s="16"/>
      <c r="D677" s="16"/>
      <c r="E677" s="16"/>
      <c r="F677" s="16"/>
      <c r="G677" s="16"/>
    </row>
    <row r="678" ht="15.75" customHeight="1">
      <c r="B678" s="16"/>
      <c r="C678" s="16"/>
      <c r="D678" s="16"/>
      <c r="E678" s="16"/>
      <c r="F678" s="16"/>
      <c r="G678" s="16"/>
    </row>
    <row r="679" ht="15.75" customHeight="1">
      <c r="B679" s="16"/>
      <c r="C679" s="16"/>
      <c r="D679" s="16"/>
      <c r="E679" s="16"/>
      <c r="F679" s="16"/>
      <c r="G679" s="16"/>
    </row>
    <row r="680" ht="15.75" customHeight="1">
      <c r="B680" s="16"/>
      <c r="C680" s="16"/>
      <c r="D680" s="16"/>
      <c r="E680" s="16"/>
      <c r="F680" s="16"/>
      <c r="G680" s="16"/>
    </row>
    <row r="681" ht="15.75" customHeight="1">
      <c r="B681" s="16"/>
      <c r="C681" s="16"/>
      <c r="D681" s="16"/>
      <c r="E681" s="16"/>
      <c r="F681" s="16"/>
      <c r="G681" s="16"/>
    </row>
    <row r="682" ht="15.75" customHeight="1">
      <c r="B682" s="16"/>
      <c r="C682" s="16"/>
      <c r="D682" s="16"/>
      <c r="E682" s="16"/>
      <c r="F682" s="16"/>
      <c r="G682" s="16"/>
    </row>
    <row r="683" ht="15.75" customHeight="1">
      <c r="B683" s="16"/>
      <c r="C683" s="16"/>
      <c r="D683" s="16"/>
      <c r="E683" s="16"/>
      <c r="F683" s="16"/>
      <c r="G683" s="16"/>
    </row>
    <row r="684" ht="15.75" customHeight="1">
      <c r="B684" s="16"/>
      <c r="C684" s="16"/>
      <c r="D684" s="16"/>
      <c r="E684" s="16"/>
      <c r="F684" s="16"/>
      <c r="G684" s="16"/>
    </row>
    <row r="685" ht="15.75" customHeight="1">
      <c r="B685" s="16"/>
      <c r="C685" s="16"/>
      <c r="D685" s="16"/>
      <c r="E685" s="16"/>
      <c r="F685" s="16"/>
      <c r="G685" s="16"/>
    </row>
    <row r="686" ht="15.75" customHeight="1">
      <c r="B686" s="16"/>
      <c r="C686" s="16"/>
      <c r="D686" s="16"/>
      <c r="E686" s="16"/>
      <c r="F686" s="16"/>
      <c r="G686" s="16"/>
    </row>
    <row r="687" ht="15.75" customHeight="1">
      <c r="B687" s="16"/>
      <c r="C687" s="16"/>
      <c r="D687" s="16"/>
      <c r="E687" s="16"/>
      <c r="F687" s="16"/>
      <c r="G687" s="16"/>
    </row>
    <row r="688" ht="15.75" customHeight="1">
      <c r="B688" s="16"/>
      <c r="C688" s="16"/>
      <c r="D688" s="16"/>
      <c r="E688" s="16"/>
      <c r="F688" s="16"/>
      <c r="G688" s="16"/>
    </row>
    <row r="689" ht="15.75" customHeight="1">
      <c r="B689" s="16"/>
      <c r="C689" s="16"/>
      <c r="D689" s="16"/>
      <c r="E689" s="16"/>
      <c r="F689" s="16"/>
      <c r="G689" s="16"/>
    </row>
    <row r="690" ht="15.75" customHeight="1">
      <c r="B690" s="16"/>
      <c r="C690" s="16"/>
      <c r="D690" s="16"/>
      <c r="E690" s="16"/>
      <c r="F690" s="16"/>
      <c r="G690" s="16"/>
    </row>
    <row r="691" ht="15.75" customHeight="1">
      <c r="B691" s="16"/>
      <c r="C691" s="16"/>
      <c r="D691" s="16"/>
      <c r="E691" s="16"/>
      <c r="F691" s="16"/>
      <c r="G691" s="16"/>
    </row>
    <row r="692" ht="15.75" customHeight="1">
      <c r="B692" s="16"/>
      <c r="C692" s="16"/>
      <c r="D692" s="16"/>
      <c r="E692" s="16"/>
      <c r="F692" s="16"/>
      <c r="G692" s="16"/>
    </row>
    <row r="693" ht="15.75" customHeight="1">
      <c r="B693" s="16"/>
      <c r="C693" s="16"/>
      <c r="D693" s="16"/>
      <c r="E693" s="16"/>
      <c r="F693" s="16"/>
      <c r="G693" s="16"/>
    </row>
    <row r="694" ht="15.75" customHeight="1">
      <c r="B694" s="16"/>
      <c r="C694" s="16"/>
      <c r="D694" s="16"/>
      <c r="E694" s="16"/>
      <c r="F694" s="16"/>
      <c r="G694" s="16"/>
    </row>
    <row r="695" ht="15.75" customHeight="1">
      <c r="B695" s="16"/>
      <c r="C695" s="16"/>
      <c r="D695" s="16"/>
      <c r="E695" s="16"/>
      <c r="F695" s="16"/>
      <c r="G695" s="16"/>
    </row>
    <row r="696" ht="15.75" customHeight="1">
      <c r="B696" s="16"/>
      <c r="C696" s="16"/>
      <c r="D696" s="16"/>
      <c r="E696" s="16"/>
      <c r="F696" s="16"/>
      <c r="G696" s="16"/>
    </row>
    <row r="697" ht="15.75" customHeight="1">
      <c r="B697" s="16"/>
      <c r="C697" s="16"/>
      <c r="D697" s="16"/>
      <c r="E697" s="16"/>
      <c r="F697" s="16"/>
      <c r="G697" s="16"/>
    </row>
    <row r="698" ht="15.75" customHeight="1">
      <c r="B698" s="16"/>
      <c r="C698" s="16"/>
      <c r="D698" s="16"/>
      <c r="E698" s="16"/>
      <c r="F698" s="16"/>
      <c r="G698" s="16"/>
    </row>
    <row r="699" ht="15.75" customHeight="1">
      <c r="B699" s="16"/>
      <c r="C699" s="16"/>
      <c r="D699" s="16"/>
      <c r="E699" s="16"/>
      <c r="F699" s="16"/>
      <c r="G699" s="16"/>
    </row>
    <row r="700" ht="15.75" customHeight="1">
      <c r="B700" s="16"/>
      <c r="C700" s="16"/>
      <c r="D700" s="16"/>
      <c r="E700" s="16"/>
      <c r="F700" s="16"/>
      <c r="G700" s="16"/>
    </row>
    <row r="701" ht="15.75" customHeight="1">
      <c r="B701" s="16"/>
      <c r="C701" s="16"/>
      <c r="D701" s="16"/>
      <c r="E701" s="16"/>
      <c r="F701" s="16"/>
      <c r="G701" s="16"/>
    </row>
    <row r="702" ht="15.75" customHeight="1">
      <c r="B702" s="16"/>
      <c r="C702" s="16"/>
      <c r="D702" s="16"/>
      <c r="E702" s="16"/>
      <c r="F702" s="16"/>
      <c r="G702" s="16"/>
    </row>
    <row r="703" ht="15.75" customHeight="1">
      <c r="B703" s="16"/>
      <c r="C703" s="16"/>
      <c r="D703" s="16"/>
      <c r="E703" s="16"/>
      <c r="F703" s="16"/>
      <c r="G703" s="16"/>
    </row>
    <row r="704" ht="15.75" customHeight="1">
      <c r="B704" s="16"/>
      <c r="C704" s="16"/>
      <c r="D704" s="16"/>
      <c r="E704" s="16"/>
      <c r="F704" s="16"/>
      <c r="G704" s="16"/>
    </row>
    <row r="705" ht="15.75" customHeight="1">
      <c r="B705" s="16"/>
      <c r="C705" s="16"/>
      <c r="D705" s="16"/>
      <c r="E705" s="16"/>
      <c r="F705" s="16"/>
      <c r="G705" s="16"/>
    </row>
    <row r="706" ht="15.75" customHeight="1">
      <c r="B706" s="16"/>
      <c r="C706" s="16"/>
      <c r="D706" s="16"/>
      <c r="E706" s="16"/>
      <c r="F706" s="16"/>
      <c r="G706" s="16"/>
    </row>
    <row r="707" ht="15.75" customHeight="1">
      <c r="B707" s="16"/>
      <c r="C707" s="16"/>
      <c r="D707" s="16"/>
      <c r="E707" s="16"/>
      <c r="F707" s="16"/>
      <c r="G707" s="16"/>
    </row>
    <row r="708" ht="15.75" customHeight="1">
      <c r="B708" s="16"/>
      <c r="C708" s="16"/>
      <c r="D708" s="16"/>
      <c r="E708" s="16"/>
      <c r="F708" s="16"/>
      <c r="G708" s="16"/>
    </row>
    <row r="709" ht="15.75" customHeight="1">
      <c r="B709" s="16"/>
      <c r="C709" s="16"/>
      <c r="D709" s="16"/>
      <c r="E709" s="16"/>
      <c r="F709" s="16"/>
      <c r="G709" s="16"/>
    </row>
    <row r="710" ht="15.75" customHeight="1">
      <c r="B710" s="16"/>
      <c r="C710" s="16"/>
      <c r="D710" s="16"/>
      <c r="E710" s="16"/>
      <c r="F710" s="16"/>
      <c r="G710" s="16"/>
    </row>
    <row r="711" ht="15.75" customHeight="1">
      <c r="B711" s="16"/>
      <c r="C711" s="16"/>
      <c r="D711" s="16"/>
      <c r="E711" s="16"/>
      <c r="F711" s="16"/>
      <c r="G711" s="16"/>
    </row>
    <row r="712" ht="15.75" customHeight="1">
      <c r="B712" s="16"/>
      <c r="C712" s="16"/>
      <c r="D712" s="16"/>
      <c r="E712" s="16"/>
      <c r="F712" s="16"/>
      <c r="G712" s="16"/>
    </row>
    <row r="713" ht="15.75" customHeight="1">
      <c r="B713" s="16"/>
      <c r="C713" s="16"/>
      <c r="D713" s="16"/>
      <c r="E713" s="16"/>
      <c r="F713" s="16"/>
      <c r="G713" s="16"/>
    </row>
    <row r="714" ht="15.75" customHeight="1">
      <c r="B714" s="16"/>
      <c r="C714" s="16"/>
      <c r="D714" s="16"/>
      <c r="E714" s="16"/>
      <c r="F714" s="16"/>
      <c r="G714" s="16"/>
    </row>
    <row r="715" ht="15.75" customHeight="1">
      <c r="B715" s="16"/>
      <c r="C715" s="16"/>
      <c r="D715" s="16"/>
      <c r="E715" s="16"/>
      <c r="F715" s="16"/>
      <c r="G715" s="16"/>
    </row>
    <row r="716" ht="15.75" customHeight="1">
      <c r="B716" s="16"/>
      <c r="C716" s="16"/>
      <c r="D716" s="16"/>
      <c r="E716" s="16"/>
      <c r="F716" s="16"/>
      <c r="G716" s="16"/>
    </row>
    <row r="717" ht="15.75" customHeight="1">
      <c r="B717" s="16"/>
      <c r="C717" s="16"/>
      <c r="D717" s="16"/>
      <c r="E717" s="16"/>
      <c r="F717" s="16"/>
      <c r="G717" s="16"/>
    </row>
    <row r="718" ht="15.75" customHeight="1">
      <c r="B718" s="16"/>
      <c r="C718" s="16"/>
      <c r="D718" s="16"/>
      <c r="E718" s="16"/>
      <c r="F718" s="16"/>
      <c r="G718" s="16"/>
    </row>
    <row r="719" ht="15.75" customHeight="1">
      <c r="B719" s="16"/>
      <c r="C719" s="16"/>
      <c r="D719" s="16"/>
      <c r="E719" s="16"/>
      <c r="F719" s="16"/>
      <c r="G719" s="16"/>
    </row>
    <row r="720" ht="15.75" customHeight="1">
      <c r="B720" s="16"/>
      <c r="C720" s="16"/>
      <c r="D720" s="16"/>
      <c r="E720" s="16"/>
      <c r="F720" s="16"/>
      <c r="G720" s="16"/>
    </row>
    <row r="721" ht="15.75" customHeight="1">
      <c r="B721" s="16"/>
      <c r="C721" s="16"/>
      <c r="D721" s="16"/>
      <c r="E721" s="16"/>
      <c r="F721" s="16"/>
      <c r="G721" s="16"/>
    </row>
    <row r="722" ht="15.75" customHeight="1">
      <c r="B722" s="16"/>
      <c r="C722" s="16"/>
      <c r="D722" s="16"/>
      <c r="E722" s="16"/>
      <c r="F722" s="16"/>
      <c r="G722" s="16"/>
    </row>
    <row r="723" ht="15.75" customHeight="1">
      <c r="B723" s="16"/>
      <c r="C723" s="16"/>
      <c r="D723" s="16"/>
      <c r="E723" s="16"/>
      <c r="F723" s="16"/>
      <c r="G723" s="16"/>
    </row>
    <row r="724" ht="15.75" customHeight="1">
      <c r="B724" s="16"/>
      <c r="C724" s="16"/>
      <c r="D724" s="16"/>
      <c r="E724" s="16"/>
      <c r="F724" s="16"/>
      <c r="G724" s="16"/>
    </row>
    <row r="725" ht="15.75" customHeight="1">
      <c r="B725" s="16"/>
      <c r="C725" s="16"/>
      <c r="D725" s="16"/>
      <c r="E725" s="16"/>
      <c r="F725" s="16"/>
      <c r="G725" s="16"/>
    </row>
    <row r="726" ht="15.75" customHeight="1">
      <c r="B726" s="16"/>
      <c r="C726" s="16"/>
      <c r="D726" s="16"/>
      <c r="E726" s="16"/>
      <c r="F726" s="16"/>
      <c r="G726" s="16"/>
    </row>
    <row r="727" ht="15.75" customHeight="1">
      <c r="B727" s="16"/>
      <c r="C727" s="16"/>
      <c r="D727" s="16"/>
      <c r="E727" s="16"/>
      <c r="F727" s="16"/>
      <c r="G727" s="16"/>
    </row>
    <row r="728" ht="15.75" customHeight="1">
      <c r="B728" s="16"/>
      <c r="C728" s="16"/>
      <c r="D728" s="16"/>
      <c r="E728" s="16"/>
      <c r="F728" s="16"/>
      <c r="G728" s="16"/>
    </row>
    <row r="729" ht="15.75" customHeight="1">
      <c r="B729" s="16"/>
      <c r="C729" s="16"/>
      <c r="D729" s="16"/>
      <c r="E729" s="16"/>
      <c r="F729" s="16"/>
      <c r="G729" s="16"/>
    </row>
    <row r="730" ht="15.75" customHeight="1">
      <c r="B730" s="16"/>
      <c r="C730" s="16"/>
      <c r="D730" s="16"/>
      <c r="E730" s="16"/>
      <c r="F730" s="16"/>
      <c r="G730" s="16"/>
    </row>
    <row r="731" ht="15.75" customHeight="1">
      <c r="B731" s="16"/>
      <c r="C731" s="16"/>
      <c r="D731" s="16"/>
      <c r="E731" s="16"/>
      <c r="F731" s="16"/>
      <c r="G731" s="16"/>
    </row>
    <row r="732" ht="15.75" customHeight="1">
      <c r="B732" s="16"/>
      <c r="C732" s="16"/>
      <c r="D732" s="16"/>
      <c r="E732" s="16"/>
      <c r="F732" s="16"/>
      <c r="G732" s="16"/>
    </row>
    <row r="733" ht="15.75" customHeight="1">
      <c r="B733" s="16"/>
      <c r="C733" s="16"/>
      <c r="D733" s="16"/>
      <c r="E733" s="16"/>
      <c r="F733" s="16"/>
      <c r="G733" s="16"/>
    </row>
    <row r="734" ht="15.75" customHeight="1">
      <c r="B734" s="16"/>
      <c r="C734" s="16"/>
      <c r="D734" s="16"/>
      <c r="E734" s="16"/>
      <c r="F734" s="16"/>
      <c r="G734" s="16"/>
    </row>
    <row r="735" ht="15.75" customHeight="1">
      <c r="B735" s="16"/>
      <c r="C735" s="16"/>
      <c r="D735" s="16"/>
      <c r="E735" s="16"/>
      <c r="F735" s="16"/>
      <c r="G735" s="16"/>
    </row>
    <row r="736" ht="15.75" customHeight="1">
      <c r="B736" s="16"/>
      <c r="C736" s="16"/>
      <c r="D736" s="16"/>
      <c r="E736" s="16"/>
      <c r="F736" s="16"/>
      <c r="G736" s="16"/>
    </row>
    <row r="737" ht="15.75" customHeight="1">
      <c r="B737" s="16"/>
      <c r="C737" s="16"/>
      <c r="D737" s="16"/>
      <c r="E737" s="16"/>
      <c r="F737" s="16"/>
      <c r="G737" s="16"/>
    </row>
    <row r="738" ht="15.75" customHeight="1">
      <c r="B738" s="16"/>
      <c r="C738" s="16"/>
      <c r="D738" s="16"/>
      <c r="E738" s="16"/>
      <c r="F738" s="16"/>
      <c r="G738" s="16"/>
    </row>
    <row r="739" ht="15.75" customHeight="1">
      <c r="B739" s="16"/>
      <c r="C739" s="16"/>
      <c r="D739" s="16"/>
      <c r="E739" s="16"/>
      <c r="F739" s="16"/>
      <c r="G739" s="16"/>
    </row>
    <row r="740" ht="15.75" customHeight="1">
      <c r="B740" s="16"/>
      <c r="C740" s="16"/>
      <c r="D740" s="16"/>
      <c r="E740" s="16"/>
      <c r="F740" s="16"/>
      <c r="G740" s="16"/>
    </row>
    <row r="741" ht="15.75" customHeight="1">
      <c r="B741" s="16"/>
      <c r="C741" s="16"/>
      <c r="D741" s="16"/>
      <c r="E741" s="16"/>
      <c r="F741" s="16"/>
      <c r="G741" s="16"/>
    </row>
    <row r="742" ht="15.75" customHeight="1">
      <c r="B742" s="16"/>
      <c r="C742" s="16"/>
      <c r="D742" s="16"/>
      <c r="E742" s="16"/>
      <c r="F742" s="16"/>
      <c r="G742" s="16"/>
    </row>
    <row r="743" ht="15.75" customHeight="1">
      <c r="B743" s="16"/>
      <c r="C743" s="16"/>
      <c r="D743" s="16"/>
      <c r="E743" s="16"/>
      <c r="F743" s="16"/>
      <c r="G743" s="16"/>
    </row>
    <row r="744" ht="15.75" customHeight="1">
      <c r="B744" s="16"/>
      <c r="C744" s="16"/>
      <c r="D744" s="16"/>
      <c r="E744" s="16"/>
      <c r="F744" s="16"/>
      <c r="G744" s="16"/>
    </row>
    <row r="745" ht="15.75" customHeight="1">
      <c r="B745" s="16"/>
      <c r="C745" s="16"/>
      <c r="D745" s="16"/>
      <c r="E745" s="16"/>
      <c r="F745" s="16"/>
      <c r="G745" s="16"/>
    </row>
    <row r="746" ht="15.75" customHeight="1">
      <c r="B746" s="16"/>
      <c r="C746" s="16"/>
      <c r="D746" s="16"/>
      <c r="E746" s="16"/>
      <c r="F746" s="16"/>
      <c r="G746" s="16"/>
    </row>
    <row r="747" ht="15.75" customHeight="1">
      <c r="B747" s="16"/>
      <c r="C747" s="16"/>
      <c r="D747" s="16"/>
      <c r="E747" s="16"/>
      <c r="F747" s="16"/>
      <c r="G747" s="16"/>
    </row>
    <row r="748" ht="15.75" customHeight="1">
      <c r="B748" s="16"/>
      <c r="C748" s="16"/>
      <c r="D748" s="16"/>
      <c r="E748" s="16"/>
      <c r="F748" s="16"/>
      <c r="G748" s="16"/>
    </row>
    <row r="749" ht="15.75" customHeight="1">
      <c r="B749" s="16"/>
      <c r="C749" s="16"/>
      <c r="D749" s="16"/>
      <c r="E749" s="16"/>
      <c r="F749" s="16"/>
      <c r="G749" s="16"/>
    </row>
    <row r="750" ht="15.75" customHeight="1">
      <c r="B750" s="16"/>
      <c r="C750" s="16"/>
      <c r="D750" s="16"/>
      <c r="E750" s="16"/>
      <c r="F750" s="16"/>
      <c r="G750" s="16"/>
    </row>
    <row r="751" ht="15.75" customHeight="1">
      <c r="B751" s="16"/>
      <c r="C751" s="16"/>
      <c r="D751" s="16"/>
      <c r="E751" s="16"/>
      <c r="F751" s="16"/>
      <c r="G751" s="16"/>
    </row>
    <row r="752" ht="15.75" customHeight="1">
      <c r="B752" s="16"/>
      <c r="C752" s="16"/>
      <c r="D752" s="16"/>
      <c r="E752" s="16"/>
      <c r="F752" s="16"/>
      <c r="G752" s="16"/>
    </row>
    <row r="753" ht="15.75" customHeight="1">
      <c r="B753" s="16"/>
      <c r="C753" s="16"/>
      <c r="D753" s="16"/>
      <c r="E753" s="16"/>
      <c r="F753" s="16"/>
      <c r="G753" s="16"/>
    </row>
    <row r="754" ht="15.75" customHeight="1">
      <c r="B754" s="16"/>
      <c r="C754" s="16"/>
      <c r="D754" s="16"/>
      <c r="E754" s="16"/>
      <c r="F754" s="16"/>
      <c r="G754" s="16"/>
    </row>
    <row r="755" ht="15.75" customHeight="1">
      <c r="B755" s="16"/>
      <c r="C755" s="16"/>
      <c r="D755" s="16"/>
      <c r="E755" s="16"/>
      <c r="F755" s="16"/>
      <c r="G755" s="16"/>
    </row>
    <row r="756" ht="15.75" customHeight="1">
      <c r="B756" s="16"/>
      <c r="C756" s="16"/>
      <c r="D756" s="16"/>
      <c r="E756" s="16"/>
      <c r="F756" s="16"/>
      <c r="G756" s="16"/>
    </row>
    <row r="757" ht="15.75" customHeight="1">
      <c r="B757" s="16"/>
      <c r="C757" s="16"/>
      <c r="D757" s="16"/>
      <c r="E757" s="16"/>
      <c r="F757" s="16"/>
      <c r="G757" s="16"/>
    </row>
    <row r="758" ht="15.75" customHeight="1">
      <c r="B758" s="16"/>
      <c r="C758" s="16"/>
      <c r="D758" s="16"/>
      <c r="E758" s="16"/>
      <c r="F758" s="16"/>
      <c r="G758" s="16"/>
    </row>
    <row r="759" ht="15.75" customHeight="1">
      <c r="B759" s="16"/>
      <c r="C759" s="16"/>
      <c r="D759" s="16"/>
      <c r="E759" s="16"/>
      <c r="F759" s="16"/>
      <c r="G759" s="16"/>
    </row>
    <row r="760" ht="15.75" customHeight="1">
      <c r="B760" s="16"/>
      <c r="C760" s="16"/>
      <c r="D760" s="16"/>
      <c r="E760" s="16"/>
      <c r="F760" s="16"/>
      <c r="G760" s="16"/>
    </row>
    <row r="761" ht="15.75" customHeight="1">
      <c r="B761" s="16"/>
      <c r="C761" s="16"/>
      <c r="D761" s="16"/>
      <c r="E761" s="16"/>
      <c r="F761" s="16"/>
      <c r="G761" s="16"/>
    </row>
    <row r="762" ht="15.75" customHeight="1">
      <c r="B762" s="16"/>
      <c r="C762" s="16"/>
      <c r="D762" s="16"/>
      <c r="E762" s="16"/>
      <c r="F762" s="16"/>
      <c r="G762" s="16"/>
    </row>
    <row r="763" ht="15.75" customHeight="1">
      <c r="B763" s="16"/>
      <c r="C763" s="16"/>
      <c r="D763" s="16"/>
      <c r="E763" s="16"/>
      <c r="F763" s="16"/>
      <c r="G763" s="16"/>
    </row>
    <row r="764" ht="15.75" customHeight="1">
      <c r="B764" s="16"/>
      <c r="C764" s="16"/>
      <c r="D764" s="16"/>
      <c r="E764" s="16"/>
      <c r="F764" s="16"/>
      <c r="G764" s="16"/>
    </row>
    <row r="765" ht="15.75" customHeight="1">
      <c r="B765" s="16"/>
      <c r="C765" s="16"/>
      <c r="D765" s="16"/>
      <c r="E765" s="16"/>
      <c r="F765" s="16"/>
      <c r="G765" s="16"/>
    </row>
    <row r="766" ht="15.75" customHeight="1">
      <c r="B766" s="16"/>
      <c r="C766" s="16"/>
      <c r="D766" s="16"/>
      <c r="E766" s="16"/>
      <c r="F766" s="16"/>
      <c r="G766" s="16"/>
    </row>
    <row r="767" ht="15.75" customHeight="1">
      <c r="B767" s="16"/>
      <c r="C767" s="16"/>
      <c r="D767" s="16"/>
      <c r="E767" s="16"/>
      <c r="F767" s="16"/>
      <c r="G767" s="16"/>
    </row>
    <row r="768" ht="15.75" customHeight="1">
      <c r="B768" s="16"/>
      <c r="C768" s="16"/>
      <c r="D768" s="16"/>
      <c r="E768" s="16"/>
      <c r="F768" s="16"/>
      <c r="G768" s="16"/>
    </row>
    <row r="769" ht="15.75" customHeight="1">
      <c r="B769" s="16"/>
      <c r="C769" s="16"/>
      <c r="D769" s="16"/>
      <c r="E769" s="16"/>
      <c r="F769" s="16"/>
      <c r="G769" s="16"/>
    </row>
    <row r="770" ht="15.75" customHeight="1">
      <c r="B770" s="16"/>
      <c r="C770" s="16"/>
      <c r="D770" s="16"/>
      <c r="E770" s="16"/>
      <c r="F770" s="16"/>
      <c r="G770" s="16"/>
    </row>
    <row r="771" ht="15.75" customHeight="1">
      <c r="B771" s="16"/>
      <c r="C771" s="16"/>
      <c r="D771" s="16"/>
      <c r="E771" s="16"/>
      <c r="F771" s="16"/>
      <c r="G771" s="16"/>
    </row>
    <row r="772" ht="15.75" customHeight="1">
      <c r="B772" s="16"/>
      <c r="C772" s="16"/>
      <c r="D772" s="16"/>
      <c r="E772" s="16"/>
      <c r="F772" s="16"/>
      <c r="G772" s="16"/>
    </row>
    <row r="773" ht="15.75" customHeight="1">
      <c r="B773" s="16"/>
      <c r="C773" s="16"/>
      <c r="D773" s="16"/>
      <c r="E773" s="16"/>
      <c r="F773" s="16"/>
      <c r="G773" s="16"/>
    </row>
    <row r="774" ht="15.75" customHeight="1">
      <c r="B774" s="16"/>
      <c r="C774" s="16"/>
      <c r="D774" s="16"/>
      <c r="E774" s="16"/>
      <c r="F774" s="16"/>
      <c r="G774" s="16"/>
    </row>
    <row r="775" ht="15.75" customHeight="1">
      <c r="B775" s="16"/>
      <c r="C775" s="16"/>
      <c r="D775" s="16"/>
      <c r="E775" s="16"/>
      <c r="F775" s="16"/>
      <c r="G775" s="16"/>
    </row>
    <row r="776" ht="15.75" customHeight="1">
      <c r="B776" s="16"/>
      <c r="C776" s="16"/>
      <c r="D776" s="16"/>
      <c r="E776" s="16"/>
      <c r="F776" s="16"/>
      <c r="G776" s="16"/>
    </row>
    <row r="777" ht="15.75" customHeight="1">
      <c r="B777" s="16"/>
      <c r="C777" s="16"/>
      <c r="D777" s="16"/>
      <c r="E777" s="16"/>
      <c r="F777" s="16"/>
      <c r="G777" s="16"/>
    </row>
    <row r="778" ht="15.75" customHeight="1">
      <c r="B778" s="16"/>
      <c r="C778" s="16"/>
      <c r="D778" s="16"/>
      <c r="E778" s="16"/>
      <c r="F778" s="16"/>
      <c r="G778" s="16"/>
    </row>
    <row r="779" ht="15.75" customHeight="1">
      <c r="B779" s="16"/>
      <c r="C779" s="16"/>
      <c r="D779" s="16"/>
      <c r="E779" s="16"/>
      <c r="F779" s="16"/>
      <c r="G779" s="16"/>
    </row>
    <row r="780" ht="15.75" customHeight="1">
      <c r="B780" s="16"/>
      <c r="C780" s="16"/>
      <c r="D780" s="16"/>
      <c r="E780" s="16"/>
      <c r="F780" s="16"/>
      <c r="G780" s="16"/>
    </row>
    <row r="781" ht="15.75" customHeight="1">
      <c r="B781" s="16"/>
      <c r="C781" s="16"/>
      <c r="D781" s="16"/>
      <c r="E781" s="16"/>
      <c r="F781" s="16"/>
      <c r="G781" s="16"/>
    </row>
    <row r="782" ht="15.75" customHeight="1">
      <c r="B782" s="16"/>
      <c r="C782" s="16"/>
      <c r="D782" s="16"/>
      <c r="E782" s="16"/>
      <c r="F782" s="16"/>
      <c r="G782" s="16"/>
    </row>
    <row r="783" ht="15.75" customHeight="1">
      <c r="B783" s="16"/>
      <c r="C783" s="16"/>
      <c r="D783" s="16"/>
      <c r="E783" s="16"/>
      <c r="F783" s="16"/>
      <c r="G783" s="16"/>
    </row>
    <row r="784" ht="15.75" customHeight="1">
      <c r="B784" s="16"/>
      <c r="C784" s="16"/>
      <c r="D784" s="16"/>
      <c r="E784" s="16"/>
      <c r="F784" s="16"/>
      <c r="G784" s="16"/>
    </row>
    <row r="785" ht="15.75" customHeight="1">
      <c r="B785" s="16"/>
      <c r="C785" s="16"/>
      <c r="D785" s="16"/>
      <c r="E785" s="16"/>
      <c r="F785" s="16"/>
      <c r="G785" s="16"/>
    </row>
    <row r="786" ht="15.75" customHeight="1">
      <c r="B786" s="16"/>
      <c r="C786" s="16"/>
      <c r="D786" s="16"/>
      <c r="E786" s="16"/>
      <c r="F786" s="16"/>
      <c r="G786" s="16"/>
    </row>
    <row r="787" ht="15.75" customHeight="1">
      <c r="B787" s="16"/>
      <c r="C787" s="16"/>
      <c r="D787" s="16"/>
      <c r="E787" s="16"/>
      <c r="F787" s="16"/>
      <c r="G787" s="16"/>
    </row>
    <row r="788" ht="15.75" customHeight="1">
      <c r="B788" s="16"/>
      <c r="C788" s="16"/>
      <c r="D788" s="16"/>
      <c r="E788" s="16"/>
      <c r="F788" s="16"/>
      <c r="G788" s="16"/>
    </row>
    <row r="789" ht="15.75" customHeight="1">
      <c r="B789" s="16"/>
      <c r="C789" s="16"/>
      <c r="D789" s="16"/>
      <c r="E789" s="16"/>
      <c r="F789" s="16"/>
      <c r="G789" s="16"/>
    </row>
    <row r="790" ht="15.75" customHeight="1">
      <c r="B790" s="16"/>
      <c r="C790" s="16"/>
      <c r="D790" s="16"/>
      <c r="E790" s="16"/>
      <c r="F790" s="16"/>
      <c r="G790" s="16"/>
    </row>
    <row r="791" ht="15.75" customHeight="1">
      <c r="B791" s="16"/>
      <c r="C791" s="16"/>
      <c r="D791" s="16"/>
      <c r="E791" s="16"/>
      <c r="F791" s="16"/>
      <c r="G791" s="16"/>
    </row>
    <row r="792" ht="15.75" customHeight="1">
      <c r="B792" s="16"/>
      <c r="C792" s="16"/>
      <c r="D792" s="16"/>
      <c r="E792" s="16"/>
      <c r="F792" s="16"/>
      <c r="G792" s="16"/>
    </row>
    <row r="793" ht="15.75" customHeight="1">
      <c r="B793" s="16"/>
      <c r="C793" s="16"/>
      <c r="D793" s="16"/>
      <c r="E793" s="16"/>
      <c r="F793" s="16"/>
      <c r="G793" s="16"/>
    </row>
    <row r="794" ht="15.75" customHeight="1">
      <c r="B794" s="16"/>
      <c r="C794" s="16"/>
      <c r="D794" s="16"/>
      <c r="E794" s="16"/>
      <c r="F794" s="16"/>
      <c r="G794" s="16"/>
    </row>
    <row r="795" ht="15.75" customHeight="1">
      <c r="B795" s="16"/>
      <c r="C795" s="16"/>
      <c r="D795" s="16"/>
      <c r="E795" s="16"/>
      <c r="F795" s="16"/>
      <c r="G795" s="16"/>
    </row>
    <row r="796" ht="15.75" customHeight="1">
      <c r="B796" s="16"/>
      <c r="C796" s="16"/>
      <c r="D796" s="16"/>
      <c r="E796" s="16"/>
      <c r="F796" s="16"/>
      <c r="G796" s="16"/>
    </row>
    <row r="797" ht="15.75" customHeight="1">
      <c r="B797" s="16"/>
      <c r="C797" s="16"/>
      <c r="D797" s="16"/>
      <c r="E797" s="16"/>
      <c r="F797" s="16"/>
      <c r="G797" s="16"/>
    </row>
    <row r="798" ht="15.75" customHeight="1">
      <c r="B798" s="16"/>
      <c r="C798" s="16"/>
      <c r="D798" s="16"/>
      <c r="E798" s="16"/>
      <c r="F798" s="16"/>
      <c r="G798" s="16"/>
    </row>
    <row r="799" ht="15.75" customHeight="1">
      <c r="B799" s="16"/>
      <c r="C799" s="16"/>
      <c r="D799" s="16"/>
      <c r="E799" s="16"/>
      <c r="F799" s="16"/>
      <c r="G799" s="16"/>
    </row>
    <row r="800" ht="15.75" customHeight="1">
      <c r="B800" s="16"/>
      <c r="C800" s="16"/>
      <c r="D800" s="16"/>
      <c r="E800" s="16"/>
      <c r="F800" s="16"/>
      <c r="G800" s="16"/>
    </row>
    <row r="801" ht="15.75" customHeight="1">
      <c r="B801" s="16"/>
      <c r="C801" s="16"/>
      <c r="D801" s="16"/>
      <c r="E801" s="16"/>
      <c r="F801" s="16"/>
      <c r="G801" s="16"/>
    </row>
    <row r="802" ht="15.75" customHeight="1">
      <c r="B802" s="16"/>
      <c r="C802" s="16"/>
      <c r="D802" s="16"/>
      <c r="E802" s="16"/>
      <c r="F802" s="16"/>
      <c r="G802" s="16"/>
    </row>
    <row r="803" ht="15.75" customHeight="1">
      <c r="B803" s="16"/>
      <c r="C803" s="16"/>
      <c r="D803" s="16"/>
      <c r="E803" s="16"/>
      <c r="F803" s="16"/>
      <c r="G803" s="16"/>
    </row>
    <row r="804" ht="15.75" customHeight="1">
      <c r="B804" s="16"/>
      <c r="C804" s="16"/>
      <c r="D804" s="16"/>
      <c r="E804" s="16"/>
      <c r="F804" s="16"/>
      <c r="G804" s="16"/>
    </row>
    <row r="805" ht="15.75" customHeight="1">
      <c r="B805" s="16"/>
      <c r="C805" s="16"/>
      <c r="D805" s="16"/>
      <c r="E805" s="16"/>
      <c r="F805" s="16"/>
      <c r="G805" s="16"/>
    </row>
    <row r="806" ht="15.75" customHeight="1">
      <c r="B806" s="16"/>
      <c r="C806" s="16"/>
      <c r="D806" s="16"/>
      <c r="E806" s="16"/>
      <c r="F806" s="16"/>
      <c r="G806" s="16"/>
    </row>
    <row r="807" ht="15.75" customHeight="1">
      <c r="B807" s="16"/>
      <c r="C807" s="16"/>
      <c r="D807" s="16"/>
      <c r="E807" s="16"/>
      <c r="F807" s="16"/>
      <c r="G807" s="16"/>
    </row>
    <row r="808" ht="15.75" customHeight="1">
      <c r="B808" s="16"/>
      <c r="C808" s="16"/>
      <c r="D808" s="16"/>
      <c r="E808" s="16"/>
      <c r="F808" s="16"/>
      <c r="G808" s="16"/>
    </row>
    <row r="809" ht="15.75" customHeight="1">
      <c r="B809" s="16"/>
      <c r="C809" s="16"/>
      <c r="D809" s="16"/>
      <c r="E809" s="16"/>
      <c r="F809" s="16"/>
      <c r="G809" s="16"/>
    </row>
    <row r="810" ht="15.75" customHeight="1">
      <c r="B810" s="16"/>
      <c r="C810" s="16"/>
      <c r="D810" s="16"/>
      <c r="E810" s="16"/>
      <c r="F810" s="16"/>
      <c r="G810" s="16"/>
    </row>
    <row r="811" ht="15.75" customHeight="1">
      <c r="B811" s="16"/>
      <c r="C811" s="16"/>
      <c r="D811" s="16"/>
      <c r="E811" s="16"/>
      <c r="F811" s="16"/>
      <c r="G811" s="16"/>
    </row>
    <row r="812" ht="15.75" customHeight="1">
      <c r="B812" s="16"/>
      <c r="C812" s="16"/>
      <c r="D812" s="16"/>
      <c r="E812" s="16"/>
      <c r="F812" s="16"/>
      <c r="G812" s="16"/>
    </row>
    <row r="813" ht="15.75" customHeight="1">
      <c r="B813" s="16"/>
      <c r="C813" s="16"/>
      <c r="D813" s="16"/>
      <c r="E813" s="16"/>
      <c r="F813" s="16"/>
      <c r="G813" s="16"/>
    </row>
    <row r="814" ht="15.75" customHeight="1">
      <c r="B814" s="16"/>
      <c r="C814" s="16"/>
      <c r="D814" s="16"/>
      <c r="E814" s="16"/>
      <c r="F814" s="16"/>
      <c r="G814" s="16"/>
    </row>
    <row r="815" ht="15.75" customHeight="1">
      <c r="B815" s="16"/>
      <c r="C815" s="16"/>
      <c r="D815" s="16"/>
      <c r="E815" s="16"/>
      <c r="F815" s="16"/>
      <c r="G815" s="16"/>
    </row>
    <row r="816" ht="15.75" customHeight="1">
      <c r="B816" s="16"/>
      <c r="C816" s="16"/>
      <c r="D816" s="16"/>
      <c r="E816" s="16"/>
      <c r="F816" s="16"/>
      <c r="G816" s="16"/>
    </row>
    <row r="817" ht="15.75" customHeight="1">
      <c r="B817" s="16"/>
      <c r="C817" s="16"/>
      <c r="D817" s="16"/>
      <c r="E817" s="16"/>
      <c r="F817" s="16"/>
      <c r="G817" s="16"/>
    </row>
    <row r="818" ht="15.75" customHeight="1">
      <c r="B818" s="16"/>
      <c r="C818" s="16"/>
      <c r="D818" s="16"/>
      <c r="E818" s="16"/>
      <c r="F818" s="16"/>
      <c r="G818" s="16"/>
    </row>
    <row r="819" ht="15.75" customHeight="1">
      <c r="B819" s="16"/>
      <c r="C819" s="16"/>
      <c r="D819" s="16"/>
      <c r="E819" s="16"/>
      <c r="F819" s="16"/>
      <c r="G819" s="16"/>
    </row>
    <row r="820" ht="15.75" customHeight="1">
      <c r="B820" s="16"/>
      <c r="C820" s="16"/>
      <c r="D820" s="16"/>
      <c r="E820" s="16"/>
      <c r="F820" s="16"/>
      <c r="G820" s="16"/>
    </row>
    <row r="821" ht="15.75" customHeight="1">
      <c r="B821" s="16"/>
      <c r="C821" s="16"/>
      <c r="D821" s="16"/>
      <c r="E821" s="16"/>
      <c r="F821" s="16"/>
      <c r="G821" s="16"/>
    </row>
    <row r="822" ht="15.75" customHeight="1">
      <c r="B822" s="16"/>
      <c r="C822" s="16"/>
      <c r="D822" s="16"/>
      <c r="E822" s="16"/>
      <c r="F822" s="16"/>
      <c r="G822" s="16"/>
    </row>
    <row r="823" ht="15.75" customHeight="1">
      <c r="B823" s="16"/>
      <c r="C823" s="16"/>
      <c r="D823" s="16"/>
      <c r="E823" s="16"/>
      <c r="F823" s="16"/>
      <c r="G823" s="16"/>
    </row>
    <row r="824" ht="15.75" customHeight="1">
      <c r="B824" s="16"/>
      <c r="C824" s="16"/>
      <c r="D824" s="16"/>
      <c r="E824" s="16"/>
      <c r="F824" s="16"/>
      <c r="G824" s="16"/>
    </row>
    <row r="825" ht="15.75" customHeight="1">
      <c r="B825" s="16"/>
      <c r="C825" s="16"/>
      <c r="D825" s="16"/>
      <c r="E825" s="16"/>
      <c r="F825" s="16"/>
      <c r="G825" s="16"/>
    </row>
    <row r="826" ht="15.75" customHeight="1">
      <c r="B826" s="16"/>
      <c r="C826" s="16"/>
      <c r="D826" s="16"/>
      <c r="E826" s="16"/>
      <c r="F826" s="16"/>
      <c r="G826" s="16"/>
    </row>
    <row r="827" ht="15.75" customHeight="1">
      <c r="B827" s="16"/>
      <c r="C827" s="16"/>
      <c r="D827" s="16"/>
      <c r="E827" s="16"/>
      <c r="F827" s="16"/>
      <c r="G827" s="16"/>
    </row>
    <row r="828" ht="15.75" customHeight="1">
      <c r="B828" s="16"/>
      <c r="C828" s="16"/>
      <c r="D828" s="16"/>
      <c r="E828" s="16"/>
      <c r="F828" s="16"/>
      <c r="G828" s="16"/>
    </row>
    <row r="829" ht="15.75" customHeight="1">
      <c r="B829" s="16"/>
      <c r="C829" s="16"/>
      <c r="D829" s="16"/>
      <c r="E829" s="16"/>
      <c r="F829" s="16"/>
      <c r="G829" s="16"/>
    </row>
    <row r="830" ht="15.75" customHeight="1">
      <c r="B830" s="16"/>
      <c r="C830" s="16"/>
      <c r="D830" s="16"/>
      <c r="E830" s="16"/>
      <c r="F830" s="16"/>
      <c r="G830" s="16"/>
    </row>
    <row r="831" ht="15.75" customHeight="1">
      <c r="B831" s="16"/>
      <c r="C831" s="16"/>
      <c r="D831" s="16"/>
      <c r="E831" s="16"/>
      <c r="F831" s="16"/>
      <c r="G831" s="16"/>
    </row>
    <row r="832" ht="15.75" customHeight="1">
      <c r="B832" s="16"/>
      <c r="C832" s="16"/>
      <c r="D832" s="16"/>
      <c r="E832" s="16"/>
      <c r="F832" s="16"/>
      <c r="G832" s="16"/>
    </row>
    <row r="833" ht="15.75" customHeight="1">
      <c r="B833" s="16"/>
      <c r="C833" s="16"/>
      <c r="D833" s="16"/>
      <c r="E833" s="16"/>
      <c r="F833" s="16"/>
      <c r="G833" s="16"/>
    </row>
    <row r="834" ht="15.75" customHeight="1">
      <c r="B834" s="16"/>
      <c r="C834" s="16"/>
      <c r="D834" s="16"/>
      <c r="E834" s="16"/>
      <c r="F834" s="16"/>
      <c r="G834" s="16"/>
    </row>
    <row r="835" ht="15.75" customHeight="1">
      <c r="B835" s="16"/>
      <c r="C835" s="16"/>
      <c r="D835" s="16"/>
      <c r="E835" s="16"/>
      <c r="F835" s="16"/>
      <c r="G835" s="16"/>
    </row>
    <row r="836" ht="15.75" customHeight="1">
      <c r="B836" s="16"/>
      <c r="C836" s="16"/>
      <c r="D836" s="16"/>
      <c r="E836" s="16"/>
      <c r="F836" s="16"/>
      <c r="G836" s="16"/>
    </row>
    <row r="837" ht="15.75" customHeight="1">
      <c r="B837" s="16"/>
      <c r="C837" s="16"/>
      <c r="D837" s="16"/>
      <c r="E837" s="16"/>
      <c r="F837" s="16"/>
      <c r="G837" s="16"/>
    </row>
    <row r="838" ht="15.75" customHeight="1">
      <c r="B838" s="16"/>
      <c r="C838" s="16"/>
      <c r="D838" s="16"/>
      <c r="E838" s="16"/>
      <c r="F838" s="16"/>
      <c r="G838" s="16"/>
    </row>
    <row r="839" ht="15.75" customHeight="1">
      <c r="B839" s="16"/>
      <c r="C839" s="16"/>
      <c r="D839" s="16"/>
      <c r="E839" s="16"/>
      <c r="F839" s="16"/>
      <c r="G839" s="16"/>
    </row>
    <row r="840" ht="15.75" customHeight="1">
      <c r="B840" s="16"/>
      <c r="C840" s="16"/>
      <c r="D840" s="16"/>
      <c r="E840" s="16"/>
      <c r="F840" s="16"/>
      <c r="G840" s="16"/>
    </row>
    <row r="841" ht="15.75" customHeight="1">
      <c r="B841" s="16"/>
      <c r="C841" s="16"/>
      <c r="D841" s="16"/>
      <c r="E841" s="16"/>
      <c r="F841" s="16"/>
      <c r="G841" s="16"/>
    </row>
    <row r="842" ht="15.75" customHeight="1">
      <c r="B842" s="16"/>
      <c r="C842" s="16"/>
      <c r="D842" s="16"/>
      <c r="E842" s="16"/>
      <c r="F842" s="16"/>
      <c r="G842" s="16"/>
    </row>
    <row r="843" ht="15.75" customHeight="1">
      <c r="B843" s="16"/>
      <c r="C843" s="16"/>
      <c r="D843" s="16"/>
      <c r="E843" s="16"/>
      <c r="F843" s="16"/>
      <c r="G843" s="16"/>
    </row>
    <row r="844" ht="15.75" customHeight="1">
      <c r="B844" s="16"/>
      <c r="C844" s="16"/>
      <c r="D844" s="16"/>
      <c r="E844" s="16"/>
      <c r="F844" s="16"/>
      <c r="G844" s="16"/>
    </row>
    <row r="845" ht="15.75" customHeight="1">
      <c r="B845" s="16"/>
      <c r="C845" s="16"/>
      <c r="D845" s="16"/>
      <c r="E845" s="16"/>
      <c r="F845" s="16"/>
      <c r="G845" s="16"/>
    </row>
    <row r="846" ht="15.75" customHeight="1">
      <c r="B846" s="16"/>
      <c r="C846" s="16"/>
      <c r="D846" s="16"/>
      <c r="E846" s="16"/>
      <c r="F846" s="16"/>
      <c r="G846" s="16"/>
    </row>
    <row r="847" ht="15.75" customHeight="1">
      <c r="B847" s="16"/>
      <c r="C847" s="16"/>
      <c r="D847" s="16"/>
      <c r="E847" s="16"/>
      <c r="F847" s="16"/>
      <c r="G847" s="16"/>
    </row>
    <row r="848" ht="15.75" customHeight="1">
      <c r="B848" s="16"/>
      <c r="C848" s="16"/>
      <c r="D848" s="16"/>
      <c r="E848" s="16"/>
      <c r="F848" s="16"/>
      <c r="G848" s="16"/>
    </row>
    <row r="849" ht="15.75" customHeight="1">
      <c r="B849" s="16"/>
      <c r="C849" s="16"/>
      <c r="D849" s="16"/>
      <c r="E849" s="16"/>
      <c r="F849" s="16"/>
      <c r="G849" s="16"/>
    </row>
    <row r="850" ht="15.75" customHeight="1">
      <c r="B850" s="16"/>
      <c r="C850" s="16"/>
      <c r="D850" s="16"/>
      <c r="E850" s="16"/>
      <c r="F850" s="16"/>
      <c r="G850" s="16"/>
    </row>
    <row r="851" ht="15.75" customHeight="1">
      <c r="B851" s="16"/>
      <c r="C851" s="16"/>
      <c r="D851" s="16"/>
      <c r="E851" s="16"/>
      <c r="F851" s="16"/>
      <c r="G851" s="16"/>
    </row>
    <row r="852" ht="15.75" customHeight="1">
      <c r="B852" s="16"/>
      <c r="C852" s="16"/>
      <c r="D852" s="16"/>
      <c r="E852" s="16"/>
      <c r="F852" s="16"/>
      <c r="G852" s="16"/>
    </row>
    <row r="853" ht="15.75" customHeight="1">
      <c r="B853" s="16"/>
      <c r="C853" s="16"/>
      <c r="D853" s="16"/>
      <c r="E853" s="16"/>
      <c r="F853" s="16"/>
      <c r="G853" s="16"/>
    </row>
    <row r="854" ht="15.75" customHeight="1">
      <c r="B854" s="16"/>
      <c r="C854" s="16"/>
      <c r="D854" s="16"/>
      <c r="E854" s="16"/>
      <c r="F854" s="16"/>
      <c r="G854" s="16"/>
    </row>
    <row r="855" ht="15.75" customHeight="1">
      <c r="B855" s="16"/>
      <c r="C855" s="16"/>
      <c r="D855" s="16"/>
      <c r="E855" s="16"/>
      <c r="F855" s="16"/>
      <c r="G855" s="16"/>
    </row>
    <row r="856" ht="15.75" customHeight="1">
      <c r="B856" s="16"/>
      <c r="C856" s="16"/>
      <c r="D856" s="16"/>
      <c r="E856" s="16"/>
      <c r="F856" s="16"/>
      <c r="G856" s="16"/>
    </row>
    <row r="857" ht="15.75" customHeight="1">
      <c r="B857" s="16"/>
      <c r="C857" s="16"/>
      <c r="D857" s="16"/>
      <c r="E857" s="16"/>
      <c r="F857" s="16"/>
      <c r="G857" s="16"/>
    </row>
    <row r="858" ht="15.75" customHeight="1">
      <c r="B858" s="16"/>
      <c r="C858" s="16"/>
      <c r="D858" s="16"/>
      <c r="E858" s="16"/>
      <c r="F858" s="16"/>
      <c r="G858" s="16"/>
    </row>
    <row r="859" ht="15.75" customHeight="1">
      <c r="B859" s="16"/>
      <c r="C859" s="16"/>
      <c r="D859" s="16"/>
      <c r="E859" s="16"/>
      <c r="F859" s="16"/>
      <c r="G859" s="16"/>
    </row>
    <row r="860" ht="15.75" customHeight="1">
      <c r="B860" s="16"/>
      <c r="C860" s="16"/>
      <c r="D860" s="16"/>
      <c r="E860" s="16"/>
      <c r="F860" s="16"/>
      <c r="G860" s="16"/>
    </row>
    <row r="861" ht="15.75" customHeight="1">
      <c r="B861" s="16"/>
      <c r="C861" s="16"/>
      <c r="D861" s="16"/>
      <c r="E861" s="16"/>
      <c r="F861" s="16"/>
      <c r="G861" s="16"/>
    </row>
    <row r="862" ht="15.75" customHeight="1">
      <c r="B862" s="16"/>
      <c r="C862" s="16"/>
      <c r="D862" s="16"/>
      <c r="E862" s="16"/>
      <c r="F862" s="16"/>
      <c r="G862" s="16"/>
    </row>
    <row r="863" ht="15.75" customHeight="1">
      <c r="B863" s="16"/>
      <c r="C863" s="16"/>
      <c r="D863" s="16"/>
      <c r="E863" s="16"/>
      <c r="F863" s="16"/>
      <c r="G863" s="16"/>
    </row>
    <row r="864" ht="15.75" customHeight="1">
      <c r="B864" s="16"/>
      <c r="C864" s="16"/>
      <c r="D864" s="16"/>
      <c r="E864" s="16"/>
      <c r="F864" s="16"/>
      <c r="G864" s="16"/>
    </row>
    <row r="865" ht="15.75" customHeight="1">
      <c r="B865" s="16"/>
      <c r="C865" s="16"/>
      <c r="D865" s="16"/>
      <c r="E865" s="16"/>
      <c r="F865" s="16"/>
      <c r="G865" s="16"/>
    </row>
    <row r="866" ht="15.75" customHeight="1">
      <c r="B866" s="16"/>
      <c r="C866" s="16"/>
      <c r="D866" s="16"/>
      <c r="E866" s="16"/>
      <c r="F866" s="16"/>
      <c r="G866" s="16"/>
    </row>
    <row r="867" ht="15.75" customHeight="1">
      <c r="B867" s="16"/>
      <c r="C867" s="16"/>
      <c r="D867" s="16"/>
      <c r="E867" s="16"/>
      <c r="F867" s="16"/>
      <c r="G867" s="16"/>
    </row>
    <row r="868" ht="15.75" customHeight="1">
      <c r="B868" s="16"/>
      <c r="C868" s="16"/>
      <c r="D868" s="16"/>
      <c r="E868" s="16"/>
      <c r="F868" s="16"/>
      <c r="G868" s="16"/>
    </row>
    <row r="869" ht="15.75" customHeight="1">
      <c r="B869" s="16"/>
      <c r="C869" s="16"/>
      <c r="D869" s="16"/>
      <c r="E869" s="16"/>
      <c r="F869" s="16"/>
      <c r="G869" s="16"/>
    </row>
    <row r="870" ht="15.75" customHeight="1">
      <c r="B870" s="16"/>
      <c r="C870" s="16"/>
      <c r="D870" s="16"/>
      <c r="E870" s="16"/>
      <c r="F870" s="16"/>
      <c r="G870" s="16"/>
    </row>
    <row r="871" ht="15.75" customHeight="1">
      <c r="B871" s="16"/>
      <c r="C871" s="16"/>
      <c r="D871" s="16"/>
      <c r="E871" s="16"/>
      <c r="F871" s="16"/>
      <c r="G871" s="16"/>
    </row>
    <row r="872" ht="15.75" customHeight="1">
      <c r="B872" s="16"/>
      <c r="C872" s="16"/>
      <c r="D872" s="16"/>
      <c r="E872" s="16"/>
      <c r="F872" s="16"/>
      <c r="G872" s="16"/>
    </row>
    <row r="873" ht="15.75" customHeight="1">
      <c r="B873" s="16"/>
      <c r="C873" s="16"/>
      <c r="D873" s="16"/>
      <c r="E873" s="16"/>
      <c r="F873" s="16"/>
      <c r="G873" s="16"/>
    </row>
    <row r="874" ht="15.75" customHeight="1">
      <c r="B874" s="16"/>
      <c r="C874" s="16"/>
      <c r="D874" s="16"/>
      <c r="E874" s="16"/>
      <c r="F874" s="16"/>
      <c r="G874" s="16"/>
    </row>
    <row r="875" ht="15.75" customHeight="1">
      <c r="B875" s="16"/>
      <c r="C875" s="16"/>
      <c r="D875" s="16"/>
      <c r="E875" s="16"/>
      <c r="F875" s="16"/>
      <c r="G875" s="16"/>
    </row>
    <row r="876" ht="15.75" customHeight="1">
      <c r="B876" s="16"/>
      <c r="C876" s="16"/>
      <c r="D876" s="16"/>
      <c r="E876" s="16"/>
      <c r="F876" s="16"/>
      <c r="G876" s="16"/>
    </row>
    <row r="877" ht="15.75" customHeight="1">
      <c r="B877" s="16"/>
      <c r="C877" s="16"/>
      <c r="D877" s="16"/>
      <c r="E877" s="16"/>
      <c r="F877" s="16"/>
      <c r="G877" s="16"/>
    </row>
    <row r="878" ht="15.75" customHeight="1">
      <c r="B878" s="16"/>
      <c r="C878" s="16"/>
      <c r="D878" s="16"/>
      <c r="E878" s="16"/>
      <c r="F878" s="16"/>
      <c r="G878" s="16"/>
    </row>
    <row r="879" ht="15.75" customHeight="1">
      <c r="B879" s="16"/>
      <c r="C879" s="16"/>
      <c r="D879" s="16"/>
      <c r="E879" s="16"/>
      <c r="F879" s="16"/>
      <c r="G879" s="16"/>
    </row>
    <row r="880" ht="15.75" customHeight="1">
      <c r="B880" s="16"/>
      <c r="C880" s="16"/>
      <c r="D880" s="16"/>
      <c r="E880" s="16"/>
      <c r="F880" s="16"/>
      <c r="G880" s="16"/>
    </row>
    <row r="881" ht="15.75" customHeight="1">
      <c r="B881" s="16"/>
      <c r="C881" s="16"/>
      <c r="D881" s="16"/>
      <c r="E881" s="16"/>
      <c r="F881" s="16"/>
      <c r="G881" s="16"/>
    </row>
    <row r="882" ht="15.75" customHeight="1">
      <c r="B882" s="16"/>
      <c r="C882" s="16"/>
      <c r="D882" s="16"/>
      <c r="E882" s="16"/>
      <c r="F882" s="16"/>
      <c r="G882" s="16"/>
    </row>
    <row r="883" ht="15.75" customHeight="1">
      <c r="B883" s="16"/>
      <c r="C883" s="16"/>
      <c r="D883" s="16"/>
      <c r="E883" s="16"/>
      <c r="F883" s="16"/>
      <c r="G883" s="16"/>
    </row>
    <row r="884" ht="15.75" customHeight="1">
      <c r="B884" s="16"/>
      <c r="C884" s="16"/>
      <c r="D884" s="16"/>
      <c r="E884" s="16"/>
      <c r="F884" s="16"/>
      <c r="G884" s="16"/>
    </row>
    <row r="885" ht="15.75" customHeight="1">
      <c r="B885" s="16"/>
      <c r="C885" s="16"/>
      <c r="D885" s="16"/>
      <c r="E885" s="16"/>
      <c r="F885" s="16"/>
      <c r="G885" s="16"/>
    </row>
    <row r="886" ht="15.75" customHeight="1">
      <c r="B886" s="16"/>
      <c r="C886" s="16"/>
      <c r="D886" s="16"/>
      <c r="E886" s="16"/>
      <c r="F886" s="16"/>
      <c r="G886" s="16"/>
    </row>
    <row r="887" ht="15.75" customHeight="1">
      <c r="B887" s="16"/>
      <c r="C887" s="16"/>
      <c r="D887" s="16"/>
      <c r="E887" s="16"/>
      <c r="F887" s="16"/>
      <c r="G887" s="16"/>
    </row>
    <row r="888" ht="15.75" customHeight="1">
      <c r="B888" s="16"/>
      <c r="C888" s="16"/>
      <c r="D888" s="16"/>
      <c r="E888" s="16"/>
      <c r="F888" s="16"/>
      <c r="G888" s="16"/>
    </row>
    <row r="889" ht="15.75" customHeight="1">
      <c r="B889" s="16"/>
      <c r="C889" s="16"/>
      <c r="D889" s="16"/>
      <c r="E889" s="16"/>
      <c r="F889" s="16"/>
      <c r="G889" s="16"/>
    </row>
    <row r="890" ht="15.75" customHeight="1">
      <c r="B890" s="16"/>
      <c r="C890" s="16"/>
      <c r="D890" s="16"/>
      <c r="E890" s="16"/>
      <c r="F890" s="16"/>
      <c r="G890" s="16"/>
    </row>
    <row r="891" ht="15.75" customHeight="1">
      <c r="B891" s="16"/>
      <c r="C891" s="16"/>
      <c r="D891" s="16"/>
      <c r="E891" s="16"/>
      <c r="F891" s="16"/>
      <c r="G891" s="16"/>
    </row>
    <row r="892" ht="15.75" customHeight="1">
      <c r="B892" s="16"/>
      <c r="C892" s="16"/>
      <c r="D892" s="16"/>
      <c r="E892" s="16"/>
      <c r="F892" s="16"/>
      <c r="G892" s="16"/>
    </row>
    <row r="893" ht="15.75" customHeight="1">
      <c r="B893" s="16"/>
      <c r="C893" s="16"/>
      <c r="D893" s="16"/>
      <c r="E893" s="16"/>
      <c r="F893" s="16"/>
      <c r="G893" s="16"/>
    </row>
    <row r="894" ht="15.75" customHeight="1">
      <c r="B894" s="16"/>
      <c r="C894" s="16"/>
      <c r="D894" s="16"/>
      <c r="E894" s="16"/>
      <c r="F894" s="16"/>
      <c r="G894" s="16"/>
    </row>
    <row r="895" ht="15.75" customHeight="1">
      <c r="B895" s="16"/>
      <c r="C895" s="16"/>
      <c r="D895" s="16"/>
      <c r="E895" s="16"/>
      <c r="F895" s="16"/>
      <c r="G895" s="16"/>
    </row>
    <row r="896" ht="15.75" customHeight="1">
      <c r="B896" s="16"/>
      <c r="C896" s="16"/>
      <c r="D896" s="16"/>
      <c r="E896" s="16"/>
      <c r="F896" s="16"/>
      <c r="G896" s="16"/>
    </row>
    <row r="897" ht="15.75" customHeight="1">
      <c r="B897" s="16"/>
      <c r="C897" s="16"/>
      <c r="D897" s="16"/>
      <c r="E897" s="16"/>
      <c r="F897" s="16"/>
      <c r="G897" s="16"/>
    </row>
    <row r="898" ht="15.75" customHeight="1">
      <c r="B898" s="16"/>
      <c r="C898" s="16"/>
      <c r="D898" s="16"/>
      <c r="E898" s="16"/>
      <c r="F898" s="16"/>
      <c r="G898" s="16"/>
    </row>
    <row r="899" ht="15.75" customHeight="1">
      <c r="B899" s="16"/>
      <c r="C899" s="16"/>
      <c r="D899" s="16"/>
      <c r="E899" s="16"/>
      <c r="F899" s="16"/>
      <c r="G899" s="16"/>
    </row>
    <row r="900" ht="15.75" customHeight="1">
      <c r="B900" s="16"/>
      <c r="C900" s="16"/>
      <c r="D900" s="16"/>
      <c r="E900" s="16"/>
      <c r="F900" s="16"/>
      <c r="G900" s="16"/>
    </row>
    <row r="901" ht="15.75" customHeight="1">
      <c r="B901" s="16"/>
      <c r="C901" s="16"/>
      <c r="D901" s="16"/>
      <c r="E901" s="16"/>
      <c r="F901" s="16"/>
      <c r="G901" s="16"/>
    </row>
    <row r="902" ht="15.75" customHeight="1">
      <c r="B902" s="16"/>
      <c r="C902" s="16"/>
      <c r="D902" s="16"/>
      <c r="E902" s="16"/>
      <c r="F902" s="16"/>
      <c r="G902" s="16"/>
    </row>
    <row r="903" ht="15.75" customHeight="1">
      <c r="B903" s="16"/>
      <c r="C903" s="16"/>
      <c r="D903" s="16"/>
      <c r="E903" s="16"/>
      <c r="F903" s="16"/>
      <c r="G903" s="16"/>
    </row>
    <row r="904" ht="15.75" customHeight="1">
      <c r="B904" s="16"/>
      <c r="C904" s="16"/>
      <c r="D904" s="16"/>
      <c r="E904" s="16"/>
      <c r="F904" s="16"/>
      <c r="G904" s="16"/>
    </row>
    <row r="905" ht="15.75" customHeight="1">
      <c r="B905" s="16"/>
      <c r="C905" s="16"/>
      <c r="D905" s="16"/>
      <c r="E905" s="16"/>
      <c r="F905" s="16"/>
      <c r="G905" s="16"/>
    </row>
    <row r="906" ht="15.75" customHeight="1">
      <c r="B906" s="16"/>
      <c r="C906" s="16"/>
      <c r="D906" s="16"/>
      <c r="E906" s="16"/>
      <c r="F906" s="16"/>
      <c r="G906" s="16"/>
    </row>
    <row r="907" ht="15.75" customHeight="1">
      <c r="B907" s="16"/>
      <c r="C907" s="16"/>
      <c r="D907" s="16"/>
      <c r="E907" s="16"/>
      <c r="F907" s="16"/>
      <c r="G907" s="16"/>
    </row>
    <row r="908" ht="15.75" customHeight="1">
      <c r="B908" s="16"/>
      <c r="C908" s="16"/>
      <c r="D908" s="16"/>
      <c r="E908" s="16"/>
      <c r="F908" s="16"/>
      <c r="G908" s="16"/>
    </row>
    <row r="909" ht="15.75" customHeight="1">
      <c r="B909" s="16"/>
      <c r="C909" s="16"/>
      <c r="D909" s="16"/>
      <c r="E909" s="16"/>
      <c r="F909" s="16"/>
      <c r="G909" s="16"/>
    </row>
    <row r="910" ht="15.75" customHeight="1">
      <c r="B910" s="16"/>
      <c r="C910" s="16"/>
      <c r="D910" s="16"/>
      <c r="E910" s="16"/>
      <c r="F910" s="16"/>
      <c r="G910" s="16"/>
    </row>
    <row r="911" ht="15.75" customHeight="1">
      <c r="B911" s="16"/>
      <c r="C911" s="16"/>
      <c r="D911" s="16"/>
      <c r="E911" s="16"/>
      <c r="F911" s="16"/>
      <c r="G911" s="16"/>
    </row>
    <row r="912" ht="15.75" customHeight="1">
      <c r="B912" s="16"/>
      <c r="C912" s="16"/>
      <c r="D912" s="16"/>
      <c r="E912" s="16"/>
      <c r="F912" s="16"/>
      <c r="G912" s="16"/>
    </row>
    <row r="913" ht="15.75" customHeight="1">
      <c r="B913" s="16"/>
      <c r="C913" s="16"/>
      <c r="D913" s="16"/>
      <c r="E913" s="16"/>
      <c r="F913" s="16"/>
      <c r="G913" s="16"/>
    </row>
    <row r="914" ht="15.75" customHeight="1">
      <c r="B914" s="16"/>
      <c r="C914" s="16"/>
      <c r="D914" s="16"/>
      <c r="E914" s="16"/>
      <c r="F914" s="16"/>
      <c r="G914" s="16"/>
    </row>
    <row r="915" ht="15.75" customHeight="1">
      <c r="B915" s="16"/>
      <c r="C915" s="16"/>
      <c r="D915" s="16"/>
      <c r="E915" s="16"/>
      <c r="F915" s="16"/>
      <c r="G915" s="16"/>
    </row>
    <row r="916" ht="15.75" customHeight="1">
      <c r="B916" s="16"/>
      <c r="C916" s="16"/>
      <c r="D916" s="16"/>
      <c r="E916" s="16"/>
      <c r="F916" s="16"/>
      <c r="G916" s="16"/>
    </row>
    <row r="917" ht="15.75" customHeight="1">
      <c r="B917" s="16"/>
      <c r="C917" s="16"/>
      <c r="D917" s="16"/>
      <c r="E917" s="16"/>
      <c r="F917" s="16"/>
      <c r="G917" s="16"/>
    </row>
    <row r="918" ht="15.75" customHeight="1">
      <c r="B918" s="16"/>
      <c r="C918" s="16"/>
      <c r="D918" s="16"/>
      <c r="E918" s="16"/>
      <c r="F918" s="16"/>
      <c r="G918" s="16"/>
    </row>
    <row r="919" ht="15.75" customHeight="1">
      <c r="B919" s="16"/>
      <c r="C919" s="16"/>
      <c r="D919" s="16"/>
      <c r="E919" s="16"/>
      <c r="F919" s="16"/>
      <c r="G919" s="16"/>
    </row>
    <row r="920" ht="15.75" customHeight="1">
      <c r="B920" s="16"/>
      <c r="C920" s="16"/>
      <c r="D920" s="16"/>
      <c r="E920" s="16"/>
      <c r="F920" s="16"/>
      <c r="G920" s="16"/>
    </row>
    <row r="921" ht="15.75" customHeight="1">
      <c r="B921" s="16"/>
      <c r="C921" s="16"/>
      <c r="D921" s="16"/>
      <c r="E921" s="16"/>
      <c r="F921" s="16"/>
      <c r="G921" s="16"/>
    </row>
    <row r="922" ht="15.75" customHeight="1">
      <c r="B922" s="16"/>
      <c r="C922" s="16"/>
      <c r="D922" s="16"/>
      <c r="E922" s="16"/>
      <c r="F922" s="16"/>
      <c r="G922" s="16"/>
    </row>
    <row r="923" ht="15.75" customHeight="1">
      <c r="B923" s="16"/>
      <c r="C923" s="16"/>
      <c r="D923" s="16"/>
      <c r="E923" s="16"/>
      <c r="F923" s="16"/>
      <c r="G923" s="16"/>
    </row>
    <row r="924" ht="15.75" customHeight="1">
      <c r="B924" s="16"/>
      <c r="C924" s="16"/>
      <c r="D924" s="16"/>
      <c r="E924" s="16"/>
      <c r="F924" s="16"/>
      <c r="G924" s="16"/>
    </row>
    <row r="925" ht="15.75" customHeight="1">
      <c r="B925" s="16"/>
      <c r="C925" s="16"/>
      <c r="D925" s="16"/>
      <c r="E925" s="16"/>
      <c r="F925" s="16"/>
      <c r="G925" s="16"/>
    </row>
    <row r="926" ht="15.75" customHeight="1">
      <c r="B926" s="16"/>
      <c r="C926" s="16"/>
      <c r="D926" s="16"/>
      <c r="E926" s="16"/>
      <c r="F926" s="16"/>
      <c r="G926" s="16"/>
    </row>
    <row r="927" ht="15.75" customHeight="1">
      <c r="B927" s="16"/>
      <c r="C927" s="16"/>
      <c r="D927" s="16"/>
      <c r="E927" s="16"/>
      <c r="F927" s="16"/>
      <c r="G927" s="16"/>
    </row>
    <row r="928" ht="15.75" customHeight="1">
      <c r="B928" s="16"/>
      <c r="C928" s="16"/>
      <c r="D928" s="16"/>
      <c r="E928" s="16"/>
      <c r="F928" s="16"/>
      <c r="G928" s="16"/>
    </row>
    <row r="929" ht="15.75" customHeight="1">
      <c r="B929" s="16"/>
      <c r="C929" s="16"/>
      <c r="D929" s="16"/>
      <c r="E929" s="16"/>
      <c r="F929" s="16"/>
      <c r="G929" s="16"/>
    </row>
    <row r="930" ht="15.75" customHeight="1">
      <c r="B930" s="16"/>
      <c r="C930" s="16"/>
      <c r="D930" s="16"/>
      <c r="E930" s="16"/>
      <c r="F930" s="16"/>
      <c r="G930" s="16"/>
    </row>
    <row r="931" ht="15.75" customHeight="1">
      <c r="B931" s="16"/>
      <c r="C931" s="16"/>
      <c r="D931" s="16"/>
      <c r="E931" s="16"/>
      <c r="F931" s="16"/>
      <c r="G931" s="16"/>
    </row>
    <row r="932" ht="15.75" customHeight="1">
      <c r="B932" s="16"/>
      <c r="C932" s="16"/>
      <c r="D932" s="16"/>
      <c r="E932" s="16"/>
      <c r="F932" s="16"/>
      <c r="G932" s="16"/>
    </row>
    <row r="933" ht="15.75" customHeight="1">
      <c r="B933" s="16"/>
      <c r="C933" s="16"/>
      <c r="D933" s="16"/>
      <c r="E933" s="16"/>
      <c r="F933" s="16"/>
      <c r="G933" s="16"/>
    </row>
    <row r="934" ht="15.75" customHeight="1">
      <c r="B934" s="16"/>
      <c r="C934" s="16"/>
      <c r="D934" s="16"/>
      <c r="E934" s="16"/>
      <c r="F934" s="16"/>
      <c r="G934" s="16"/>
    </row>
    <row r="935" ht="15.75" customHeight="1">
      <c r="B935" s="16"/>
      <c r="C935" s="16"/>
      <c r="D935" s="16"/>
      <c r="E935" s="16"/>
      <c r="F935" s="16"/>
      <c r="G935" s="16"/>
    </row>
    <row r="936" ht="15.75" customHeight="1">
      <c r="B936" s="16"/>
      <c r="C936" s="16"/>
      <c r="D936" s="16"/>
      <c r="E936" s="16"/>
      <c r="F936" s="16"/>
      <c r="G936" s="16"/>
    </row>
    <row r="937" ht="15.75" customHeight="1">
      <c r="B937" s="16"/>
      <c r="C937" s="16"/>
      <c r="D937" s="16"/>
      <c r="E937" s="16"/>
      <c r="F937" s="16"/>
      <c r="G937" s="16"/>
    </row>
    <row r="938" ht="15.75" customHeight="1">
      <c r="B938" s="16"/>
      <c r="C938" s="16"/>
      <c r="D938" s="16"/>
      <c r="E938" s="16"/>
      <c r="F938" s="16"/>
      <c r="G938" s="16"/>
    </row>
    <row r="939" ht="15.75" customHeight="1">
      <c r="B939" s="16"/>
      <c r="C939" s="16"/>
      <c r="D939" s="16"/>
      <c r="E939" s="16"/>
      <c r="F939" s="16"/>
      <c r="G939" s="16"/>
    </row>
    <row r="940" ht="15.75" customHeight="1">
      <c r="B940" s="16"/>
      <c r="C940" s="16"/>
      <c r="D940" s="16"/>
      <c r="E940" s="16"/>
      <c r="F940" s="16"/>
      <c r="G940" s="16"/>
    </row>
    <row r="941" ht="15.75" customHeight="1">
      <c r="B941" s="16"/>
      <c r="C941" s="16"/>
      <c r="D941" s="16"/>
      <c r="E941" s="16"/>
      <c r="F941" s="16"/>
      <c r="G941" s="16"/>
    </row>
    <row r="942" ht="15.75" customHeight="1">
      <c r="B942" s="16"/>
      <c r="C942" s="16"/>
      <c r="D942" s="16"/>
      <c r="E942" s="16"/>
      <c r="F942" s="16"/>
      <c r="G942" s="16"/>
    </row>
    <row r="943" ht="15.75" customHeight="1">
      <c r="B943" s="16"/>
      <c r="C943" s="16"/>
      <c r="D943" s="16"/>
      <c r="E943" s="16"/>
      <c r="F943" s="16"/>
      <c r="G943" s="16"/>
    </row>
    <row r="944" ht="15.75" customHeight="1">
      <c r="B944" s="16"/>
      <c r="C944" s="16"/>
      <c r="D944" s="16"/>
      <c r="E944" s="16"/>
      <c r="F944" s="16"/>
      <c r="G944" s="16"/>
    </row>
    <row r="945" ht="15.75" customHeight="1">
      <c r="B945" s="16"/>
      <c r="C945" s="16"/>
      <c r="D945" s="16"/>
      <c r="E945" s="16"/>
      <c r="F945" s="16"/>
      <c r="G945" s="16"/>
    </row>
    <row r="946" ht="15.75" customHeight="1">
      <c r="B946" s="16"/>
      <c r="C946" s="16"/>
      <c r="D946" s="16"/>
      <c r="E946" s="16"/>
      <c r="F946" s="16"/>
      <c r="G946" s="16"/>
    </row>
    <row r="947" ht="15.75" customHeight="1">
      <c r="B947" s="16"/>
      <c r="C947" s="16"/>
      <c r="D947" s="16"/>
      <c r="E947" s="16"/>
      <c r="F947" s="16"/>
      <c r="G947" s="16"/>
    </row>
    <row r="948" ht="15.75" customHeight="1">
      <c r="B948" s="16"/>
      <c r="C948" s="16"/>
      <c r="D948" s="16"/>
      <c r="E948" s="16"/>
      <c r="F948" s="16"/>
      <c r="G948" s="16"/>
    </row>
    <row r="949" ht="15.75" customHeight="1">
      <c r="B949" s="16"/>
      <c r="C949" s="16"/>
      <c r="D949" s="16"/>
      <c r="E949" s="16"/>
      <c r="F949" s="16"/>
      <c r="G949" s="16"/>
    </row>
    <row r="950" ht="15.75" customHeight="1">
      <c r="B950" s="16"/>
      <c r="C950" s="16"/>
      <c r="D950" s="16"/>
      <c r="E950" s="16"/>
      <c r="F950" s="16"/>
      <c r="G950" s="16"/>
    </row>
    <row r="951" ht="15.75" customHeight="1">
      <c r="B951" s="16"/>
      <c r="C951" s="16"/>
      <c r="D951" s="16"/>
      <c r="E951" s="16"/>
      <c r="F951" s="16"/>
      <c r="G951" s="16"/>
    </row>
    <row r="952" ht="15.75" customHeight="1">
      <c r="B952" s="16"/>
      <c r="C952" s="16"/>
      <c r="D952" s="16"/>
      <c r="E952" s="16"/>
      <c r="F952" s="16"/>
      <c r="G952" s="16"/>
    </row>
    <row r="953" ht="15.75" customHeight="1">
      <c r="B953" s="16"/>
      <c r="C953" s="16"/>
      <c r="D953" s="16"/>
      <c r="E953" s="16"/>
      <c r="F953" s="16"/>
      <c r="G953" s="16"/>
    </row>
    <row r="954" ht="15.75" customHeight="1">
      <c r="B954" s="16"/>
      <c r="C954" s="16"/>
      <c r="D954" s="16"/>
      <c r="E954" s="16"/>
      <c r="F954" s="16"/>
      <c r="G954" s="16"/>
    </row>
    <row r="955" ht="15.75" customHeight="1">
      <c r="B955" s="16"/>
      <c r="C955" s="16"/>
      <c r="D955" s="16"/>
      <c r="E955" s="16"/>
      <c r="F955" s="16"/>
      <c r="G955" s="16"/>
    </row>
    <row r="956" ht="15.75" customHeight="1">
      <c r="B956" s="16"/>
      <c r="C956" s="16"/>
      <c r="D956" s="16"/>
      <c r="E956" s="16"/>
      <c r="F956" s="16"/>
      <c r="G956" s="16"/>
    </row>
    <row r="957" ht="15.75" customHeight="1">
      <c r="B957" s="16"/>
      <c r="C957" s="16"/>
      <c r="D957" s="16"/>
      <c r="E957" s="16"/>
      <c r="F957" s="16"/>
      <c r="G957" s="16"/>
    </row>
    <row r="958" ht="15.75" customHeight="1">
      <c r="B958" s="16"/>
      <c r="C958" s="16"/>
      <c r="D958" s="16"/>
      <c r="E958" s="16"/>
      <c r="F958" s="16"/>
      <c r="G958" s="16"/>
    </row>
    <row r="959" ht="15.75" customHeight="1">
      <c r="B959" s="16"/>
      <c r="C959" s="16"/>
      <c r="D959" s="16"/>
      <c r="E959" s="16"/>
      <c r="F959" s="16"/>
      <c r="G959" s="16"/>
    </row>
    <row r="960" ht="15.75" customHeight="1">
      <c r="B960" s="16"/>
      <c r="C960" s="16"/>
      <c r="D960" s="16"/>
      <c r="E960" s="16"/>
      <c r="F960" s="16"/>
      <c r="G960" s="16"/>
    </row>
    <row r="961" ht="15.75" customHeight="1">
      <c r="B961" s="16"/>
      <c r="C961" s="16"/>
      <c r="D961" s="16"/>
      <c r="E961" s="16"/>
      <c r="F961" s="16"/>
      <c r="G961" s="16"/>
    </row>
    <row r="962" ht="15.75" customHeight="1">
      <c r="B962" s="16"/>
      <c r="C962" s="16"/>
      <c r="D962" s="16"/>
      <c r="E962" s="16"/>
      <c r="F962" s="16"/>
      <c r="G962" s="16"/>
    </row>
    <row r="963" ht="15.75" customHeight="1">
      <c r="B963" s="16"/>
      <c r="C963" s="16"/>
      <c r="D963" s="16"/>
      <c r="E963" s="16"/>
      <c r="F963" s="16"/>
      <c r="G963" s="16"/>
    </row>
    <row r="964" ht="15.75" customHeight="1">
      <c r="B964" s="16"/>
      <c r="C964" s="16"/>
      <c r="D964" s="16"/>
      <c r="E964" s="16"/>
      <c r="F964" s="16"/>
      <c r="G964" s="16"/>
    </row>
    <row r="965" ht="15.75" customHeight="1">
      <c r="B965" s="16"/>
      <c r="C965" s="16"/>
      <c r="D965" s="16"/>
      <c r="E965" s="16"/>
      <c r="F965" s="16"/>
      <c r="G965" s="16"/>
    </row>
    <row r="966" ht="15.75" customHeight="1">
      <c r="B966" s="16"/>
      <c r="C966" s="16"/>
      <c r="D966" s="16"/>
      <c r="E966" s="16"/>
      <c r="F966" s="16"/>
      <c r="G966" s="16"/>
    </row>
    <row r="967" ht="15.75" customHeight="1">
      <c r="B967" s="16"/>
      <c r="C967" s="16"/>
      <c r="D967" s="16"/>
      <c r="E967" s="16"/>
      <c r="F967" s="16"/>
      <c r="G967" s="16"/>
    </row>
    <row r="968" ht="15.75" customHeight="1">
      <c r="B968" s="16"/>
      <c r="C968" s="16"/>
      <c r="D968" s="16"/>
      <c r="E968" s="16"/>
      <c r="F968" s="16"/>
      <c r="G968" s="16"/>
    </row>
    <row r="969" ht="15.75" customHeight="1">
      <c r="B969" s="16"/>
      <c r="C969" s="16"/>
      <c r="D969" s="16"/>
      <c r="E969" s="16"/>
      <c r="F969" s="16"/>
      <c r="G969" s="16"/>
    </row>
    <row r="970" ht="15.75" customHeight="1">
      <c r="B970" s="16"/>
      <c r="C970" s="16"/>
      <c r="D970" s="16"/>
      <c r="E970" s="16"/>
      <c r="F970" s="16"/>
      <c r="G970" s="16"/>
    </row>
    <row r="971" ht="15.75" customHeight="1">
      <c r="B971" s="16"/>
      <c r="C971" s="16"/>
      <c r="D971" s="16"/>
      <c r="E971" s="16"/>
      <c r="F971" s="16"/>
      <c r="G971" s="16"/>
    </row>
    <row r="972" ht="15.75" customHeight="1">
      <c r="B972" s="16"/>
      <c r="C972" s="16"/>
      <c r="D972" s="16"/>
      <c r="E972" s="16"/>
      <c r="F972" s="16"/>
      <c r="G972" s="16"/>
    </row>
    <row r="973" ht="15.75" customHeight="1">
      <c r="B973" s="16"/>
      <c r="C973" s="16"/>
      <c r="D973" s="16"/>
      <c r="E973" s="16"/>
      <c r="F973" s="16"/>
      <c r="G973" s="16"/>
    </row>
    <row r="974" ht="15.75" customHeight="1">
      <c r="B974" s="16"/>
      <c r="C974" s="16"/>
      <c r="D974" s="16"/>
      <c r="E974" s="16"/>
      <c r="F974" s="16"/>
      <c r="G974" s="16"/>
    </row>
    <row r="975" ht="15.75" customHeight="1">
      <c r="B975" s="16"/>
      <c r="C975" s="16"/>
      <c r="D975" s="16"/>
      <c r="E975" s="16"/>
      <c r="F975" s="16"/>
      <c r="G975" s="16"/>
    </row>
    <row r="976" ht="15.75" customHeight="1">
      <c r="B976" s="16"/>
      <c r="C976" s="16"/>
      <c r="D976" s="16"/>
      <c r="E976" s="16"/>
      <c r="F976" s="16"/>
      <c r="G976" s="16"/>
    </row>
    <row r="977" ht="15.75" customHeight="1">
      <c r="B977" s="16"/>
      <c r="C977" s="16"/>
      <c r="D977" s="16"/>
      <c r="E977" s="16"/>
      <c r="F977" s="16"/>
      <c r="G977" s="16"/>
    </row>
    <row r="978" ht="15.75" customHeight="1">
      <c r="B978" s="16"/>
      <c r="C978" s="16"/>
      <c r="D978" s="16"/>
      <c r="E978" s="16"/>
      <c r="F978" s="16"/>
      <c r="G978" s="16"/>
    </row>
    <row r="979" ht="15.75" customHeight="1">
      <c r="B979" s="16"/>
      <c r="C979" s="16"/>
      <c r="D979" s="16"/>
      <c r="E979" s="16"/>
      <c r="F979" s="16"/>
      <c r="G979" s="16"/>
    </row>
    <row r="980" ht="15.75" customHeight="1">
      <c r="B980" s="16"/>
      <c r="C980" s="16"/>
      <c r="D980" s="16"/>
      <c r="E980" s="16"/>
      <c r="F980" s="16"/>
      <c r="G980" s="16"/>
    </row>
    <row r="981" ht="15.75" customHeight="1">
      <c r="B981" s="16"/>
      <c r="C981" s="16"/>
      <c r="D981" s="16"/>
      <c r="E981" s="16"/>
      <c r="F981" s="16"/>
      <c r="G981" s="16"/>
    </row>
    <row r="982" ht="15.75" customHeight="1">
      <c r="B982" s="16"/>
      <c r="C982" s="16"/>
      <c r="D982" s="16"/>
      <c r="E982" s="16"/>
      <c r="F982" s="16"/>
      <c r="G982" s="16"/>
    </row>
    <row r="983" ht="15.75" customHeight="1">
      <c r="B983" s="16"/>
      <c r="C983" s="16"/>
      <c r="D983" s="16"/>
      <c r="E983" s="16"/>
      <c r="F983" s="16"/>
      <c r="G983" s="16"/>
    </row>
    <row r="984" ht="15.75" customHeight="1">
      <c r="B984" s="16"/>
      <c r="C984" s="16"/>
      <c r="D984" s="16"/>
      <c r="E984" s="16"/>
      <c r="F984" s="16"/>
      <c r="G984" s="16"/>
    </row>
    <row r="985" ht="15.75" customHeight="1">
      <c r="B985" s="16"/>
      <c r="C985" s="16"/>
      <c r="D985" s="16"/>
      <c r="E985" s="16"/>
      <c r="F985" s="16"/>
      <c r="G985" s="16"/>
    </row>
    <row r="986" ht="15.75" customHeight="1">
      <c r="B986" s="16"/>
      <c r="C986" s="16"/>
      <c r="D986" s="16"/>
      <c r="E986" s="16"/>
      <c r="F986" s="16"/>
      <c r="G986" s="16"/>
    </row>
    <row r="987" ht="15.75" customHeight="1">
      <c r="B987" s="16"/>
      <c r="C987" s="16"/>
      <c r="D987" s="16"/>
      <c r="E987" s="16"/>
      <c r="F987" s="16"/>
      <c r="G987" s="16"/>
    </row>
    <row r="988" ht="15.75" customHeight="1">
      <c r="B988" s="16"/>
      <c r="C988" s="16"/>
      <c r="D988" s="16"/>
      <c r="E988" s="16"/>
      <c r="F988" s="16"/>
      <c r="G988" s="16"/>
    </row>
    <row r="989" ht="15.75" customHeight="1">
      <c r="B989" s="16"/>
      <c r="C989" s="16"/>
      <c r="D989" s="16"/>
      <c r="E989" s="16"/>
      <c r="F989" s="16"/>
      <c r="G989" s="16"/>
    </row>
    <row r="990" ht="15.75" customHeight="1">
      <c r="B990" s="16"/>
      <c r="C990" s="16"/>
      <c r="D990" s="16"/>
      <c r="E990" s="16"/>
      <c r="F990" s="16"/>
      <c r="G990" s="16"/>
    </row>
    <row r="991" ht="15.75" customHeight="1">
      <c r="B991" s="16"/>
      <c r="C991" s="16"/>
      <c r="D991" s="16"/>
      <c r="E991" s="16"/>
      <c r="F991" s="16"/>
      <c r="G991" s="16"/>
    </row>
    <row r="992" ht="15.75" customHeight="1">
      <c r="B992" s="16"/>
      <c r="C992" s="16"/>
      <c r="D992" s="16"/>
      <c r="E992" s="16"/>
      <c r="F992" s="16"/>
      <c r="G992" s="16"/>
    </row>
    <row r="993" ht="15.75" customHeight="1">
      <c r="B993" s="16"/>
      <c r="C993" s="16"/>
      <c r="D993" s="16"/>
      <c r="E993" s="16"/>
      <c r="F993" s="16"/>
      <c r="G993" s="16"/>
    </row>
    <row r="994" ht="15.75" customHeight="1">
      <c r="B994" s="16"/>
      <c r="C994" s="16"/>
      <c r="D994" s="16"/>
      <c r="E994" s="16"/>
      <c r="F994" s="16"/>
      <c r="G994" s="16"/>
    </row>
    <row r="995" ht="15.75" customHeight="1">
      <c r="B995" s="16"/>
      <c r="C995" s="16"/>
      <c r="D995" s="16"/>
      <c r="E995" s="16"/>
      <c r="F995" s="16"/>
      <c r="G995" s="16"/>
    </row>
    <row r="996" ht="15.75" customHeight="1">
      <c r="B996" s="16"/>
      <c r="C996" s="16"/>
      <c r="D996" s="16"/>
      <c r="E996" s="16"/>
      <c r="F996" s="16"/>
      <c r="G996" s="16"/>
    </row>
    <row r="997" ht="15.75" customHeight="1">
      <c r="B997" s="16"/>
      <c r="C997" s="16"/>
      <c r="D997" s="16"/>
      <c r="E997" s="16"/>
      <c r="F997" s="16"/>
      <c r="G997" s="16"/>
    </row>
    <row r="998" ht="15.75" customHeight="1">
      <c r="B998" s="16"/>
      <c r="C998" s="16"/>
      <c r="D998" s="16"/>
      <c r="E998" s="16"/>
      <c r="F998" s="16"/>
      <c r="G998" s="16"/>
    </row>
  </sheetData>
  <mergeCells count="12">
    <mergeCell ref="A3:A22"/>
    <mergeCell ref="A23:A37"/>
    <mergeCell ref="A38:A45"/>
    <mergeCell ref="A46:A57"/>
    <mergeCell ref="A58:A62"/>
    <mergeCell ref="G1:N1"/>
    <mergeCell ref="P1:U1"/>
    <mergeCell ref="W1:AC1"/>
    <mergeCell ref="AD1:AJ1"/>
    <mergeCell ref="AK1:AQ1"/>
    <mergeCell ref="AR1:AT1"/>
    <mergeCell ref="AU1:AW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6.38"/>
    <col customWidth="1" min="4" max="4" width="17.63"/>
    <col customWidth="1" min="5" max="5" width="15.88"/>
    <col customWidth="1" min="6" max="6" width="8.25"/>
    <col customWidth="1" min="7" max="7" width="35.38"/>
    <col customWidth="1" min="8" max="8" width="17.63"/>
    <col customWidth="1" min="9" max="9" width="21.38"/>
    <col customWidth="1" min="10" max="10" width="22.38"/>
    <col customWidth="1" min="11" max="11" width="22.88"/>
    <col customWidth="1" min="12" max="12" width="22.75"/>
    <col customWidth="1" min="13" max="13" width="23.75"/>
    <col customWidth="1" min="14" max="14" width="24.38"/>
    <col customWidth="1" min="16" max="16" width="14.75"/>
    <col customWidth="1" min="17" max="17" width="17.75"/>
    <col customWidth="1" min="18" max="18" width="17.13"/>
    <col customWidth="1" min="19" max="19" width="23.75"/>
    <col customWidth="1" min="20" max="20" width="19.38"/>
    <col customWidth="1" min="21" max="21" width="23.88"/>
    <col customWidth="1" min="22" max="22" width="32.38"/>
    <col customWidth="1" min="23" max="23" width="17.75"/>
    <col customWidth="1" min="24" max="25" width="24.38"/>
    <col customWidth="1" min="26" max="26" width="24.63"/>
    <col customWidth="1" min="27" max="27" width="25.25"/>
    <col customWidth="1" min="28" max="28" width="23.13"/>
    <col customWidth="1" min="29" max="29" width="28.13"/>
    <col customWidth="1" min="30" max="30" width="14.13"/>
    <col customWidth="1" min="31" max="31" width="22.63"/>
    <col customWidth="1" min="32" max="32" width="20.63"/>
    <col customWidth="1" min="33" max="33" width="22.88"/>
    <col customWidth="1" min="34" max="34" width="23.75"/>
    <col customWidth="1" min="35" max="35" width="20.88"/>
    <col customWidth="1" min="36" max="36" width="24.88"/>
    <col customWidth="1" min="37" max="37" width="16.88"/>
    <col customWidth="1" min="38" max="38" width="27.88"/>
    <col customWidth="1" min="39" max="39" width="25.63"/>
    <col customWidth="1" min="40" max="40" width="23.13"/>
    <col customWidth="1" min="41" max="41" width="29.75"/>
    <col customWidth="1" min="42" max="42" width="22.25"/>
    <col customWidth="1" min="43" max="43" width="27.38"/>
    <col customWidth="1" min="44" max="44" width="14.13"/>
    <col customWidth="1" min="45" max="45" width="25.25"/>
    <col customWidth="1" min="46" max="46" width="24.38"/>
    <col customWidth="1" min="47" max="47" width="13.63"/>
    <col customWidth="1" min="48" max="49" width="23.75"/>
    <col customWidth="1" min="50" max="50" width="33.38"/>
    <col customWidth="1" min="51" max="51" width="40.63"/>
    <col customWidth="1" min="52" max="52" width="33.38"/>
    <col customWidth="1" min="53" max="53" width="17.63"/>
  </cols>
  <sheetData>
    <row r="1" ht="15.75" customHeight="1">
      <c r="A1" s="213" t="s">
        <v>0</v>
      </c>
      <c r="B1" s="213" t="s">
        <v>405</v>
      </c>
      <c r="C1" s="214" t="s">
        <v>406</v>
      </c>
      <c r="D1" s="215" t="s">
        <v>3</v>
      </c>
      <c r="E1" s="215" t="s">
        <v>4</v>
      </c>
      <c r="F1" s="215" t="s">
        <v>8</v>
      </c>
      <c r="G1" s="37" t="s">
        <v>407</v>
      </c>
      <c r="H1" s="38"/>
      <c r="I1" s="38"/>
      <c r="J1" s="38"/>
      <c r="K1" s="38"/>
      <c r="L1" s="38"/>
      <c r="M1" s="38"/>
      <c r="N1" s="39"/>
      <c r="O1" s="40" t="s">
        <v>408</v>
      </c>
      <c r="P1" s="41" t="s">
        <v>409</v>
      </c>
      <c r="Q1" s="38"/>
      <c r="R1" s="38"/>
      <c r="S1" s="38"/>
      <c r="T1" s="38"/>
      <c r="U1" s="39"/>
      <c r="V1" s="42" t="s">
        <v>410</v>
      </c>
      <c r="W1" s="41" t="s">
        <v>411</v>
      </c>
      <c r="X1" s="38"/>
      <c r="Y1" s="38"/>
      <c r="Z1" s="38"/>
      <c r="AA1" s="38"/>
      <c r="AB1" s="38"/>
      <c r="AC1" s="39"/>
      <c r="AD1" s="43" t="s">
        <v>412</v>
      </c>
      <c r="AE1" s="44"/>
      <c r="AF1" s="44"/>
      <c r="AG1" s="44"/>
      <c r="AH1" s="44"/>
      <c r="AI1" s="44"/>
      <c r="AJ1" s="45"/>
      <c r="AK1" s="46" t="s">
        <v>413</v>
      </c>
      <c r="AL1" s="44"/>
      <c r="AM1" s="44"/>
      <c r="AN1" s="44"/>
      <c r="AO1" s="44"/>
      <c r="AP1" s="44"/>
      <c r="AQ1" s="45"/>
      <c r="AR1" s="43" t="s">
        <v>414</v>
      </c>
      <c r="AS1" s="44"/>
      <c r="AT1" s="45"/>
      <c r="AU1" s="43" t="s">
        <v>415</v>
      </c>
      <c r="AV1" s="44"/>
      <c r="AW1" s="45"/>
      <c r="AX1" s="47" t="s">
        <v>416</v>
      </c>
      <c r="AY1" s="48" t="s">
        <v>417</v>
      </c>
      <c r="AZ1" s="48" t="s">
        <v>418</v>
      </c>
      <c r="BA1" s="49" t="s">
        <v>463</v>
      </c>
    </row>
    <row r="2" ht="15.75" customHeight="1">
      <c r="A2" s="33"/>
      <c r="B2" s="31"/>
      <c r="C2" s="31"/>
      <c r="D2" s="32"/>
      <c r="E2" s="32"/>
      <c r="F2" s="32"/>
      <c r="G2" s="32" t="s">
        <v>419</v>
      </c>
      <c r="H2" s="52" t="s">
        <v>420</v>
      </c>
      <c r="I2" s="53" t="s">
        <v>630</v>
      </c>
      <c r="J2" s="53" t="s">
        <v>422</v>
      </c>
      <c r="K2" s="54" t="s">
        <v>423</v>
      </c>
      <c r="L2" s="7" t="s">
        <v>424</v>
      </c>
      <c r="M2" s="55" t="s">
        <v>425</v>
      </c>
      <c r="N2" s="56" t="s">
        <v>426</v>
      </c>
      <c r="O2" s="57"/>
      <c r="P2" s="58" t="s">
        <v>427</v>
      </c>
      <c r="Q2" s="55" t="s">
        <v>428</v>
      </c>
      <c r="R2" s="55" t="s">
        <v>429</v>
      </c>
      <c r="S2" s="59" t="s">
        <v>430</v>
      </c>
      <c r="T2" s="7" t="s">
        <v>431</v>
      </c>
      <c r="U2" s="60" t="s">
        <v>432</v>
      </c>
      <c r="V2" s="61" t="s">
        <v>433</v>
      </c>
      <c r="W2" s="58" t="s">
        <v>434</v>
      </c>
      <c r="X2" s="62" t="s">
        <v>435</v>
      </c>
      <c r="Y2" s="55" t="s">
        <v>436</v>
      </c>
      <c r="Z2" s="59" t="s">
        <v>437</v>
      </c>
      <c r="AA2" s="54" t="s">
        <v>438</v>
      </c>
      <c r="AB2" s="54" t="s">
        <v>439</v>
      </c>
      <c r="AC2" s="63" t="s">
        <v>440</v>
      </c>
      <c r="AD2" s="58" t="s">
        <v>441</v>
      </c>
      <c r="AE2" s="62" t="s">
        <v>442</v>
      </c>
      <c r="AF2" s="64" t="s">
        <v>443</v>
      </c>
      <c r="AG2" s="65" t="s">
        <v>444</v>
      </c>
      <c r="AH2" s="13" t="s">
        <v>445</v>
      </c>
      <c r="AI2" s="13" t="s">
        <v>446</v>
      </c>
      <c r="AJ2" s="66" t="s">
        <v>447</v>
      </c>
      <c r="AK2" s="67" t="s">
        <v>448</v>
      </c>
      <c r="AL2" s="64" t="s">
        <v>449</v>
      </c>
      <c r="AM2" s="64" t="s">
        <v>450</v>
      </c>
      <c r="AN2" s="65" t="s">
        <v>451</v>
      </c>
      <c r="AO2" s="13" t="s">
        <v>452</v>
      </c>
      <c r="AP2" s="13" t="s">
        <v>453</v>
      </c>
      <c r="AQ2" s="66" t="s">
        <v>454</v>
      </c>
      <c r="AR2" s="67" t="s">
        <v>455</v>
      </c>
      <c r="AS2" s="64" t="s">
        <v>456</v>
      </c>
      <c r="AT2" s="66" t="s">
        <v>457</v>
      </c>
      <c r="AU2" s="67" t="s">
        <v>458</v>
      </c>
      <c r="AV2" s="64" t="s">
        <v>459</v>
      </c>
      <c r="AW2" s="66" t="s">
        <v>460</v>
      </c>
      <c r="AX2" s="68" t="s">
        <v>461</v>
      </c>
      <c r="AY2" s="68" t="s">
        <v>462</v>
      </c>
      <c r="AZ2" s="98"/>
    </row>
    <row r="3" ht="15.75" customHeight="1">
      <c r="A3" s="71" t="s">
        <v>13</v>
      </c>
      <c r="B3" s="72" t="s">
        <v>14</v>
      </c>
      <c r="C3" s="72" t="s">
        <v>15</v>
      </c>
      <c r="D3" s="74" t="s">
        <v>16</v>
      </c>
      <c r="E3" s="74" t="s">
        <v>17</v>
      </c>
      <c r="F3" s="74" t="s">
        <v>20</v>
      </c>
      <c r="G3" s="169" t="s">
        <v>631</v>
      </c>
      <c r="H3" s="76">
        <v>7.0</v>
      </c>
      <c r="I3" s="74"/>
      <c r="J3" s="74"/>
      <c r="K3" s="77"/>
      <c r="L3" s="74">
        <v>700.0</v>
      </c>
      <c r="M3" s="74">
        <v>1.0</v>
      </c>
      <c r="N3" s="74">
        <f t="shared" ref="N3:N55" si="1">(I3*M3)+(L3*M3*H3)+(J3*O3)</f>
        <v>4900</v>
      </c>
      <c r="O3" s="76">
        <v>8.0</v>
      </c>
      <c r="P3" s="216">
        <v>14.0</v>
      </c>
      <c r="Q3" s="76">
        <v>20.0</v>
      </c>
      <c r="R3" s="76">
        <v>550.0</v>
      </c>
      <c r="S3" s="74">
        <f t="shared" ref="S3:S55" si="2">Q3*R3*O3</f>
        <v>88000</v>
      </c>
      <c r="T3" s="74">
        <f t="shared" ref="T3:T55" si="3">Q3*(1+P3%)</f>
        <v>22.8</v>
      </c>
      <c r="U3" s="78">
        <f t="shared" ref="U3:U55" si="4">T3*R3</f>
        <v>12540</v>
      </c>
      <c r="V3" s="80">
        <f t="shared" ref="V3:V55" si="5">(U3*O3)-S3</f>
        <v>12320</v>
      </c>
      <c r="W3" s="79">
        <v>0.0</v>
      </c>
      <c r="X3" s="76">
        <v>550.0</v>
      </c>
      <c r="Y3" s="76">
        <v>1.4</v>
      </c>
      <c r="Z3" s="9">
        <f t="shared" ref="Z3:Z55" si="6">Y3*X3</f>
        <v>770</v>
      </c>
      <c r="AA3" s="9">
        <f t="shared" ref="AA3:AA55" si="7">X3*(1-W3%)</f>
        <v>550</v>
      </c>
      <c r="AB3" s="74">
        <f t="shared" ref="AB3:AB55" si="8"> Z3-(AA3*Y3)</f>
        <v>0</v>
      </c>
      <c r="AC3" s="81">
        <f t="shared" ref="AC3:AC55" si="9">AB3*O3</f>
        <v>0</v>
      </c>
      <c r="AD3" s="84">
        <v>42.0</v>
      </c>
      <c r="AE3" s="76">
        <v>1200.0</v>
      </c>
      <c r="AF3" s="83">
        <v>0.6</v>
      </c>
      <c r="AG3" s="9">
        <f t="shared" ref="AG3:AG55" si="10">AF3*AE3</f>
        <v>720</v>
      </c>
      <c r="AH3" s="9">
        <f t="shared" ref="AH3:AH55" si="11">AE3*(1-AD3%)</f>
        <v>696</v>
      </c>
      <c r="AI3" s="9">
        <f t="shared" ref="AI3:AI55" si="12">AG3-(AH3*AF3)</f>
        <v>302.4</v>
      </c>
      <c r="AJ3" s="12">
        <f t="shared" ref="AJ3:AJ55" si="13">AI3*O3</f>
        <v>2419.2</v>
      </c>
      <c r="AK3" s="85">
        <v>0.0</v>
      </c>
      <c r="AL3" s="83">
        <v>3.2</v>
      </c>
      <c r="AM3" s="83">
        <v>21.0</v>
      </c>
      <c r="AN3" s="9">
        <f t="shared" ref="AN3:AN55" si="14">AM3*AL3</f>
        <v>67.2</v>
      </c>
      <c r="AO3" s="9">
        <f t="shared" ref="AO3:AO55" si="15">AL3*(1-AK3%)</f>
        <v>3.2</v>
      </c>
      <c r="AP3" s="9">
        <f t="shared" ref="AP3:AP55" si="16">AN3-(AO3*AM3)</f>
        <v>0</v>
      </c>
      <c r="AQ3" s="12">
        <f t="shared" ref="AQ3:AQ55" si="17">AP3*O3</f>
        <v>0</v>
      </c>
      <c r="AR3" s="170">
        <v>0.0</v>
      </c>
      <c r="AS3" s="83">
        <v>20000.0</v>
      </c>
      <c r="AT3" s="12">
        <f t="shared" ref="AT3:AT55" si="18">AS3-(AS3*(1-AR3%))</f>
        <v>0</v>
      </c>
      <c r="AU3" s="122">
        <v>10.0</v>
      </c>
      <c r="AV3" s="83">
        <v>7000.0</v>
      </c>
      <c r="AW3" s="12">
        <f t="shared" ref="AW3:AW55" si="19">AV3-(AV3*(1-AU3%))</f>
        <v>700</v>
      </c>
      <c r="AX3" s="84">
        <f t="shared" ref="AX3:AX55" si="20">(AW3+AT3+AQ3+AJ3+AC3+V3)*H3</f>
        <v>108074.4</v>
      </c>
      <c r="AY3" s="199">
        <f t="shared" ref="AY3:AY48" si="21">(AW3+AT3+AQ3+AJ3+AC3+V3)/(N3)*100</f>
        <v>315.0857143</v>
      </c>
      <c r="AZ3" s="12">
        <f t="shared" ref="AZ3:AZ55" si="22">AX3-N3</f>
        <v>103174.4</v>
      </c>
      <c r="BA3" s="171"/>
    </row>
    <row r="4" ht="15.75" customHeight="1">
      <c r="A4" s="14"/>
      <c r="B4" s="33" t="s">
        <v>14</v>
      </c>
      <c r="C4" s="33" t="s">
        <v>91</v>
      </c>
      <c r="D4" s="7" t="s">
        <v>472</v>
      </c>
      <c r="E4" s="7" t="s">
        <v>473</v>
      </c>
      <c r="F4" s="7" t="s">
        <v>51</v>
      </c>
      <c r="G4" s="32" t="s">
        <v>474</v>
      </c>
      <c r="H4" s="88">
        <v>7.0</v>
      </c>
      <c r="I4" s="7"/>
      <c r="J4" s="7"/>
      <c r="L4" s="7">
        <v>180.0</v>
      </c>
      <c r="M4" s="7">
        <v>1.0</v>
      </c>
      <c r="N4" s="7">
        <f t="shared" si="1"/>
        <v>1260</v>
      </c>
      <c r="O4" s="88">
        <v>8.0</v>
      </c>
      <c r="P4" s="127">
        <v>14.0</v>
      </c>
      <c r="Q4" s="88">
        <v>20.0</v>
      </c>
      <c r="R4" s="88">
        <v>550.0</v>
      </c>
      <c r="S4" s="7">
        <f t="shared" si="2"/>
        <v>88000</v>
      </c>
      <c r="T4" s="7">
        <f t="shared" si="3"/>
        <v>22.8</v>
      </c>
      <c r="U4" s="60">
        <f t="shared" si="4"/>
        <v>12540</v>
      </c>
      <c r="V4" s="125">
        <f t="shared" si="5"/>
        <v>12320</v>
      </c>
      <c r="W4" s="101">
        <v>12.5</v>
      </c>
      <c r="X4" s="88">
        <v>550.0</v>
      </c>
      <c r="Y4" s="88">
        <v>1.4</v>
      </c>
      <c r="Z4" s="13">
        <f t="shared" si="6"/>
        <v>770</v>
      </c>
      <c r="AA4" s="13">
        <f t="shared" si="7"/>
        <v>481.25</v>
      </c>
      <c r="AB4" s="7">
        <f t="shared" si="8"/>
        <v>96.25</v>
      </c>
      <c r="AC4" s="93">
        <f t="shared" si="9"/>
        <v>770</v>
      </c>
      <c r="AD4" s="97">
        <v>0.0</v>
      </c>
      <c r="AE4" s="88">
        <v>1200.0</v>
      </c>
      <c r="AF4" s="95">
        <v>0.6</v>
      </c>
      <c r="AG4" s="13">
        <f t="shared" si="10"/>
        <v>720</v>
      </c>
      <c r="AH4" s="13">
        <f t="shared" si="11"/>
        <v>1200</v>
      </c>
      <c r="AI4" s="13">
        <f t="shared" si="12"/>
        <v>0</v>
      </c>
      <c r="AJ4" s="17">
        <f t="shared" si="13"/>
        <v>0</v>
      </c>
      <c r="AK4" s="96">
        <v>35.0</v>
      </c>
      <c r="AL4" s="95">
        <v>3.2</v>
      </c>
      <c r="AM4" s="95">
        <v>21.0</v>
      </c>
      <c r="AN4" s="13">
        <f t="shared" si="14"/>
        <v>67.2</v>
      </c>
      <c r="AO4" s="13">
        <f t="shared" si="15"/>
        <v>2.08</v>
      </c>
      <c r="AP4" s="13">
        <f t="shared" si="16"/>
        <v>23.52</v>
      </c>
      <c r="AQ4" s="17">
        <f t="shared" si="17"/>
        <v>188.16</v>
      </c>
      <c r="AR4" s="92">
        <v>0.0</v>
      </c>
      <c r="AS4" s="95">
        <v>22000.0</v>
      </c>
      <c r="AT4" s="17">
        <f t="shared" si="18"/>
        <v>0</v>
      </c>
      <c r="AU4" s="101">
        <v>10.0</v>
      </c>
      <c r="AV4" s="95">
        <v>7000.0</v>
      </c>
      <c r="AW4" s="17">
        <f t="shared" si="19"/>
        <v>700</v>
      </c>
      <c r="AX4" s="96">
        <f t="shared" si="20"/>
        <v>97847.12</v>
      </c>
      <c r="AY4" s="204">
        <f t="shared" si="21"/>
        <v>1109.377778</v>
      </c>
      <c r="AZ4" s="17">
        <f t="shared" si="22"/>
        <v>96587.12</v>
      </c>
      <c r="BA4" s="172"/>
    </row>
    <row r="5" ht="15.75" customHeight="1">
      <c r="A5" s="14"/>
      <c r="B5" s="217" t="s">
        <v>14</v>
      </c>
      <c r="C5" s="217" t="s">
        <v>91</v>
      </c>
      <c r="D5" s="175" t="s">
        <v>475</v>
      </c>
      <c r="E5" s="175" t="s">
        <v>473</v>
      </c>
      <c r="F5" s="175" t="s">
        <v>51</v>
      </c>
      <c r="G5" s="173" t="s">
        <v>632</v>
      </c>
      <c r="H5" s="88">
        <v>7.0</v>
      </c>
      <c r="I5" s="175"/>
      <c r="J5" s="175"/>
      <c r="K5" s="175"/>
      <c r="L5" s="175">
        <v>340.0</v>
      </c>
      <c r="M5" s="176">
        <v>1.0</v>
      </c>
      <c r="N5" s="7">
        <f t="shared" si="1"/>
        <v>2380</v>
      </c>
      <c r="O5" s="88">
        <v>8.0</v>
      </c>
      <c r="P5" s="127">
        <v>14.0</v>
      </c>
      <c r="Q5" s="88">
        <v>20.0</v>
      </c>
      <c r="R5" s="88">
        <v>550.0</v>
      </c>
      <c r="S5" s="176">
        <f t="shared" si="2"/>
        <v>88000</v>
      </c>
      <c r="T5" s="176">
        <f t="shared" si="3"/>
        <v>22.8</v>
      </c>
      <c r="U5" s="177">
        <f t="shared" si="4"/>
        <v>12540</v>
      </c>
      <c r="V5" s="178">
        <f t="shared" si="5"/>
        <v>12320</v>
      </c>
      <c r="W5" s="101">
        <v>12.5</v>
      </c>
      <c r="X5" s="88">
        <v>550.0</v>
      </c>
      <c r="Y5" s="88">
        <v>1.4</v>
      </c>
      <c r="Z5" s="176">
        <f t="shared" si="6"/>
        <v>770</v>
      </c>
      <c r="AA5" s="176">
        <f t="shared" si="7"/>
        <v>481.25</v>
      </c>
      <c r="AB5" s="176">
        <f t="shared" si="8"/>
        <v>96.25</v>
      </c>
      <c r="AC5" s="177">
        <f t="shared" si="9"/>
        <v>770</v>
      </c>
      <c r="AD5" s="218">
        <v>0.0</v>
      </c>
      <c r="AE5" s="88">
        <v>1200.0</v>
      </c>
      <c r="AF5" s="95">
        <v>0.6</v>
      </c>
      <c r="AG5" s="176">
        <f t="shared" si="10"/>
        <v>720</v>
      </c>
      <c r="AH5" s="176">
        <f t="shared" si="11"/>
        <v>1200</v>
      </c>
      <c r="AI5" s="176">
        <f t="shared" si="12"/>
        <v>0</v>
      </c>
      <c r="AJ5" s="177">
        <f t="shared" si="13"/>
        <v>0</v>
      </c>
      <c r="AK5" s="96">
        <v>35.0</v>
      </c>
      <c r="AL5" s="95">
        <v>3.2</v>
      </c>
      <c r="AM5" s="95">
        <v>21.0</v>
      </c>
      <c r="AN5" s="176">
        <f t="shared" si="14"/>
        <v>67.2</v>
      </c>
      <c r="AO5" s="176">
        <f t="shared" si="15"/>
        <v>2.08</v>
      </c>
      <c r="AP5" s="176">
        <f t="shared" si="16"/>
        <v>23.52</v>
      </c>
      <c r="AQ5" s="177">
        <f t="shared" si="17"/>
        <v>188.16</v>
      </c>
      <c r="AR5" s="92">
        <v>0.0</v>
      </c>
      <c r="AS5" s="95">
        <v>22000.0</v>
      </c>
      <c r="AT5" s="177">
        <f t="shared" si="18"/>
        <v>0</v>
      </c>
      <c r="AU5" s="101">
        <v>10.0</v>
      </c>
      <c r="AV5" s="95">
        <v>7000.0</v>
      </c>
      <c r="AW5" s="177">
        <f t="shared" si="19"/>
        <v>700</v>
      </c>
      <c r="AX5" s="202">
        <f t="shared" si="20"/>
        <v>97847.12</v>
      </c>
      <c r="AY5" s="204">
        <f t="shared" si="21"/>
        <v>587.3176471</v>
      </c>
      <c r="AZ5" s="177">
        <f t="shared" si="22"/>
        <v>95467.12</v>
      </c>
      <c r="BA5" s="179"/>
    </row>
    <row r="6" ht="15.75" customHeight="1">
      <c r="A6" s="14"/>
      <c r="B6" s="33" t="s">
        <v>14</v>
      </c>
      <c r="C6" s="33" t="s">
        <v>91</v>
      </c>
      <c r="D6" s="7" t="s">
        <v>97</v>
      </c>
      <c r="E6" s="7" t="s">
        <v>478</v>
      </c>
      <c r="F6" s="7" t="s">
        <v>51</v>
      </c>
      <c r="G6" s="32" t="s">
        <v>479</v>
      </c>
      <c r="H6" s="88">
        <v>7.0</v>
      </c>
      <c r="I6" s="7"/>
      <c r="J6" s="7"/>
      <c r="K6" s="54">
        <v>20.0</v>
      </c>
      <c r="L6" s="7">
        <f>K6*12</f>
        <v>240</v>
      </c>
      <c r="M6" s="7">
        <v>1.0</v>
      </c>
      <c r="N6" s="7">
        <f t="shared" si="1"/>
        <v>1680</v>
      </c>
      <c r="O6" s="88">
        <v>8.0</v>
      </c>
      <c r="P6" s="127">
        <v>14.0</v>
      </c>
      <c r="Q6" s="88">
        <v>20.0</v>
      </c>
      <c r="R6" s="88">
        <v>550.0</v>
      </c>
      <c r="S6" s="7">
        <f t="shared" si="2"/>
        <v>88000</v>
      </c>
      <c r="T6" s="7">
        <f t="shared" si="3"/>
        <v>22.8</v>
      </c>
      <c r="U6" s="60">
        <f t="shared" si="4"/>
        <v>12540</v>
      </c>
      <c r="V6" s="125">
        <f t="shared" si="5"/>
        <v>12320</v>
      </c>
      <c r="W6" s="101">
        <v>12.5</v>
      </c>
      <c r="X6" s="88">
        <v>550.0</v>
      </c>
      <c r="Y6" s="88">
        <v>1.4</v>
      </c>
      <c r="Z6" s="13">
        <f t="shared" si="6"/>
        <v>770</v>
      </c>
      <c r="AA6" s="13">
        <f t="shared" si="7"/>
        <v>481.25</v>
      </c>
      <c r="AB6" s="7">
        <f t="shared" si="8"/>
        <v>96.25</v>
      </c>
      <c r="AC6" s="93">
        <f t="shared" si="9"/>
        <v>770</v>
      </c>
      <c r="AD6" s="97">
        <v>0.0</v>
      </c>
      <c r="AE6" s="88">
        <v>1200.0</v>
      </c>
      <c r="AF6" s="95">
        <v>0.6</v>
      </c>
      <c r="AG6" s="13">
        <f t="shared" si="10"/>
        <v>720</v>
      </c>
      <c r="AH6" s="13">
        <f t="shared" si="11"/>
        <v>1200</v>
      </c>
      <c r="AI6" s="13">
        <f t="shared" si="12"/>
        <v>0</v>
      </c>
      <c r="AJ6" s="17">
        <f t="shared" si="13"/>
        <v>0</v>
      </c>
      <c r="AK6" s="96">
        <v>35.0</v>
      </c>
      <c r="AL6" s="95">
        <v>3.2</v>
      </c>
      <c r="AM6" s="95">
        <v>21.0</v>
      </c>
      <c r="AN6" s="13">
        <f t="shared" si="14"/>
        <v>67.2</v>
      </c>
      <c r="AO6" s="13">
        <f t="shared" si="15"/>
        <v>2.08</v>
      </c>
      <c r="AP6" s="13">
        <f t="shared" si="16"/>
        <v>23.52</v>
      </c>
      <c r="AQ6" s="17">
        <f t="shared" si="17"/>
        <v>188.16</v>
      </c>
      <c r="AR6" s="92">
        <v>0.0</v>
      </c>
      <c r="AS6" s="95">
        <v>22000.0</v>
      </c>
      <c r="AT6" s="17">
        <f t="shared" si="18"/>
        <v>0</v>
      </c>
      <c r="AU6" s="101">
        <v>10.0</v>
      </c>
      <c r="AV6" s="95">
        <v>7000.0</v>
      </c>
      <c r="AW6" s="17">
        <f t="shared" si="19"/>
        <v>700</v>
      </c>
      <c r="AX6" s="96">
        <f t="shared" si="20"/>
        <v>97847.12</v>
      </c>
      <c r="AY6" s="204">
        <f t="shared" si="21"/>
        <v>832.0333333</v>
      </c>
      <c r="AZ6" s="17">
        <f t="shared" si="22"/>
        <v>96167.12</v>
      </c>
      <c r="BA6" s="172"/>
    </row>
    <row r="7" ht="15.75" customHeight="1">
      <c r="A7" s="14"/>
      <c r="B7" s="33" t="s">
        <v>14</v>
      </c>
      <c r="C7" s="33" t="s">
        <v>91</v>
      </c>
      <c r="D7" s="7" t="s">
        <v>108</v>
      </c>
      <c r="E7" s="7" t="s">
        <v>633</v>
      </c>
      <c r="F7" s="7" t="s">
        <v>51</v>
      </c>
      <c r="G7" s="32" t="s">
        <v>112</v>
      </c>
      <c r="H7" s="88">
        <v>7.0</v>
      </c>
      <c r="I7" s="7">
        <v>3300.0</v>
      </c>
      <c r="J7" s="7"/>
      <c r="L7" s="7"/>
      <c r="M7" s="7">
        <v>1.0</v>
      </c>
      <c r="N7" s="7">
        <f t="shared" si="1"/>
        <v>3300</v>
      </c>
      <c r="O7" s="88">
        <v>8.0</v>
      </c>
      <c r="P7" s="127">
        <v>14.0</v>
      </c>
      <c r="Q7" s="88">
        <v>20.0</v>
      </c>
      <c r="R7" s="88">
        <v>550.0</v>
      </c>
      <c r="S7" s="7">
        <f t="shared" si="2"/>
        <v>88000</v>
      </c>
      <c r="T7" s="7">
        <f t="shared" si="3"/>
        <v>22.8</v>
      </c>
      <c r="U7" s="60">
        <f t="shared" si="4"/>
        <v>12540</v>
      </c>
      <c r="V7" s="125">
        <f t="shared" si="5"/>
        <v>12320</v>
      </c>
      <c r="W7" s="101">
        <v>12.5</v>
      </c>
      <c r="X7" s="88">
        <v>550.0</v>
      </c>
      <c r="Y7" s="88">
        <v>1.4</v>
      </c>
      <c r="Z7" s="13">
        <f t="shared" si="6"/>
        <v>770</v>
      </c>
      <c r="AA7" s="13">
        <f t="shared" si="7"/>
        <v>481.25</v>
      </c>
      <c r="AB7" s="7">
        <f t="shared" si="8"/>
        <v>96.25</v>
      </c>
      <c r="AC7" s="93">
        <f t="shared" si="9"/>
        <v>770</v>
      </c>
      <c r="AD7" s="97">
        <v>0.0</v>
      </c>
      <c r="AE7" s="88">
        <v>1200.0</v>
      </c>
      <c r="AF7" s="95">
        <v>0.6</v>
      </c>
      <c r="AG7" s="13">
        <f t="shared" si="10"/>
        <v>720</v>
      </c>
      <c r="AH7" s="13">
        <f t="shared" si="11"/>
        <v>1200</v>
      </c>
      <c r="AI7" s="13">
        <f t="shared" si="12"/>
        <v>0</v>
      </c>
      <c r="AJ7" s="17">
        <f t="shared" si="13"/>
        <v>0</v>
      </c>
      <c r="AK7" s="96">
        <v>35.0</v>
      </c>
      <c r="AL7" s="95">
        <v>3.2</v>
      </c>
      <c r="AM7" s="95">
        <v>21.0</v>
      </c>
      <c r="AN7" s="13">
        <f t="shared" si="14"/>
        <v>67.2</v>
      </c>
      <c r="AO7" s="13">
        <f t="shared" si="15"/>
        <v>2.08</v>
      </c>
      <c r="AP7" s="13">
        <f t="shared" si="16"/>
        <v>23.52</v>
      </c>
      <c r="AQ7" s="17">
        <f t="shared" si="17"/>
        <v>188.16</v>
      </c>
      <c r="AR7" s="92">
        <v>0.0</v>
      </c>
      <c r="AS7" s="95">
        <v>22000.0</v>
      </c>
      <c r="AT7" s="17">
        <f t="shared" si="18"/>
        <v>0</v>
      </c>
      <c r="AU7" s="101">
        <v>10.0</v>
      </c>
      <c r="AV7" s="95">
        <v>7000.0</v>
      </c>
      <c r="AW7" s="17">
        <f t="shared" si="19"/>
        <v>700</v>
      </c>
      <c r="AX7" s="96">
        <f t="shared" si="20"/>
        <v>97847.12</v>
      </c>
      <c r="AY7" s="204">
        <f t="shared" si="21"/>
        <v>423.5806061</v>
      </c>
      <c r="AZ7" s="17">
        <f t="shared" si="22"/>
        <v>94547.12</v>
      </c>
      <c r="BA7" s="172"/>
    </row>
    <row r="8" ht="15.75" customHeight="1">
      <c r="A8" s="14"/>
      <c r="B8" s="33" t="s">
        <v>14</v>
      </c>
      <c r="C8" s="33" t="s">
        <v>91</v>
      </c>
      <c r="D8" s="7" t="s">
        <v>113</v>
      </c>
      <c r="E8" s="7" t="s">
        <v>633</v>
      </c>
      <c r="F8" s="7" t="s">
        <v>51</v>
      </c>
      <c r="G8" s="32" t="s">
        <v>495</v>
      </c>
      <c r="H8" s="88">
        <v>7.0</v>
      </c>
      <c r="I8" s="7">
        <v>6300.0</v>
      </c>
      <c r="J8" s="7"/>
      <c r="L8" s="7"/>
      <c r="M8" s="7">
        <v>1.0</v>
      </c>
      <c r="N8" s="7">
        <f t="shared" si="1"/>
        <v>6300</v>
      </c>
      <c r="O8" s="88">
        <v>8.0</v>
      </c>
      <c r="P8" s="127">
        <v>14.0</v>
      </c>
      <c r="Q8" s="88">
        <v>20.0</v>
      </c>
      <c r="R8" s="88">
        <v>550.0</v>
      </c>
      <c r="S8" s="7">
        <f t="shared" si="2"/>
        <v>88000</v>
      </c>
      <c r="T8" s="7">
        <f t="shared" si="3"/>
        <v>22.8</v>
      </c>
      <c r="U8" s="60">
        <f t="shared" si="4"/>
        <v>12540</v>
      </c>
      <c r="V8" s="125">
        <f t="shared" si="5"/>
        <v>12320</v>
      </c>
      <c r="W8" s="101">
        <v>12.5</v>
      </c>
      <c r="X8" s="88">
        <v>550.0</v>
      </c>
      <c r="Y8" s="88">
        <v>1.4</v>
      </c>
      <c r="Z8" s="13">
        <f t="shared" si="6"/>
        <v>770</v>
      </c>
      <c r="AA8" s="13">
        <f t="shared" si="7"/>
        <v>481.25</v>
      </c>
      <c r="AB8" s="7">
        <f t="shared" si="8"/>
        <v>96.25</v>
      </c>
      <c r="AC8" s="93">
        <f t="shared" si="9"/>
        <v>770</v>
      </c>
      <c r="AD8" s="97">
        <v>0.0</v>
      </c>
      <c r="AE8" s="88">
        <v>1200.0</v>
      </c>
      <c r="AF8" s="95">
        <v>0.6</v>
      </c>
      <c r="AG8" s="13">
        <f t="shared" si="10"/>
        <v>720</v>
      </c>
      <c r="AH8" s="13">
        <f t="shared" si="11"/>
        <v>1200</v>
      </c>
      <c r="AI8" s="13">
        <f t="shared" si="12"/>
        <v>0</v>
      </c>
      <c r="AJ8" s="17">
        <f t="shared" si="13"/>
        <v>0</v>
      </c>
      <c r="AK8" s="96">
        <v>35.0</v>
      </c>
      <c r="AL8" s="95">
        <v>3.2</v>
      </c>
      <c r="AM8" s="95">
        <v>21.0</v>
      </c>
      <c r="AN8" s="13">
        <f t="shared" si="14"/>
        <v>67.2</v>
      </c>
      <c r="AO8" s="13">
        <f t="shared" si="15"/>
        <v>2.08</v>
      </c>
      <c r="AP8" s="13">
        <f t="shared" si="16"/>
        <v>23.52</v>
      </c>
      <c r="AQ8" s="17">
        <f t="shared" si="17"/>
        <v>188.16</v>
      </c>
      <c r="AR8" s="92">
        <v>0.0</v>
      </c>
      <c r="AS8" s="95">
        <v>22000.0</v>
      </c>
      <c r="AT8" s="17">
        <f t="shared" si="18"/>
        <v>0</v>
      </c>
      <c r="AU8" s="101">
        <v>10.0</v>
      </c>
      <c r="AV8" s="95">
        <v>7000.0</v>
      </c>
      <c r="AW8" s="17">
        <f t="shared" si="19"/>
        <v>700</v>
      </c>
      <c r="AX8" s="96">
        <f t="shared" si="20"/>
        <v>97847.12</v>
      </c>
      <c r="AY8" s="204">
        <f t="shared" si="21"/>
        <v>221.8755556</v>
      </c>
      <c r="AZ8" s="17">
        <f t="shared" si="22"/>
        <v>91547.12</v>
      </c>
      <c r="BA8" s="172"/>
    </row>
    <row r="9" ht="15.75" customHeight="1">
      <c r="A9" s="14"/>
      <c r="B9" s="33" t="s">
        <v>14</v>
      </c>
      <c r="C9" s="33" t="s">
        <v>15</v>
      </c>
      <c r="D9" s="7" t="s">
        <v>124</v>
      </c>
      <c r="E9" s="7" t="s">
        <v>125</v>
      </c>
      <c r="F9" s="7" t="s">
        <v>51</v>
      </c>
      <c r="G9" s="32" t="s">
        <v>128</v>
      </c>
      <c r="H9" s="88">
        <v>7.0</v>
      </c>
      <c r="I9" s="7"/>
      <c r="J9" s="7"/>
      <c r="L9" s="7">
        <v>400.0</v>
      </c>
      <c r="M9" s="7">
        <v>1.0</v>
      </c>
      <c r="N9" s="7">
        <f t="shared" si="1"/>
        <v>2800</v>
      </c>
      <c r="O9" s="88">
        <v>8.0</v>
      </c>
      <c r="P9" s="127">
        <v>14.0</v>
      </c>
      <c r="Q9" s="88">
        <v>20.0</v>
      </c>
      <c r="R9" s="88">
        <v>550.0</v>
      </c>
      <c r="S9" s="7">
        <f t="shared" si="2"/>
        <v>88000</v>
      </c>
      <c r="T9" s="7">
        <f t="shared" si="3"/>
        <v>22.8</v>
      </c>
      <c r="U9" s="60">
        <f t="shared" si="4"/>
        <v>12540</v>
      </c>
      <c r="V9" s="125">
        <f t="shared" si="5"/>
        <v>12320</v>
      </c>
      <c r="W9" s="90">
        <v>0.0</v>
      </c>
      <c r="X9" s="88">
        <v>550.0</v>
      </c>
      <c r="Y9" s="88">
        <v>1.4</v>
      </c>
      <c r="Z9" s="13">
        <f t="shared" si="6"/>
        <v>770</v>
      </c>
      <c r="AA9" s="13">
        <f t="shared" si="7"/>
        <v>550</v>
      </c>
      <c r="AB9" s="7">
        <f t="shared" si="8"/>
        <v>0</v>
      </c>
      <c r="AC9" s="93">
        <f t="shared" si="9"/>
        <v>0</v>
      </c>
      <c r="AD9" s="96">
        <v>42.0</v>
      </c>
      <c r="AE9" s="88">
        <v>1200.0</v>
      </c>
      <c r="AF9" s="95">
        <v>0.6</v>
      </c>
      <c r="AG9" s="13">
        <f t="shared" si="10"/>
        <v>720</v>
      </c>
      <c r="AH9" s="13">
        <f t="shared" si="11"/>
        <v>696</v>
      </c>
      <c r="AI9" s="13">
        <f t="shared" si="12"/>
        <v>302.4</v>
      </c>
      <c r="AJ9" s="17">
        <f t="shared" si="13"/>
        <v>2419.2</v>
      </c>
      <c r="AK9" s="97">
        <v>0.0</v>
      </c>
      <c r="AL9" s="95">
        <v>3.2</v>
      </c>
      <c r="AM9" s="95">
        <v>21.0</v>
      </c>
      <c r="AN9" s="13">
        <f t="shared" si="14"/>
        <v>67.2</v>
      </c>
      <c r="AO9" s="13">
        <f t="shared" si="15"/>
        <v>3.2</v>
      </c>
      <c r="AP9" s="13">
        <f t="shared" si="16"/>
        <v>0</v>
      </c>
      <c r="AQ9" s="17">
        <f t="shared" si="17"/>
        <v>0</v>
      </c>
      <c r="AR9" s="92">
        <v>0.0</v>
      </c>
      <c r="AS9" s="95">
        <v>22000.0</v>
      </c>
      <c r="AT9" s="17">
        <f t="shared" si="18"/>
        <v>0</v>
      </c>
      <c r="AU9" s="101">
        <v>10.0</v>
      </c>
      <c r="AV9" s="95">
        <v>7000.0</v>
      </c>
      <c r="AW9" s="17">
        <f t="shared" si="19"/>
        <v>700</v>
      </c>
      <c r="AX9" s="96">
        <f t="shared" si="20"/>
        <v>108074.4</v>
      </c>
      <c r="AY9" s="204">
        <f t="shared" si="21"/>
        <v>551.4</v>
      </c>
      <c r="AZ9" s="17">
        <f t="shared" si="22"/>
        <v>105274.4</v>
      </c>
      <c r="BA9" s="172"/>
    </row>
    <row r="10" ht="15.75" customHeight="1">
      <c r="A10" s="14"/>
      <c r="B10" s="33" t="s">
        <v>36</v>
      </c>
      <c r="C10" s="33" t="s">
        <v>91</v>
      </c>
      <c r="D10" s="7" t="s">
        <v>46</v>
      </c>
      <c r="E10" s="7" t="s">
        <v>47</v>
      </c>
      <c r="F10" s="7" t="s">
        <v>51</v>
      </c>
      <c r="G10" s="32" t="s">
        <v>52</v>
      </c>
      <c r="H10" s="88">
        <v>7.0</v>
      </c>
      <c r="I10" s="7">
        <v>4900.0</v>
      </c>
      <c r="J10" s="7"/>
      <c r="K10" s="13">
        <v>150.0</v>
      </c>
      <c r="L10" s="7">
        <f t="shared" ref="L10:L11" si="23">K10*12</f>
        <v>1800</v>
      </c>
      <c r="M10" s="7">
        <v>1.0</v>
      </c>
      <c r="N10" s="7">
        <f t="shared" si="1"/>
        <v>17500</v>
      </c>
      <c r="O10" s="88">
        <v>8.0</v>
      </c>
      <c r="P10" s="127">
        <v>14.0</v>
      </c>
      <c r="Q10" s="88">
        <v>20.0</v>
      </c>
      <c r="R10" s="88">
        <v>550.0</v>
      </c>
      <c r="S10" s="7">
        <f t="shared" si="2"/>
        <v>88000</v>
      </c>
      <c r="T10" s="7">
        <f t="shared" si="3"/>
        <v>22.8</v>
      </c>
      <c r="U10" s="60">
        <f t="shared" si="4"/>
        <v>12540</v>
      </c>
      <c r="V10" s="125">
        <f t="shared" si="5"/>
        <v>12320</v>
      </c>
      <c r="W10" s="101">
        <v>12.5</v>
      </c>
      <c r="X10" s="88">
        <v>550.0</v>
      </c>
      <c r="Y10" s="88">
        <v>1.4</v>
      </c>
      <c r="Z10" s="13">
        <f t="shared" si="6"/>
        <v>770</v>
      </c>
      <c r="AA10" s="13">
        <f t="shared" si="7"/>
        <v>481.25</v>
      </c>
      <c r="AB10" s="7">
        <f t="shared" si="8"/>
        <v>96.25</v>
      </c>
      <c r="AC10" s="93">
        <f t="shared" si="9"/>
        <v>770</v>
      </c>
      <c r="AD10" s="96">
        <v>0.0</v>
      </c>
      <c r="AE10" s="88">
        <v>1200.0</v>
      </c>
      <c r="AF10" s="95">
        <v>0.6</v>
      </c>
      <c r="AG10" s="13">
        <f t="shared" si="10"/>
        <v>720</v>
      </c>
      <c r="AH10" s="13">
        <f t="shared" si="11"/>
        <v>1200</v>
      </c>
      <c r="AI10" s="13">
        <f t="shared" si="12"/>
        <v>0</v>
      </c>
      <c r="AJ10" s="17">
        <f t="shared" si="13"/>
        <v>0</v>
      </c>
      <c r="AK10" s="96">
        <v>35.0</v>
      </c>
      <c r="AL10" s="95">
        <v>3.2</v>
      </c>
      <c r="AM10" s="95">
        <v>21.0</v>
      </c>
      <c r="AN10" s="13">
        <f t="shared" si="14"/>
        <v>67.2</v>
      </c>
      <c r="AO10" s="13">
        <f t="shared" si="15"/>
        <v>2.08</v>
      </c>
      <c r="AP10" s="13">
        <f t="shared" si="16"/>
        <v>23.52</v>
      </c>
      <c r="AQ10" s="17">
        <f t="shared" si="17"/>
        <v>188.16</v>
      </c>
      <c r="AR10" s="92">
        <v>0.0</v>
      </c>
      <c r="AS10" s="95">
        <v>22000.0</v>
      </c>
      <c r="AT10" s="17">
        <f t="shared" si="18"/>
        <v>0</v>
      </c>
      <c r="AU10" s="101">
        <v>10.0</v>
      </c>
      <c r="AV10" s="95">
        <v>7000.0</v>
      </c>
      <c r="AW10" s="17">
        <f t="shared" si="19"/>
        <v>700</v>
      </c>
      <c r="AX10" s="96">
        <f t="shared" si="20"/>
        <v>97847.12</v>
      </c>
      <c r="AY10" s="204">
        <f t="shared" si="21"/>
        <v>79.8752</v>
      </c>
      <c r="AZ10" s="17">
        <f t="shared" si="22"/>
        <v>80347.12</v>
      </c>
      <c r="BA10" s="172"/>
    </row>
    <row r="11" ht="15.75" customHeight="1">
      <c r="A11" s="14"/>
      <c r="B11" s="33" t="s">
        <v>36</v>
      </c>
      <c r="C11" s="33" t="s">
        <v>91</v>
      </c>
      <c r="D11" s="7" t="s">
        <v>53</v>
      </c>
      <c r="E11" s="7" t="s">
        <v>54</v>
      </c>
      <c r="F11" s="7" t="s">
        <v>51</v>
      </c>
      <c r="G11" s="32" t="s">
        <v>58</v>
      </c>
      <c r="H11" s="88">
        <v>7.0</v>
      </c>
      <c r="I11" s="7"/>
      <c r="J11" s="7"/>
      <c r="K11" s="13">
        <v>30.0</v>
      </c>
      <c r="L11" s="7">
        <f t="shared" si="23"/>
        <v>360</v>
      </c>
      <c r="M11" s="7">
        <v>1.0</v>
      </c>
      <c r="N11" s="7">
        <f t="shared" si="1"/>
        <v>2520</v>
      </c>
      <c r="O11" s="88">
        <v>8.0</v>
      </c>
      <c r="P11" s="127">
        <v>14.0</v>
      </c>
      <c r="Q11" s="88">
        <v>20.0</v>
      </c>
      <c r="R11" s="88">
        <v>550.0</v>
      </c>
      <c r="S11" s="7">
        <f t="shared" si="2"/>
        <v>88000</v>
      </c>
      <c r="T11" s="7">
        <f t="shared" si="3"/>
        <v>22.8</v>
      </c>
      <c r="U11" s="60">
        <f t="shared" si="4"/>
        <v>12540</v>
      </c>
      <c r="V11" s="125">
        <f t="shared" si="5"/>
        <v>12320</v>
      </c>
      <c r="W11" s="101">
        <v>12.5</v>
      </c>
      <c r="X11" s="88">
        <v>550.0</v>
      </c>
      <c r="Y11" s="88">
        <v>1.4</v>
      </c>
      <c r="Z11" s="13">
        <f t="shared" si="6"/>
        <v>770</v>
      </c>
      <c r="AA11" s="13">
        <f t="shared" si="7"/>
        <v>481.25</v>
      </c>
      <c r="AB11" s="7">
        <f t="shared" si="8"/>
        <v>96.25</v>
      </c>
      <c r="AC11" s="93">
        <f t="shared" si="9"/>
        <v>770</v>
      </c>
      <c r="AD11" s="96">
        <v>0.0</v>
      </c>
      <c r="AE11" s="88">
        <v>1200.0</v>
      </c>
      <c r="AF11" s="95">
        <v>0.6</v>
      </c>
      <c r="AG11" s="13">
        <f t="shared" si="10"/>
        <v>720</v>
      </c>
      <c r="AH11" s="13">
        <f t="shared" si="11"/>
        <v>1200</v>
      </c>
      <c r="AI11" s="13">
        <f t="shared" si="12"/>
        <v>0</v>
      </c>
      <c r="AJ11" s="17">
        <f t="shared" si="13"/>
        <v>0</v>
      </c>
      <c r="AK11" s="96">
        <v>35.0</v>
      </c>
      <c r="AL11" s="95">
        <v>3.2</v>
      </c>
      <c r="AM11" s="95">
        <v>21.0</v>
      </c>
      <c r="AN11" s="13">
        <f t="shared" si="14"/>
        <v>67.2</v>
      </c>
      <c r="AO11" s="13">
        <f t="shared" si="15"/>
        <v>2.08</v>
      </c>
      <c r="AP11" s="13">
        <f t="shared" si="16"/>
        <v>23.52</v>
      </c>
      <c r="AQ11" s="17">
        <f t="shared" si="17"/>
        <v>188.16</v>
      </c>
      <c r="AR11" s="92">
        <v>0.0</v>
      </c>
      <c r="AS11" s="95">
        <v>22000.0</v>
      </c>
      <c r="AT11" s="17">
        <f t="shared" si="18"/>
        <v>0</v>
      </c>
      <c r="AU11" s="101">
        <v>10.0</v>
      </c>
      <c r="AV11" s="95">
        <v>7000.0</v>
      </c>
      <c r="AW11" s="17">
        <f t="shared" si="19"/>
        <v>700</v>
      </c>
      <c r="AX11" s="96">
        <f t="shared" si="20"/>
        <v>97847.12</v>
      </c>
      <c r="AY11" s="204">
        <f t="shared" si="21"/>
        <v>554.6888889</v>
      </c>
      <c r="AZ11" s="17">
        <f t="shared" si="22"/>
        <v>95327.12</v>
      </c>
      <c r="BA11" s="172"/>
    </row>
    <row r="12" ht="15.75" customHeight="1">
      <c r="A12" s="14"/>
      <c r="B12" s="33" t="s">
        <v>36</v>
      </c>
      <c r="C12" s="33" t="s">
        <v>91</v>
      </c>
      <c r="D12" s="7" t="s">
        <v>59</v>
      </c>
      <c r="E12" s="7" t="s">
        <v>60</v>
      </c>
      <c r="F12" s="7" t="s">
        <v>51</v>
      </c>
      <c r="G12" s="32" t="s">
        <v>64</v>
      </c>
      <c r="H12" s="88">
        <v>7.0</v>
      </c>
      <c r="I12" s="7"/>
      <c r="J12" s="7"/>
      <c r="L12" s="7">
        <v>250.0</v>
      </c>
      <c r="M12" s="7">
        <v>1.0</v>
      </c>
      <c r="N12" s="7">
        <f t="shared" si="1"/>
        <v>1750</v>
      </c>
      <c r="O12" s="88">
        <v>8.0</v>
      </c>
      <c r="P12" s="127">
        <v>14.0</v>
      </c>
      <c r="Q12" s="88">
        <v>20.0</v>
      </c>
      <c r="R12" s="88">
        <v>550.0</v>
      </c>
      <c r="S12" s="7">
        <f t="shared" si="2"/>
        <v>88000</v>
      </c>
      <c r="T12" s="7">
        <f t="shared" si="3"/>
        <v>22.8</v>
      </c>
      <c r="U12" s="60">
        <f t="shared" si="4"/>
        <v>12540</v>
      </c>
      <c r="V12" s="125">
        <f t="shared" si="5"/>
        <v>12320</v>
      </c>
      <c r="W12" s="101">
        <v>12.5</v>
      </c>
      <c r="X12" s="88">
        <v>550.0</v>
      </c>
      <c r="Y12" s="88">
        <v>1.4</v>
      </c>
      <c r="Z12" s="13">
        <f t="shared" si="6"/>
        <v>770</v>
      </c>
      <c r="AA12" s="13">
        <f t="shared" si="7"/>
        <v>481.25</v>
      </c>
      <c r="AB12" s="7">
        <f t="shared" si="8"/>
        <v>96.25</v>
      </c>
      <c r="AC12" s="93">
        <f t="shared" si="9"/>
        <v>770</v>
      </c>
      <c r="AD12" s="51">
        <v>0.0</v>
      </c>
      <c r="AE12" s="88">
        <v>1200.0</v>
      </c>
      <c r="AF12" s="95">
        <v>0.6</v>
      </c>
      <c r="AG12" s="13">
        <f t="shared" si="10"/>
        <v>720</v>
      </c>
      <c r="AH12" s="13">
        <f t="shared" si="11"/>
        <v>1200</v>
      </c>
      <c r="AI12" s="13">
        <f t="shared" si="12"/>
        <v>0</v>
      </c>
      <c r="AJ12" s="17">
        <f t="shared" si="13"/>
        <v>0</v>
      </c>
      <c r="AK12" s="96">
        <v>35.0</v>
      </c>
      <c r="AL12" s="95">
        <v>3.2</v>
      </c>
      <c r="AM12" s="95">
        <v>21.0</v>
      </c>
      <c r="AN12" s="13">
        <f t="shared" si="14"/>
        <v>67.2</v>
      </c>
      <c r="AO12" s="13">
        <f t="shared" si="15"/>
        <v>2.08</v>
      </c>
      <c r="AP12" s="13">
        <f t="shared" si="16"/>
        <v>23.52</v>
      </c>
      <c r="AQ12" s="17">
        <f t="shared" si="17"/>
        <v>188.16</v>
      </c>
      <c r="AR12" s="92">
        <v>0.0</v>
      </c>
      <c r="AS12" s="95">
        <v>22000.0</v>
      </c>
      <c r="AT12" s="17">
        <f t="shared" si="18"/>
        <v>0</v>
      </c>
      <c r="AU12" s="101">
        <v>10.0</v>
      </c>
      <c r="AV12" s="95">
        <v>7000.0</v>
      </c>
      <c r="AW12" s="17">
        <f t="shared" si="19"/>
        <v>700</v>
      </c>
      <c r="AX12" s="96">
        <f t="shared" si="20"/>
        <v>97847.12</v>
      </c>
      <c r="AY12" s="204">
        <f t="shared" si="21"/>
        <v>798.752</v>
      </c>
      <c r="AZ12" s="17">
        <f t="shared" si="22"/>
        <v>96097.12</v>
      </c>
      <c r="BA12" s="172"/>
    </row>
    <row r="13" ht="15.75" customHeight="1">
      <c r="A13" s="14"/>
      <c r="B13" s="33" t="s">
        <v>36</v>
      </c>
      <c r="C13" s="33" t="s">
        <v>91</v>
      </c>
      <c r="D13" s="7" t="s">
        <v>487</v>
      </c>
      <c r="E13" s="7"/>
      <c r="F13" s="7" t="s">
        <v>51</v>
      </c>
      <c r="G13" s="32" t="s">
        <v>489</v>
      </c>
      <c r="H13" s="88">
        <v>7.0</v>
      </c>
      <c r="I13" s="7"/>
      <c r="J13" s="7"/>
      <c r="L13" s="7">
        <v>950.0</v>
      </c>
      <c r="M13" s="7">
        <v>1.0</v>
      </c>
      <c r="N13" s="7">
        <f t="shared" si="1"/>
        <v>6650</v>
      </c>
      <c r="O13" s="88">
        <v>8.0</v>
      </c>
      <c r="P13" s="127">
        <v>14.0</v>
      </c>
      <c r="Q13" s="88">
        <v>20.0</v>
      </c>
      <c r="R13" s="88">
        <v>550.0</v>
      </c>
      <c r="S13" s="7">
        <f t="shared" si="2"/>
        <v>88000</v>
      </c>
      <c r="T13" s="7">
        <f t="shared" si="3"/>
        <v>22.8</v>
      </c>
      <c r="U13" s="60">
        <f t="shared" si="4"/>
        <v>12540</v>
      </c>
      <c r="V13" s="125">
        <f t="shared" si="5"/>
        <v>12320</v>
      </c>
      <c r="W13" s="101">
        <v>12.5</v>
      </c>
      <c r="X13" s="88">
        <v>550.0</v>
      </c>
      <c r="Y13" s="88">
        <v>1.4</v>
      </c>
      <c r="Z13" s="13">
        <f t="shared" si="6"/>
        <v>770</v>
      </c>
      <c r="AA13" s="13">
        <f t="shared" si="7"/>
        <v>481.25</v>
      </c>
      <c r="AB13" s="7">
        <f t="shared" si="8"/>
        <v>96.25</v>
      </c>
      <c r="AC13" s="93">
        <f t="shared" si="9"/>
        <v>770</v>
      </c>
      <c r="AD13" s="51">
        <v>0.0</v>
      </c>
      <c r="AE13" s="88">
        <v>1200.0</v>
      </c>
      <c r="AF13" s="95">
        <v>0.6</v>
      </c>
      <c r="AG13" s="13">
        <f t="shared" si="10"/>
        <v>720</v>
      </c>
      <c r="AH13" s="13">
        <f t="shared" si="11"/>
        <v>1200</v>
      </c>
      <c r="AI13" s="13">
        <f t="shared" si="12"/>
        <v>0</v>
      </c>
      <c r="AJ13" s="17">
        <f t="shared" si="13"/>
        <v>0</v>
      </c>
      <c r="AK13" s="96">
        <v>35.0</v>
      </c>
      <c r="AL13" s="95">
        <v>3.2</v>
      </c>
      <c r="AM13" s="95">
        <v>21.0</v>
      </c>
      <c r="AN13" s="13">
        <f t="shared" si="14"/>
        <v>67.2</v>
      </c>
      <c r="AO13" s="13">
        <f t="shared" si="15"/>
        <v>2.08</v>
      </c>
      <c r="AP13" s="13">
        <f t="shared" si="16"/>
        <v>23.52</v>
      </c>
      <c r="AQ13" s="17">
        <f t="shared" si="17"/>
        <v>188.16</v>
      </c>
      <c r="AR13" s="92">
        <v>0.0</v>
      </c>
      <c r="AS13" s="95">
        <v>22000.0</v>
      </c>
      <c r="AT13" s="17">
        <f t="shared" si="18"/>
        <v>0</v>
      </c>
      <c r="AU13" s="101">
        <v>10.0</v>
      </c>
      <c r="AV13" s="95">
        <v>7000.0</v>
      </c>
      <c r="AW13" s="17">
        <f t="shared" si="19"/>
        <v>700</v>
      </c>
      <c r="AX13" s="96">
        <f t="shared" si="20"/>
        <v>97847.12</v>
      </c>
      <c r="AY13" s="204">
        <f t="shared" si="21"/>
        <v>210.1978947</v>
      </c>
      <c r="AZ13" s="17">
        <f t="shared" si="22"/>
        <v>91197.12</v>
      </c>
      <c r="BA13" s="172"/>
    </row>
    <row r="14" ht="15.75" customHeight="1">
      <c r="A14" s="14"/>
      <c r="B14" s="33" t="s">
        <v>36</v>
      </c>
      <c r="C14" s="33" t="s">
        <v>91</v>
      </c>
      <c r="D14" s="7" t="s">
        <v>71</v>
      </c>
      <c r="E14" s="7" t="s">
        <v>72</v>
      </c>
      <c r="F14" s="7" t="s">
        <v>51</v>
      </c>
      <c r="G14" s="32" t="s">
        <v>491</v>
      </c>
      <c r="H14" s="88">
        <v>7.0</v>
      </c>
      <c r="I14" s="7"/>
      <c r="J14" s="7"/>
      <c r="L14" s="7">
        <v>60.0</v>
      </c>
      <c r="M14" s="7">
        <v>1.0</v>
      </c>
      <c r="N14" s="7">
        <f t="shared" si="1"/>
        <v>420</v>
      </c>
      <c r="O14" s="88">
        <v>8.0</v>
      </c>
      <c r="P14" s="127">
        <v>14.0</v>
      </c>
      <c r="Q14" s="88">
        <v>20.0</v>
      </c>
      <c r="R14" s="88">
        <v>550.0</v>
      </c>
      <c r="S14" s="7">
        <f t="shared" si="2"/>
        <v>88000</v>
      </c>
      <c r="T14" s="7">
        <f t="shared" si="3"/>
        <v>22.8</v>
      </c>
      <c r="U14" s="60">
        <f t="shared" si="4"/>
        <v>12540</v>
      </c>
      <c r="V14" s="125">
        <f t="shared" si="5"/>
        <v>12320</v>
      </c>
      <c r="W14" s="101">
        <v>0.0</v>
      </c>
      <c r="X14" s="88">
        <v>550.0</v>
      </c>
      <c r="Y14" s="88">
        <v>1.4</v>
      </c>
      <c r="Z14" s="13">
        <f t="shared" si="6"/>
        <v>770</v>
      </c>
      <c r="AA14" s="13">
        <f t="shared" si="7"/>
        <v>550</v>
      </c>
      <c r="AB14" s="7">
        <f t="shared" si="8"/>
        <v>0</v>
      </c>
      <c r="AC14" s="93">
        <f t="shared" si="9"/>
        <v>0</v>
      </c>
      <c r="AD14" s="101">
        <v>42.0</v>
      </c>
      <c r="AE14" s="88">
        <v>1200.0</v>
      </c>
      <c r="AF14" s="95">
        <v>0.6</v>
      </c>
      <c r="AG14" s="13">
        <f t="shared" si="10"/>
        <v>720</v>
      </c>
      <c r="AH14" s="13">
        <f t="shared" si="11"/>
        <v>696</v>
      </c>
      <c r="AI14" s="13">
        <f t="shared" si="12"/>
        <v>302.4</v>
      </c>
      <c r="AJ14" s="17">
        <f t="shared" si="13"/>
        <v>2419.2</v>
      </c>
      <c r="AK14" s="94">
        <v>0.0</v>
      </c>
      <c r="AL14" s="95">
        <v>3.2</v>
      </c>
      <c r="AM14" s="95">
        <v>21.0</v>
      </c>
      <c r="AN14" s="13">
        <f t="shared" si="14"/>
        <v>67.2</v>
      </c>
      <c r="AO14" s="13">
        <f t="shared" si="15"/>
        <v>3.2</v>
      </c>
      <c r="AP14" s="13">
        <f t="shared" si="16"/>
        <v>0</v>
      </c>
      <c r="AQ14" s="17">
        <f t="shared" si="17"/>
        <v>0</v>
      </c>
      <c r="AR14" s="92">
        <v>0.0</v>
      </c>
      <c r="AS14" s="95">
        <v>22000.0</v>
      </c>
      <c r="AT14" s="17">
        <f t="shared" si="18"/>
        <v>0</v>
      </c>
      <c r="AU14" s="101">
        <v>10.0</v>
      </c>
      <c r="AV14" s="95">
        <v>7000.0</v>
      </c>
      <c r="AW14" s="17">
        <f t="shared" si="19"/>
        <v>700</v>
      </c>
      <c r="AX14" s="96">
        <f t="shared" si="20"/>
        <v>108074.4</v>
      </c>
      <c r="AY14" s="204">
        <f t="shared" si="21"/>
        <v>3676</v>
      </c>
      <c r="AZ14" s="17">
        <f t="shared" si="22"/>
        <v>107654.4</v>
      </c>
      <c r="BA14" s="172"/>
    </row>
    <row r="15" ht="15.75" customHeight="1">
      <c r="A15" s="14"/>
      <c r="B15" s="33" t="s">
        <v>502</v>
      </c>
      <c r="C15" s="33" t="s">
        <v>91</v>
      </c>
      <c r="D15" s="7" t="s">
        <v>79</v>
      </c>
      <c r="E15" s="7" t="s">
        <v>80</v>
      </c>
      <c r="F15" s="7" t="s">
        <v>51</v>
      </c>
      <c r="G15" s="32" t="s">
        <v>492</v>
      </c>
      <c r="H15" s="88">
        <v>7.0</v>
      </c>
      <c r="I15" s="7"/>
      <c r="J15" s="7">
        <v>6.0</v>
      </c>
      <c r="L15" s="7"/>
      <c r="M15" s="7">
        <v>1.0</v>
      </c>
      <c r="N15" s="7">
        <f t="shared" si="1"/>
        <v>48</v>
      </c>
      <c r="O15" s="88">
        <v>8.0</v>
      </c>
      <c r="P15" s="127">
        <v>14.0</v>
      </c>
      <c r="Q15" s="88">
        <v>20.0</v>
      </c>
      <c r="R15" s="88">
        <v>550.0</v>
      </c>
      <c r="S15" s="7">
        <f t="shared" si="2"/>
        <v>88000</v>
      </c>
      <c r="T15" s="7">
        <f t="shared" si="3"/>
        <v>22.8</v>
      </c>
      <c r="U15" s="60">
        <f t="shared" si="4"/>
        <v>12540</v>
      </c>
      <c r="V15" s="125">
        <f t="shared" si="5"/>
        <v>12320</v>
      </c>
      <c r="W15" s="101">
        <v>12.5</v>
      </c>
      <c r="X15" s="88">
        <v>550.0</v>
      </c>
      <c r="Y15" s="88">
        <v>1.4</v>
      </c>
      <c r="Z15" s="13">
        <f t="shared" si="6"/>
        <v>770</v>
      </c>
      <c r="AA15" s="13">
        <f t="shared" si="7"/>
        <v>481.25</v>
      </c>
      <c r="AB15" s="7">
        <f t="shared" si="8"/>
        <v>96.25</v>
      </c>
      <c r="AC15" s="93">
        <f t="shared" si="9"/>
        <v>770</v>
      </c>
      <c r="AD15" s="51">
        <v>0.0</v>
      </c>
      <c r="AE15" s="88">
        <v>1200.0</v>
      </c>
      <c r="AF15" s="95">
        <v>0.6</v>
      </c>
      <c r="AG15" s="13">
        <f t="shared" si="10"/>
        <v>720</v>
      </c>
      <c r="AH15" s="13">
        <f t="shared" si="11"/>
        <v>1200</v>
      </c>
      <c r="AI15" s="13">
        <f t="shared" si="12"/>
        <v>0</v>
      </c>
      <c r="AJ15" s="17">
        <f t="shared" si="13"/>
        <v>0</v>
      </c>
      <c r="AK15" s="96">
        <v>35.0</v>
      </c>
      <c r="AL15" s="95">
        <v>3.2</v>
      </c>
      <c r="AM15" s="95">
        <v>21.0</v>
      </c>
      <c r="AN15" s="13">
        <f t="shared" si="14"/>
        <v>67.2</v>
      </c>
      <c r="AO15" s="13">
        <f t="shared" si="15"/>
        <v>2.08</v>
      </c>
      <c r="AP15" s="13">
        <f t="shared" si="16"/>
        <v>23.52</v>
      </c>
      <c r="AQ15" s="17">
        <f t="shared" si="17"/>
        <v>188.16</v>
      </c>
      <c r="AR15" s="92">
        <v>0.0</v>
      </c>
      <c r="AS15" s="95">
        <v>22000.0</v>
      </c>
      <c r="AT15" s="17">
        <f t="shared" si="18"/>
        <v>0</v>
      </c>
      <c r="AU15" s="101">
        <v>10.0</v>
      </c>
      <c r="AV15" s="95">
        <v>7000.0</v>
      </c>
      <c r="AW15" s="17">
        <f t="shared" si="19"/>
        <v>700</v>
      </c>
      <c r="AX15" s="96">
        <f t="shared" si="20"/>
        <v>97847.12</v>
      </c>
      <c r="AY15" s="204">
        <f t="shared" si="21"/>
        <v>29121.16667</v>
      </c>
      <c r="AZ15" s="17">
        <f t="shared" si="22"/>
        <v>97799.12</v>
      </c>
      <c r="BA15" s="172"/>
    </row>
    <row r="16" ht="15.75" customHeight="1">
      <c r="A16" s="14"/>
      <c r="B16" s="33" t="s">
        <v>14</v>
      </c>
      <c r="C16" s="33" t="s">
        <v>37</v>
      </c>
      <c r="D16" s="7" t="s">
        <v>634</v>
      </c>
      <c r="E16" s="7" t="s">
        <v>136</v>
      </c>
      <c r="F16" s="7" t="s">
        <v>51</v>
      </c>
      <c r="G16" s="32" t="s">
        <v>577</v>
      </c>
      <c r="H16" s="88">
        <v>7.0</v>
      </c>
      <c r="I16" s="7"/>
      <c r="J16" s="7"/>
      <c r="L16" s="7">
        <v>1000.0</v>
      </c>
      <c r="M16" s="7">
        <v>1.0</v>
      </c>
      <c r="N16" s="7">
        <f t="shared" si="1"/>
        <v>7000</v>
      </c>
      <c r="O16" s="88">
        <v>8.0</v>
      </c>
      <c r="P16" s="127">
        <v>14.0</v>
      </c>
      <c r="Q16" s="88">
        <v>20.0</v>
      </c>
      <c r="R16" s="88">
        <v>550.0</v>
      </c>
      <c r="S16" s="7">
        <f t="shared" si="2"/>
        <v>88000</v>
      </c>
      <c r="T16" s="7">
        <f t="shared" si="3"/>
        <v>22.8</v>
      </c>
      <c r="U16" s="60">
        <f t="shared" si="4"/>
        <v>12540</v>
      </c>
      <c r="V16" s="125">
        <f t="shared" si="5"/>
        <v>12320</v>
      </c>
      <c r="W16" s="101">
        <v>12.5</v>
      </c>
      <c r="X16" s="88">
        <v>550.0</v>
      </c>
      <c r="Y16" s="88">
        <v>1.4</v>
      </c>
      <c r="Z16" s="13">
        <f t="shared" si="6"/>
        <v>770</v>
      </c>
      <c r="AA16" s="13">
        <f t="shared" si="7"/>
        <v>481.25</v>
      </c>
      <c r="AB16" s="7">
        <f t="shared" si="8"/>
        <v>96.25</v>
      </c>
      <c r="AC16" s="93">
        <f t="shared" si="9"/>
        <v>770</v>
      </c>
      <c r="AD16" s="51">
        <v>42.0</v>
      </c>
      <c r="AE16" s="88">
        <v>1200.0</v>
      </c>
      <c r="AF16" s="95">
        <v>0.6</v>
      </c>
      <c r="AG16" s="13">
        <f t="shared" si="10"/>
        <v>720</v>
      </c>
      <c r="AH16" s="13">
        <f t="shared" si="11"/>
        <v>696</v>
      </c>
      <c r="AI16" s="13">
        <f t="shared" si="12"/>
        <v>302.4</v>
      </c>
      <c r="AJ16" s="17">
        <f t="shared" si="13"/>
        <v>2419.2</v>
      </c>
      <c r="AK16" s="96">
        <v>35.0</v>
      </c>
      <c r="AL16" s="95">
        <v>3.2</v>
      </c>
      <c r="AM16" s="95">
        <v>21.0</v>
      </c>
      <c r="AN16" s="13">
        <f t="shared" si="14"/>
        <v>67.2</v>
      </c>
      <c r="AO16" s="13">
        <f t="shared" si="15"/>
        <v>2.08</v>
      </c>
      <c r="AP16" s="13">
        <f t="shared" si="16"/>
        <v>23.52</v>
      </c>
      <c r="AQ16" s="17">
        <f t="shared" si="17"/>
        <v>188.16</v>
      </c>
      <c r="AR16" s="92">
        <v>0.0</v>
      </c>
      <c r="AS16" s="95">
        <v>22000.0</v>
      </c>
      <c r="AT16" s="17">
        <f t="shared" si="18"/>
        <v>0</v>
      </c>
      <c r="AU16" s="101">
        <v>10.0</v>
      </c>
      <c r="AV16" s="95">
        <v>7000.0</v>
      </c>
      <c r="AW16" s="17">
        <f t="shared" si="19"/>
        <v>700</v>
      </c>
      <c r="AX16" s="96">
        <f t="shared" si="20"/>
        <v>114781.52</v>
      </c>
      <c r="AY16" s="204">
        <f t="shared" si="21"/>
        <v>234.248</v>
      </c>
      <c r="AZ16" s="17">
        <f t="shared" si="22"/>
        <v>107781.52</v>
      </c>
      <c r="BA16" s="172"/>
    </row>
    <row r="17" ht="15.75" customHeight="1">
      <c r="A17" s="21"/>
      <c r="B17" s="104" t="s">
        <v>14</v>
      </c>
      <c r="C17" s="104" t="s">
        <v>37</v>
      </c>
      <c r="D17" s="106" t="s">
        <v>130</v>
      </c>
      <c r="E17" s="106" t="s">
        <v>130</v>
      </c>
      <c r="F17" s="106" t="s">
        <v>51</v>
      </c>
      <c r="G17" s="181" t="s">
        <v>493</v>
      </c>
      <c r="H17" s="108">
        <v>7.0</v>
      </c>
      <c r="I17" s="106"/>
      <c r="J17" s="106"/>
      <c r="K17" s="109"/>
      <c r="L17" s="106">
        <v>500.0</v>
      </c>
      <c r="M17" s="106">
        <v>1.0</v>
      </c>
      <c r="N17" s="106">
        <f t="shared" si="1"/>
        <v>3500</v>
      </c>
      <c r="O17" s="108">
        <v>8.0</v>
      </c>
      <c r="P17" s="149">
        <v>14.0</v>
      </c>
      <c r="Q17" s="108">
        <v>20.0</v>
      </c>
      <c r="R17" s="108">
        <v>550.0</v>
      </c>
      <c r="S17" s="106">
        <f t="shared" si="2"/>
        <v>88000</v>
      </c>
      <c r="T17" s="106">
        <f t="shared" si="3"/>
        <v>22.8</v>
      </c>
      <c r="U17" s="110">
        <f t="shared" si="4"/>
        <v>12540</v>
      </c>
      <c r="V17" s="113">
        <f t="shared" si="5"/>
        <v>12320</v>
      </c>
      <c r="W17" s="128">
        <v>12.5</v>
      </c>
      <c r="X17" s="108">
        <v>550.0</v>
      </c>
      <c r="Y17" s="108">
        <v>1.4</v>
      </c>
      <c r="Z17" s="22">
        <f t="shared" si="6"/>
        <v>770</v>
      </c>
      <c r="AA17" s="22">
        <f t="shared" si="7"/>
        <v>481.25</v>
      </c>
      <c r="AB17" s="106">
        <f t="shared" si="8"/>
        <v>96.25</v>
      </c>
      <c r="AC17" s="115">
        <f t="shared" si="9"/>
        <v>770</v>
      </c>
      <c r="AD17" s="112">
        <v>42.0</v>
      </c>
      <c r="AE17" s="108">
        <v>1200.0</v>
      </c>
      <c r="AF17" s="117">
        <v>0.6</v>
      </c>
      <c r="AG17" s="22">
        <f t="shared" si="10"/>
        <v>720</v>
      </c>
      <c r="AH17" s="22">
        <f t="shared" si="11"/>
        <v>696</v>
      </c>
      <c r="AI17" s="22">
        <f t="shared" si="12"/>
        <v>302.4</v>
      </c>
      <c r="AJ17" s="25">
        <f t="shared" si="13"/>
        <v>2419.2</v>
      </c>
      <c r="AK17" s="118">
        <v>35.0</v>
      </c>
      <c r="AL17" s="117">
        <v>3.2</v>
      </c>
      <c r="AM17" s="117">
        <v>21.0</v>
      </c>
      <c r="AN17" s="22">
        <f t="shared" si="14"/>
        <v>67.2</v>
      </c>
      <c r="AO17" s="22">
        <f t="shared" si="15"/>
        <v>2.08</v>
      </c>
      <c r="AP17" s="22">
        <f t="shared" si="16"/>
        <v>23.52</v>
      </c>
      <c r="AQ17" s="25">
        <f t="shared" si="17"/>
        <v>188.16</v>
      </c>
      <c r="AR17" s="150">
        <v>0.0</v>
      </c>
      <c r="AS17" s="117">
        <v>22000.0</v>
      </c>
      <c r="AT17" s="25">
        <f t="shared" si="18"/>
        <v>0</v>
      </c>
      <c r="AU17" s="128">
        <v>10.0</v>
      </c>
      <c r="AV17" s="117">
        <v>7000.0</v>
      </c>
      <c r="AW17" s="25">
        <f t="shared" si="19"/>
        <v>700</v>
      </c>
      <c r="AX17" s="118">
        <f t="shared" si="20"/>
        <v>114781.52</v>
      </c>
      <c r="AY17" s="210">
        <f t="shared" si="21"/>
        <v>468.496</v>
      </c>
      <c r="AZ17" s="25">
        <f t="shared" si="22"/>
        <v>111281.52</v>
      </c>
      <c r="BA17" s="182"/>
    </row>
    <row r="18" ht="15.75" customHeight="1">
      <c r="A18" s="71" t="s">
        <v>140</v>
      </c>
      <c r="B18" s="72" t="s">
        <v>14</v>
      </c>
      <c r="C18" s="72" t="s">
        <v>141</v>
      </c>
      <c r="D18" s="74" t="s">
        <v>142</v>
      </c>
      <c r="E18" s="74" t="s">
        <v>143</v>
      </c>
      <c r="F18" s="74" t="s">
        <v>51</v>
      </c>
      <c r="G18" s="169" t="s">
        <v>146</v>
      </c>
      <c r="H18" s="76">
        <v>7.0</v>
      </c>
      <c r="I18" s="74">
        <v>6290.0</v>
      </c>
      <c r="J18" s="74"/>
      <c r="K18" s="77"/>
      <c r="L18" s="74"/>
      <c r="M18" s="74">
        <v>1.0</v>
      </c>
      <c r="N18" s="74">
        <f t="shared" si="1"/>
        <v>6290</v>
      </c>
      <c r="O18" s="76">
        <v>8.0</v>
      </c>
      <c r="P18" s="74">
        <v>16.0</v>
      </c>
      <c r="Q18" s="76">
        <v>20.0</v>
      </c>
      <c r="R18" s="76">
        <v>550.0</v>
      </c>
      <c r="S18" s="74">
        <f t="shared" si="2"/>
        <v>88000</v>
      </c>
      <c r="T18" s="74">
        <f t="shared" si="3"/>
        <v>23.2</v>
      </c>
      <c r="U18" s="78">
        <f t="shared" si="4"/>
        <v>12760</v>
      </c>
      <c r="V18" s="80">
        <f t="shared" si="5"/>
        <v>14080</v>
      </c>
      <c r="W18" s="151">
        <v>13.0</v>
      </c>
      <c r="X18" s="76">
        <v>550.0</v>
      </c>
      <c r="Y18" s="76">
        <v>1.4</v>
      </c>
      <c r="Z18" s="9">
        <f t="shared" si="6"/>
        <v>770</v>
      </c>
      <c r="AA18" s="9">
        <f t="shared" si="7"/>
        <v>478.5</v>
      </c>
      <c r="AB18" s="74">
        <f t="shared" si="8"/>
        <v>100.1</v>
      </c>
      <c r="AC18" s="81">
        <f t="shared" si="9"/>
        <v>800.8</v>
      </c>
      <c r="AD18" s="123">
        <v>34.5</v>
      </c>
      <c r="AE18" s="76">
        <v>1200.0</v>
      </c>
      <c r="AF18" s="83">
        <v>0.6</v>
      </c>
      <c r="AG18" s="9">
        <f t="shared" si="10"/>
        <v>720</v>
      </c>
      <c r="AH18" s="9">
        <f t="shared" si="11"/>
        <v>786</v>
      </c>
      <c r="AI18" s="9">
        <f t="shared" si="12"/>
        <v>248.4</v>
      </c>
      <c r="AJ18" s="12">
        <f t="shared" si="13"/>
        <v>1987.2</v>
      </c>
      <c r="AK18" s="151">
        <v>4.0</v>
      </c>
      <c r="AL18" s="83">
        <v>3.2</v>
      </c>
      <c r="AM18" s="83">
        <v>21.0</v>
      </c>
      <c r="AN18" s="9">
        <f t="shared" si="14"/>
        <v>67.2</v>
      </c>
      <c r="AO18" s="9">
        <f t="shared" si="15"/>
        <v>3.072</v>
      </c>
      <c r="AP18" s="9">
        <f t="shared" si="16"/>
        <v>2.688</v>
      </c>
      <c r="AQ18" s="12">
        <f t="shared" si="17"/>
        <v>21.504</v>
      </c>
      <c r="AR18" s="123">
        <v>6.5</v>
      </c>
      <c r="AS18" s="76">
        <v>22000.0</v>
      </c>
      <c r="AT18" s="12">
        <f t="shared" si="18"/>
        <v>1430</v>
      </c>
      <c r="AU18" s="151">
        <v>26.0</v>
      </c>
      <c r="AV18" s="76">
        <v>7000.0</v>
      </c>
      <c r="AW18" s="12">
        <f t="shared" si="19"/>
        <v>1820</v>
      </c>
      <c r="AX18" s="84">
        <f t="shared" si="20"/>
        <v>140976.528</v>
      </c>
      <c r="AY18" s="199">
        <f t="shared" si="21"/>
        <v>320.1828935</v>
      </c>
      <c r="AZ18" s="12">
        <f t="shared" si="22"/>
        <v>134686.528</v>
      </c>
      <c r="BA18" s="171"/>
    </row>
    <row r="19" ht="15.75" customHeight="1">
      <c r="A19" s="14"/>
      <c r="B19" s="33" t="s">
        <v>14</v>
      </c>
      <c r="C19" s="33" t="s">
        <v>141</v>
      </c>
      <c r="D19" s="7" t="s">
        <v>147</v>
      </c>
      <c r="E19" s="7" t="s">
        <v>148</v>
      </c>
      <c r="F19" s="7" t="s">
        <v>51</v>
      </c>
      <c r="G19" s="32" t="s">
        <v>151</v>
      </c>
      <c r="H19" s="88">
        <v>7.0</v>
      </c>
      <c r="I19" s="7">
        <v>5100.0</v>
      </c>
      <c r="J19" s="7"/>
      <c r="L19" s="7"/>
      <c r="M19" s="7">
        <v>1.0</v>
      </c>
      <c r="N19" s="7">
        <f t="shared" si="1"/>
        <v>5100</v>
      </c>
      <c r="O19" s="88">
        <v>8.0</v>
      </c>
      <c r="P19" s="7">
        <v>16.0</v>
      </c>
      <c r="Q19" s="88">
        <v>20.0</v>
      </c>
      <c r="R19" s="88">
        <v>550.0</v>
      </c>
      <c r="S19" s="7">
        <f t="shared" si="2"/>
        <v>88000</v>
      </c>
      <c r="T19" s="7">
        <f t="shared" si="3"/>
        <v>23.2</v>
      </c>
      <c r="U19" s="60">
        <f t="shared" si="4"/>
        <v>12760</v>
      </c>
      <c r="V19" s="125">
        <f t="shared" si="5"/>
        <v>14080</v>
      </c>
      <c r="W19" s="51">
        <v>13.0</v>
      </c>
      <c r="X19" s="88">
        <v>550.0</v>
      </c>
      <c r="Y19" s="88">
        <v>1.4</v>
      </c>
      <c r="Z19" s="13">
        <f t="shared" si="6"/>
        <v>770</v>
      </c>
      <c r="AA19" s="13">
        <f t="shared" si="7"/>
        <v>478.5</v>
      </c>
      <c r="AB19" s="7">
        <f t="shared" si="8"/>
        <v>100.1</v>
      </c>
      <c r="AC19" s="93">
        <f t="shared" si="9"/>
        <v>800.8</v>
      </c>
      <c r="AD19" s="94">
        <v>34.5</v>
      </c>
      <c r="AE19" s="88">
        <v>1200.0</v>
      </c>
      <c r="AF19" s="95">
        <v>0.6</v>
      </c>
      <c r="AG19" s="13">
        <f t="shared" si="10"/>
        <v>720</v>
      </c>
      <c r="AH19" s="13">
        <f t="shared" si="11"/>
        <v>786</v>
      </c>
      <c r="AI19" s="13">
        <f t="shared" si="12"/>
        <v>248.4</v>
      </c>
      <c r="AJ19" s="17">
        <f t="shared" si="13"/>
        <v>1987.2</v>
      </c>
      <c r="AK19" s="51">
        <v>4.0</v>
      </c>
      <c r="AL19" s="95">
        <v>3.2</v>
      </c>
      <c r="AM19" s="95">
        <v>21.0</v>
      </c>
      <c r="AN19" s="13">
        <f t="shared" si="14"/>
        <v>67.2</v>
      </c>
      <c r="AO19" s="13">
        <f t="shared" si="15"/>
        <v>3.072</v>
      </c>
      <c r="AP19" s="13">
        <f t="shared" si="16"/>
        <v>2.688</v>
      </c>
      <c r="AQ19" s="17">
        <f t="shared" si="17"/>
        <v>21.504</v>
      </c>
      <c r="AR19" s="94">
        <v>6.5</v>
      </c>
      <c r="AS19" s="88">
        <v>22000.0</v>
      </c>
      <c r="AT19" s="17">
        <f t="shared" si="18"/>
        <v>1430</v>
      </c>
      <c r="AU19" s="51">
        <v>26.0</v>
      </c>
      <c r="AV19" s="88">
        <v>7000.0</v>
      </c>
      <c r="AW19" s="17">
        <f t="shared" si="19"/>
        <v>1820</v>
      </c>
      <c r="AX19" s="96">
        <f t="shared" si="20"/>
        <v>140976.528</v>
      </c>
      <c r="AY19" s="204">
        <f t="shared" si="21"/>
        <v>394.8922353</v>
      </c>
      <c r="AZ19" s="17">
        <f t="shared" si="22"/>
        <v>135876.528</v>
      </c>
      <c r="BA19" s="172"/>
    </row>
    <row r="20" ht="15.75" customHeight="1">
      <c r="A20" s="14"/>
      <c r="B20" s="33" t="s">
        <v>14</v>
      </c>
      <c r="C20" s="33" t="s">
        <v>601</v>
      </c>
      <c r="D20" s="7" t="s">
        <v>160</v>
      </c>
      <c r="E20" s="7" t="s">
        <v>161</v>
      </c>
      <c r="F20" s="7" t="s">
        <v>51</v>
      </c>
      <c r="G20" s="32" t="s">
        <v>164</v>
      </c>
      <c r="H20" s="88">
        <v>7.0</v>
      </c>
      <c r="I20" s="7">
        <v>1500.0</v>
      </c>
      <c r="J20" s="7"/>
      <c r="L20" s="7"/>
      <c r="M20" s="7">
        <v>1.0</v>
      </c>
      <c r="N20" s="7">
        <f t="shared" si="1"/>
        <v>1500</v>
      </c>
      <c r="O20" s="88">
        <v>8.0</v>
      </c>
      <c r="P20" s="7">
        <v>16.0</v>
      </c>
      <c r="Q20" s="88">
        <v>20.0</v>
      </c>
      <c r="R20" s="88">
        <v>550.0</v>
      </c>
      <c r="S20" s="7">
        <f t="shared" si="2"/>
        <v>88000</v>
      </c>
      <c r="T20" s="7">
        <f t="shared" si="3"/>
        <v>23.2</v>
      </c>
      <c r="U20" s="60">
        <f t="shared" si="4"/>
        <v>12760</v>
      </c>
      <c r="V20" s="125">
        <f t="shared" si="5"/>
        <v>14080</v>
      </c>
      <c r="W20" s="51">
        <v>13.0</v>
      </c>
      <c r="X20" s="88">
        <v>550.0</v>
      </c>
      <c r="Y20" s="88">
        <v>1.4</v>
      </c>
      <c r="Z20" s="13">
        <f t="shared" si="6"/>
        <v>770</v>
      </c>
      <c r="AA20" s="13">
        <f t="shared" si="7"/>
        <v>478.5</v>
      </c>
      <c r="AB20" s="7">
        <f t="shared" si="8"/>
        <v>100.1</v>
      </c>
      <c r="AC20" s="93">
        <f t="shared" si="9"/>
        <v>800.8</v>
      </c>
      <c r="AD20" s="94">
        <v>34.5</v>
      </c>
      <c r="AE20" s="88">
        <v>1200.0</v>
      </c>
      <c r="AF20" s="95">
        <v>0.6</v>
      </c>
      <c r="AG20" s="13">
        <f t="shared" si="10"/>
        <v>720</v>
      </c>
      <c r="AH20" s="13">
        <f t="shared" si="11"/>
        <v>786</v>
      </c>
      <c r="AI20" s="13">
        <f t="shared" si="12"/>
        <v>248.4</v>
      </c>
      <c r="AJ20" s="17">
        <f t="shared" si="13"/>
        <v>1987.2</v>
      </c>
      <c r="AK20" s="51">
        <v>4.0</v>
      </c>
      <c r="AL20" s="95">
        <v>3.2</v>
      </c>
      <c r="AM20" s="95">
        <v>21.0</v>
      </c>
      <c r="AN20" s="13">
        <f t="shared" si="14"/>
        <v>67.2</v>
      </c>
      <c r="AO20" s="13">
        <f t="shared" si="15"/>
        <v>3.072</v>
      </c>
      <c r="AP20" s="13">
        <f t="shared" si="16"/>
        <v>2.688</v>
      </c>
      <c r="AQ20" s="17">
        <f t="shared" si="17"/>
        <v>21.504</v>
      </c>
      <c r="AR20" s="94">
        <v>6.5</v>
      </c>
      <c r="AS20" s="88">
        <v>22000.0</v>
      </c>
      <c r="AT20" s="17">
        <f t="shared" si="18"/>
        <v>1430</v>
      </c>
      <c r="AU20" s="51">
        <v>26.0</v>
      </c>
      <c r="AV20" s="88">
        <v>7000.0</v>
      </c>
      <c r="AW20" s="17">
        <f t="shared" si="19"/>
        <v>1820</v>
      </c>
      <c r="AX20" s="96">
        <f t="shared" si="20"/>
        <v>140976.528</v>
      </c>
      <c r="AY20" s="204">
        <f t="shared" si="21"/>
        <v>1342.6336</v>
      </c>
      <c r="AZ20" s="17">
        <f t="shared" si="22"/>
        <v>139476.528</v>
      </c>
      <c r="BA20" s="172"/>
    </row>
    <row r="21" ht="15.75" customHeight="1">
      <c r="A21" s="14"/>
      <c r="B21" s="33" t="s">
        <v>502</v>
      </c>
      <c r="C21" s="33" t="s">
        <v>141</v>
      </c>
      <c r="D21" s="7" t="s">
        <v>635</v>
      </c>
      <c r="E21" s="7" t="s">
        <v>172</v>
      </c>
      <c r="F21" s="7" t="s">
        <v>51</v>
      </c>
      <c r="G21" s="32" t="s">
        <v>176</v>
      </c>
      <c r="H21" s="88">
        <v>7.0</v>
      </c>
      <c r="I21" s="7">
        <v>12500.0</v>
      </c>
      <c r="J21" s="7"/>
      <c r="L21" s="7"/>
      <c r="M21" s="7">
        <v>1.0</v>
      </c>
      <c r="N21" s="7">
        <f t="shared" si="1"/>
        <v>12500</v>
      </c>
      <c r="O21" s="88">
        <v>8.0</v>
      </c>
      <c r="P21" s="7">
        <v>16.0</v>
      </c>
      <c r="Q21" s="88">
        <v>20.0</v>
      </c>
      <c r="R21" s="88">
        <v>550.0</v>
      </c>
      <c r="S21" s="7">
        <f t="shared" si="2"/>
        <v>88000</v>
      </c>
      <c r="T21" s="7">
        <f t="shared" si="3"/>
        <v>23.2</v>
      </c>
      <c r="U21" s="60">
        <f t="shared" si="4"/>
        <v>12760</v>
      </c>
      <c r="V21" s="125">
        <f t="shared" si="5"/>
        <v>14080</v>
      </c>
      <c r="W21" s="51">
        <v>13.0</v>
      </c>
      <c r="X21" s="88">
        <v>550.0</v>
      </c>
      <c r="Y21" s="88">
        <v>1.4</v>
      </c>
      <c r="Z21" s="13">
        <f t="shared" si="6"/>
        <v>770</v>
      </c>
      <c r="AA21" s="13">
        <f t="shared" si="7"/>
        <v>478.5</v>
      </c>
      <c r="AB21" s="7">
        <f t="shared" si="8"/>
        <v>100.1</v>
      </c>
      <c r="AC21" s="93">
        <f t="shared" si="9"/>
        <v>800.8</v>
      </c>
      <c r="AD21" s="94">
        <v>34.5</v>
      </c>
      <c r="AE21" s="88">
        <v>1200.0</v>
      </c>
      <c r="AF21" s="95">
        <v>0.6</v>
      </c>
      <c r="AG21" s="13">
        <f t="shared" si="10"/>
        <v>720</v>
      </c>
      <c r="AH21" s="13">
        <f t="shared" si="11"/>
        <v>786</v>
      </c>
      <c r="AI21" s="13">
        <f t="shared" si="12"/>
        <v>248.4</v>
      </c>
      <c r="AJ21" s="17">
        <f t="shared" si="13"/>
        <v>1987.2</v>
      </c>
      <c r="AK21" s="51">
        <v>4.0</v>
      </c>
      <c r="AL21" s="95">
        <v>3.2</v>
      </c>
      <c r="AM21" s="95">
        <v>21.0</v>
      </c>
      <c r="AN21" s="13">
        <f t="shared" si="14"/>
        <v>67.2</v>
      </c>
      <c r="AO21" s="13">
        <f t="shared" si="15"/>
        <v>3.072</v>
      </c>
      <c r="AP21" s="13">
        <f t="shared" si="16"/>
        <v>2.688</v>
      </c>
      <c r="AQ21" s="17">
        <f t="shared" si="17"/>
        <v>21.504</v>
      </c>
      <c r="AR21" s="94">
        <v>6.5</v>
      </c>
      <c r="AS21" s="88">
        <v>22000.0</v>
      </c>
      <c r="AT21" s="17">
        <f t="shared" si="18"/>
        <v>1430</v>
      </c>
      <c r="AU21" s="51">
        <v>26.0</v>
      </c>
      <c r="AV21" s="88">
        <v>7000.0</v>
      </c>
      <c r="AW21" s="17">
        <f t="shared" si="19"/>
        <v>1820</v>
      </c>
      <c r="AX21" s="96">
        <f t="shared" si="20"/>
        <v>140976.528</v>
      </c>
      <c r="AY21" s="204">
        <f t="shared" si="21"/>
        <v>161.116032</v>
      </c>
      <c r="AZ21" s="17">
        <f t="shared" si="22"/>
        <v>128476.528</v>
      </c>
      <c r="BA21" s="172"/>
    </row>
    <row r="22" ht="15.75" customHeight="1">
      <c r="A22" s="14"/>
      <c r="B22" s="33" t="s">
        <v>502</v>
      </c>
      <c r="C22" s="33" t="s">
        <v>636</v>
      </c>
      <c r="D22" s="7" t="s">
        <v>504</v>
      </c>
      <c r="E22" s="7" t="s">
        <v>172</v>
      </c>
      <c r="F22" s="7" t="s">
        <v>51</v>
      </c>
      <c r="G22" s="32"/>
      <c r="H22" s="88">
        <v>7.0</v>
      </c>
      <c r="I22" s="88">
        <v>17500.0</v>
      </c>
      <c r="J22" s="7"/>
      <c r="L22" s="7"/>
      <c r="M22" s="7">
        <v>1.0</v>
      </c>
      <c r="N22" s="7">
        <f t="shared" si="1"/>
        <v>17500</v>
      </c>
      <c r="O22" s="88">
        <v>8.0</v>
      </c>
      <c r="P22" s="7">
        <v>16.0</v>
      </c>
      <c r="Q22" s="88">
        <v>20.0</v>
      </c>
      <c r="R22" s="88">
        <v>550.0</v>
      </c>
      <c r="S22" s="7">
        <f t="shared" si="2"/>
        <v>88000</v>
      </c>
      <c r="T22" s="7">
        <f t="shared" si="3"/>
        <v>23.2</v>
      </c>
      <c r="U22" s="60">
        <f t="shared" si="4"/>
        <v>12760</v>
      </c>
      <c r="V22" s="125">
        <f t="shared" si="5"/>
        <v>14080</v>
      </c>
      <c r="W22" s="51">
        <v>13.0</v>
      </c>
      <c r="X22" s="88">
        <v>550.0</v>
      </c>
      <c r="Y22" s="88">
        <v>1.4</v>
      </c>
      <c r="Z22" s="13">
        <f t="shared" si="6"/>
        <v>770</v>
      </c>
      <c r="AA22" s="13">
        <f t="shared" si="7"/>
        <v>478.5</v>
      </c>
      <c r="AB22" s="7">
        <f t="shared" si="8"/>
        <v>100.1</v>
      </c>
      <c r="AC22" s="93">
        <f t="shared" si="9"/>
        <v>800.8</v>
      </c>
      <c r="AD22" s="94">
        <v>34.5</v>
      </c>
      <c r="AE22" s="88">
        <v>850.0</v>
      </c>
      <c r="AF22" s="95">
        <v>0.7</v>
      </c>
      <c r="AG22" s="13">
        <f t="shared" si="10"/>
        <v>595</v>
      </c>
      <c r="AH22" s="13">
        <f t="shared" si="11"/>
        <v>556.75</v>
      </c>
      <c r="AI22" s="13">
        <f t="shared" si="12"/>
        <v>205.275</v>
      </c>
      <c r="AJ22" s="17">
        <f t="shared" si="13"/>
        <v>1642.2</v>
      </c>
      <c r="AK22" s="51">
        <v>4.0</v>
      </c>
      <c r="AL22" s="95">
        <v>3.2</v>
      </c>
      <c r="AM22" s="95">
        <v>21.0</v>
      </c>
      <c r="AN22" s="13">
        <f t="shared" si="14"/>
        <v>67.2</v>
      </c>
      <c r="AO22" s="13">
        <f t="shared" si="15"/>
        <v>3.072</v>
      </c>
      <c r="AP22" s="13">
        <f t="shared" si="16"/>
        <v>2.688</v>
      </c>
      <c r="AQ22" s="17">
        <f t="shared" si="17"/>
        <v>21.504</v>
      </c>
      <c r="AR22" s="94">
        <v>6.5</v>
      </c>
      <c r="AS22" s="88">
        <v>22000.0</v>
      </c>
      <c r="AT22" s="17">
        <f t="shared" si="18"/>
        <v>1430</v>
      </c>
      <c r="AU22" s="51">
        <v>26.0</v>
      </c>
      <c r="AV22" s="88">
        <v>7000.0</v>
      </c>
      <c r="AW22" s="17">
        <f t="shared" si="19"/>
        <v>1820</v>
      </c>
      <c r="AX22" s="96">
        <f t="shared" si="20"/>
        <v>138561.528</v>
      </c>
      <c r="AY22" s="204">
        <f t="shared" si="21"/>
        <v>113.1114514</v>
      </c>
      <c r="AZ22" s="17">
        <f t="shared" si="22"/>
        <v>121061.528</v>
      </c>
      <c r="BA22" s="172"/>
    </row>
    <row r="23" ht="15.75" customHeight="1">
      <c r="A23" s="14"/>
      <c r="B23" s="33" t="s">
        <v>14</v>
      </c>
      <c r="C23" s="33" t="s">
        <v>505</v>
      </c>
      <c r="D23" s="219" t="s">
        <v>166</v>
      </c>
      <c r="E23" s="7" t="s">
        <v>167</v>
      </c>
      <c r="F23" s="7" t="s">
        <v>51</v>
      </c>
      <c r="G23" s="32" t="s">
        <v>170</v>
      </c>
      <c r="H23" s="88">
        <v>7.0</v>
      </c>
      <c r="I23" s="7">
        <v>1100.0</v>
      </c>
      <c r="J23" s="7"/>
      <c r="L23" s="7"/>
      <c r="M23" s="7">
        <v>1.0</v>
      </c>
      <c r="N23" s="7">
        <f t="shared" si="1"/>
        <v>1100</v>
      </c>
      <c r="O23" s="88">
        <v>8.0</v>
      </c>
      <c r="P23" s="7">
        <v>16.0</v>
      </c>
      <c r="Q23" s="88">
        <v>20.0</v>
      </c>
      <c r="R23" s="88">
        <v>550.0</v>
      </c>
      <c r="S23" s="7">
        <f t="shared" si="2"/>
        <v>88000</v>
      </c>
      <c r="T23" s="7">
        <f t="shared" si="3"/>
        <v>23.2</v>
      </c>
      <c r="U23" s="60">
        <f t="shared" si="4"/>
        <v>12760</v>
      </c>
      <c r="V23" s="125">
        <f t="shared" si="5"/>
        <v>14080</v>
      </c>
      <c r="W23" s="51">
        <v>13.0</v>
      </c>
      <c r="X23" s="88">
        <v>550.0</v>
      </c>
      <c r="Y23" s="88">
        <v>1.4</v>
      </c>
      <c r="Z23" s="13">
        <f t="shared" si="6"/>
        <v>770</v>
      </c>
      <c r="AA23" s="13">
        <f t="shared" si="7"/>
        <v>478.5</v>
      </c>
      <c r="AB23" s="7">
        <f t="shared" si="8"/>
        <v>100.1</v>
      </c>
      <c r="AC23" s="93">
        <f t="shared" si="9"/>
        <v>800.8</v>
      </c>
      <c r="AD23" s="94">
        <v>34.5</v>
      </c>
      <c r="AE23" s="88">
        <v>850.0</v>
      </c>
      <c r="AF23" s="95">
        <v>0.7</v>
      </c>
      <c r="AG23" s="13">
        <f t="shared" si="10"/>
        <v>595</v>
      </c>
      <c r="AH23" s="13">
        <f t="shared" si="11"/>
        <v>556.75</v>
      </c>
      <c r="AI23" s="13">
        <f t="shared" si="12"/>
        <v>205.275</v>
      </c>
      <c r="AJ23" s="17">
        <f t="shared" si="13"/>
        <v>1642.2</v>
      </c>
      <c r="AK23" s="51">
        <v>4.0</v>
      </c>
      <c r="AL23" s="95">
        <v>3.2</v>
      </c>
      <c r="AM23" s="95">
        <v>21.0</v>
      </c>
      <c r="AN23" s="13">
        <f t="shared" si="14"/>
        <v>67.2</v>
      </c>
      <c r="AO23" s="13">
        <f t="shared" si="15"/>
        <v>3.072</v>
      </c>
      <c r="AP23" s="13">
        <f t="shared" si="16"/>
        <v>2.688</v>
      </c>
      <c r="AQ23" s="17">
        <f t="shared" si="17"/>
        <v>21.504</v>
      </c>
      <c r="AR23" s="94">
        <v>6.5</v>
      </c>
      <c r="AS23" s="88">
        <v>22000.0</v>
      </c>
      <c r="AT23" s="17">
        <f t="shared" si="18"/>
        <v>1430</v>
      </c>
      <c r="AU23" s="51">
        <v>26.0</v>
      </c>
      <c r="AV23" s="88">
        <v>7000.0</v>
      </c>
      <c r="AW23" s="17">
        <f t="shared" si="19"/>
        <v>1820</v>
      </c>
      <c r="AX23" s="96">
        <f t="shared" si="20"/>
        <v>138561.528</v>
      </c>
      <c r="AY23" s="204">
        <f t="shared" si="21"/>
        <v>1799.500364</v>
      </c>
      <c r="AZ23" s="17">
        <f t="shared" si="22"/>
        <v>137461.528</v>
      </c>
      <c r="BA23" s="172"/>
    </row>
    <row r="24" ht="15.75" customHeight="1">
      <c r="A24" s="14"/>
      <c r="B24" s="33" t="s">
        <v>14</v>
      </c>
      <c r="C24" s="33" t="s">
        <v>508</v>
      </c>
      <c r="D24" s="7" t="s">
        <v>182</v>
      </c>
      <c r="E24" s="7" t="s">
        <v>167</v>
      </c>
      <c r="F24" s="7" t="s">
        <v>51</v>
      </c>
      <c r="G24" s="32" t="s">
        <v>185</v>
      </c>
      <c r="H24" s="88">
        <v>7.0</v>
      </c>
      <c r="I24" s="7">
        <v>4320.0</v>
      </c>
      <c r="J24" s="7"/>
      <c r="L24" s="7"/>
      <c r="M24" s="7">
        <v>1.0</v>
      </c>
      <c r="N24" s="7">
        <f t="shared" si="1"/>
        <v>4320</v>
      </c>
      <c r="O24" s="88">
        <v>8.0</v>
      </c>
      <c r="P24" s="7">
        <v>16.0</v>
      </c>
      <c r="Q24" s="88">
        <v>20.0</v>
      </c>
      <c r="R24" s="88">
        <v>550.0</v>
      </c>
      <c r="S24" s="7">
        <f t="shared" si="2"/>
        <v>88000</v>
      </c>
      <c r="T24" s="7">
        <f t="shared" si="3"/>
        <v>23.2</v>
      </c>
      <c r="U24" s="60">
        <f t="shared" si="4"/>
        <v>12760</v>
      </c>
      <c r="V24" s="125">
        <f t="shared" si="5"/>
        <v>14080</v>
      </c>
      <c r="W24" s="51">
        <v>13.0</v>
      </c>
      <c r="X24" s="88">
        <v>550.0</v>
      </c>
      <c r="Y24" s="88">
        <v>1.4</v>
      </c>
      <c r="Z24" s="13">
        <f t="shared" si="6"/>
        <v>770</v>
      </c>
      <c r="AA24" s="13">
        <f t="shared" si="7"/>
        <v>478.5</v>
      </c>
      <c r="AB24" s="7">
        <f t="shared" si="8"/>
        <v>100.1</v>
      </c>
      <c r="AC24" s="93">
        <f t="shared" si="9"/>
        <v>800.8</v>
      </c>
      <c r="AD24" s="94">
        <v>34.5</v>
      </c>
      <c r="AE24" s="88">
        <v>850.0</v>
      </c>
      <c r="AF24" s="95">
        <v>0.7</v>
      </c>
      <c r="AG24" s="13">
        <f t="shared" si="10"/>
        <v>595</v>
      </c>
      <c r="AH24" s="13">
        <f t="shared" si="11"/>
        <v>556.75</v>
      </c>
      <c r="AI24" s="13">
        <f t="shared" si="12"/>
        <v>205.275</v>
      </c>
      <c r="AJ24" s="17">
        <f t="shared" si="13"/>
        <v>1642.2</v>
      </c>
      <c r="AK24" s="51">
        <v>4.0</v>
      </c>
      <c r="AL24" s="95">
        <v>3.2</v>
      </c>
      <c r="AM24" s="95">
        <v>21.0</v>
      </c>
      <c r="AN24" s="13">
        <f t="shared" si="14"/>
        <v>67.2</v>
      </c>
      <c r="AO24" s="13">
        <f t="shared" si="15"/>
        <v>3.072</v>
      </c>
      <c r="AP24" s="13">
        <f t="shared" si="16"/>
        <v>2.688</v>
      </c>
      <c r="AQ24" s="17">
        <f t="shared" si="17"/>
        <v>21.504</v>
      </c>
      <c r="AR24" s="94">
        <v>6.5</v>
      </c>
      <c r="AS24" s="88">
        <v>22000.0</v>
      </c>
      <c r="AT24" s="17">
        <f t="shared" si="18"/>
        <v>1430</v>
      </c>
      <c r="AU24" s="51">
        <v>26.0</v>
      </c>
      <c r="AV24" s="88">
        <v>7000.0</v>
      </c>
      <c r="AW24" s="17">
        <f t="shared" si="19"/>
        <v>1820</v>
      </c>
      <c r="AX24" s="96">
        <f t="shared" si="20"/>
        <v>138561.528</v>
      </c>
      <c r="AY24" s="204">
        <f t="shared" si="21"/>
        <v>458.2061111</v>
      </c>
      <c r="AZ24" s="17">
        <f t="shared" si="22"/>
        <v>134241.528</v>
      </c>
      <c r="BA24" s="172"/>
    </row>
    <row r="25" ht="15.75" customHeight="1">
      <c r="A25" s="14"/>
      <c r="B25" s="33" t="s">
        <v>14</v>
      </c>
      <c r="C25" s="33" t="s">
        <v>177</v>
      </c>
      <c r="D25" s="7" t="s">
        <v>186</v>
      </c>
      <c r="E25" s="7" t="s">
        <v>187</v>
      </c>
      <c r="F25" s="7" t="s">
        <v>51</v>
      </c>
      <c r="G25" s="32" t="s">
        <v>190</v>
      </c>
      <c r="H25" s="88">
        <v>7.0</v>
      </c>
      <c r="I25" s="7">
        <v>4100.0</v>
      </c>
      <c r="J25" s="7"/>
      <c r="L25" s="7"/>
      <c r="M25" s="7">
        <v>1.0</v>
      </c>
      <c r="N25" s="7">
        <f t="shared" si="1"/>
        <v>4100</v>
      </c>
      <c r="O25" s="88">
        <v>8.0</v>
      </c>
      <c r="P25" s="7">
        <v>16.0</v>
      </c>
      <c r="Q25" s="88">
        <v>20.0</v>
      </c>
      <c r="R25" s="88">
        <v>550.0</v>
      </c>
      <c r="S25" s="7">
        <f t="shared" si="2"/>
        <v>88000</v>
      </c>
      <c r="T25" s="7">
        <f t="shared" si="3"/>
        <v>23.2</v>
      </c>
      <c r="U25" s="60">
        <f t="shared" si="4"/>
        <v>12760</v>
      </c>
      <c r="V25" s="125">
        <f t="shared" si="5"/>
        <v>14080</v>
      </c>
      <c r="W25" s="51">
        <v>13.0</v>
      </c>
      <c r="X25" s="88">
        <v>550.0</v>
      </c>
      <c r="Y25" s="88">
        <v>1.4</v>
      </c>
      <c r="Z25" s="13">
        <f t="shared" si="6"/>
        <v>770</v>
      </c>
      <c r="AA25" s="13">
        <f t="shared" si="7"/>
        <v>478.5</v>
      </c>
      <c r="AB25" s="7">
        <f t="shared" si="8"/>
        <v>100.1</v>
      </c>
      <c r="AC25" s="93">
        <f t="shared" si="9"/>
        <v>800.8</v>
      </c>
      <c r="AD25" s="94">
        <v>34.5</v>
      </c>
      <c r="AE25" s="88">
        <v>850.0</v>
      </c>
      <c r="AF25" s="95">
        <v>0.7</v>
      </c>
      <c r="AG25" s="13">
        <f t="shared" si="10"/>
        <v>595</v>
      </c>
      <c r="AH25" s="13">
        <f t="shared" si="11"/>
        <v>556.75</v>
      </c>
      <c r="AI25" s="13">
        <f t="shared" si="12"/>
        <v>205.275</v>
      </c>
      <c r="AJ25" s="17">
        <f t="shared" si="13"/>
        <v>1642.2</v>
      </c>
      <c r="AK25" s="51">
        <v>4.0</v>
      </c>
      <c r="AL25" s="95">
        <v>3.2</v>
      </c>
      <c r="AM25" s="95">
        <v>21.0</v>
      </c>
      <c r="AN25" s="13">
        <f t="shared" si="14"/>
        <v>67.2</v>
      </c>
      <c r="AO25" s="13">
        <f t="shared" si="15"/>
        <v>3.072</v>
      </c>
      <c r="AP25" s="13">
        <f t="shared" si="16"/>
        <v>2.688</v>
      </c>
      <c r="AQ25" s="17">
        <f t="shared" si="17"/>
        <v>21.504</v>
      </c>
      <c r="AR25" s="94">
        <v>6.5</v>
      </c>
      <c r="AS25" s="88">
        <v>22000.0</v>
      </c>
      <c r="AT25" s="17">
        <f t="shared" si="18"/>
        <v>1430</v>
      </c>
      <c r="AU25" s="51">
        <v>26.0</v>
      </c>
      <c r="AV25" s="88">
        <v>7000.0</v>
      </c>
      <c r="AW25" s="17">
        <f t="shared" si="19"/>
        <v>1820</v>
      </c>
      <c r="AX25" s="96">
        <f t="shared" si="20"/>
        <v>138561.528</v>
      </c>
      <c r="AY25" s="204">
        <f t="shared" si="21"/>
        <v>482.7927805</v>
      </c>
      <c r="AZ25" s="17">
        <f t="shared" si="22"/>
        <v>134461.528</v>
      </c>
      <c r="BA25" s="172"/>
    </row>
    <row r="26" ht="15.75" customHeight="1">
      <c r="A26" s="14"/>
      <c r="B26" s="33" t="s">
        <v>14</v>
      </c>
      <c r="C26" s="33" t="s">
        <v>582</v>
      </c>
      <c r="D26" s="7" t="s">
        <v>583</v>
      </c>
      <c r="E26" s="7" t="s">
        <v>512</v>
      </c>
      <c r="F26" s="7" t="s">
        <v>51</v>
      </c>
      <c r="G26" s="32" t="s">
        <v>513</v>
      </c>
      <c r="H26" s="88">
        <v>7.0</v>
      </c>
      <c r="I26" s="7">
        <v>20000.0</v>
      </c>
      <c r="J26" s="7"/>
      <c r="L26" s="7"/>
      <c r="M26" s="7">
        <v>1.0</v>
      </c>
      <c r="N26" s="7">
        <f t="shared" si="1"/>
        <v>20000</v>
      </c>
      <c r="O26" s="88">
        <v>8.0</v>
      </c>
      <c r="P26" s="7">
        <v>16.0</v>
      </c>
      <c r="Q26" s="88">
        <v>20.0</v>
      </c>
      <c r="R26" s="88">
        <v>550.0</v>
      </c>
      <c r="S26" s="7">
        <f t="shared" si="2"/>
        <v>88000</v>
      </c>
      <c r="T26" s="7">
        <f t="shared" si="3"/>
        <v>23.2</v>
      </c>
      <c r="U26" s="60">
        <f t="shared" si="4"/>
        <v>12760</v>
      </c>
      <c r="V26" s="125">
        <f t="shared" si="5"/>
        <v>14080</v>
      </c>
      <c r="W26" s="51">
        <v>13.0</v>
      </c>
      <c r="X26" s="88">
        <v>550.0</v>
      </c>
      <c r="Y26" s="88">
        <v>1.4</v>
      </c>
      <c r="Z26" s="13">
        <f t="shared" si="6"/>
        <v>770</v>
      </c>
      <c r="AA26" s="13">
        <f t="shared" si="7"/>
        <v>478.5</v>
      </c>
      <c r="AB26" s="7">
        <f t="shared" si="8"/>
        <v>100.1</v>
      </c>
      <c r="AC26" s="93">
        <f t="shared" si="9"/>
        <v>800.8</v>
      </c>
      <c r="AD26" s="94">
        <v>34.5</v>
      </c>
      <c r="AE26" s="88">
        <v>850.0</v>
      </c>
      <c r="AF26" s="95">
        <v>0.7</v>
      </c>
      <c r="AG26" s="13">
        <f t="shared" si="10"/>
        <v>595</v>
      </c>
      <c r="AH26" s="13">
        <f t="shared" si="11"/>
        <v>556.75</v>
      </c>
      <c r="AI26" s="13">
        <f t="shared" si="12"/>
        <v>205.275</v>
      </c>
      <c r="AJ26" s="17">
        <f t="shared" si="13"/>
        <v>1642.2</v>
      </c>
      <c r="AK26" s="51">
        <v>4.0</v>
      </c>
      <c r="AL26" s="95">
        <v>3.2</v>
      </c>
      <c r="AM26" s="95">
        <v>21.0</v>
      </c>
      <c r="AN26" s="13">
        <f t="shared" si="14"/>
        <v>67.2</v>
      </c>
      <c r="AO26" s="13">
        <f t="shared" si="15"/>
        <v>3.072</v>
      </c>
      <c r="AP26" s="13">
        <f t="shared" si="16"/>
        <v>2.688</v>
      </c>
      <c r="AQ26" s="17">
        <f t="shared" si="17"/>
        <v>21.504</v>
      </c>
      <c r="AR26" s="94">
        <v>6.5</v>
      </c>
      <c r="AS26" s="88">
        <v>22000.0</v>
      </c>
      <c r="AT26" s="17">
        <f t="shared" si="18"/>
        <v>1430</v>
      </c>
      <c r="AU26" s="51">
        <v>26.0</v>
      </c>
      <c r="AV26" s="88">
        <v>7000.0</v>
      </c>
      <c r="AW26" s="17">
        <f t="shared" si="19"/>
        <v>1820</v>
      </c>
      <c r="AX26" s="96">
        <f t="shared" si="20"/>
        <v>138561.528</v>
      </c>
      <c r="AY26" s="204">
        <f t="shared" si="21"/>
        <v>98.97252</v>
      </c>
      <c r="AZ26" s="17">
        <f t="shared" si="22"/>
        <v>118561.528</v>
      </c>
      <c r="BA26" s="172"/>
    </row>
    <row r="27" ht="15.75" customHeight="1">
      <c r="A27" s="14"/>
      <c r="B27" s="33" t="s">
        <v>14</v>
      </c>
      <c r="C27" s="33" t="s">
        <v>141</v>
      </c>
      <c r="D27" s="7" t="s">
        <v>212</v>
      </c>
      <c r="E27" s="7" t="s">
        <v>637</v>
      </c>
      <c r="F27" s="7" t="s">
        <v>51</v>
      </c>
      <c r="G27" s="32" t="s">
        <v>181</v>
      </c>
      <c r="H27" s="88">
        <v>7.0</v>
      </c>
      <c r="I27" s="7">
        <v>17500.0</v>
      </c>
      <c r="J27" s="7"/>
      <c r="L27" s="7"/>
      <c r="M27" s="7">
        <v>1.0</v>
      </c>
      <c r="N27" s="7">
        <f t="shared" si="1"/>
        <v>17500</v>
      </c>
      <c r="O27" s="88">
        <v>8.0</v>
      </c>
      <c r="P27" s="7">
        <v>16.0</v>
      </c>
      <c r="Q27" s="88">
        <v>20.0</v>
      </c>
      <c r="R27" s="88">
        <v>550.0</v>
      </c>
      <c r="S27" s="7">
        <f t="shared" si="2"/>
        <v>88000</v>
      </c>
      <c r="T27" s="7">
        <f t="shared" si="3"/>
        <v>23.2</v>
      </c>
      <c r="U27" s="60">
        <f t="shared" si="4"/>
        <v>12760</v>
      </c>
      <c r="V27" s="125">
        <f t="shared" si="5"/>
        <v>14080</v>
      </c>
      <c r="W27" s="51">
        <v>13.0</v>
      </c>
      <c r="X27" s="88">
        <v>550.0</v>
      </c>
      <c r="Y27" s="88">
        <v>1.4</v>
      </c>
      <c r="Z27" s="13">
        <f t="shared" si="6"/>
        <v>770</v>
      </c>
      <c r="AA27" s="13">
        <f t="shared" si="7"/>
        <v>478.5</v>
      </c>
      <c r="AB27" s="7">
        <f t="shared" si="8"/>
        <v>100.1</v>
      </c>
      <c r="AC27" s="93">
        <f t="shared" si="9"/>
        <v>800.8</v>
      </c>
      <c r="AD27" s="94">
        <v>34.5</v>
      </c>
      <c r="AE27" s="88">
        <v>850.0</v>
      </c>
      <c r="AF27" s="95">
        <v>0.7</v>
      </c>
      <c r="AG27" s="13">
        <f t="shared" si="10"/>
        <v>595</v>
      </c>
      <c r="AH27" s="13">
        <f t="shared" si="11"/>
        <v>556.75</v>
      </c>
      <c r="AI27" s="13">
        <f t="shared" si="12"/>
        <v>205.275</v>
      </c>
      <c r="AJ27" s="17">
        <f t="shared" si="13"/>
        <v>1642.2</v>
      </c>
      <c r="AK27" s="51">
        <v>4.0</v>
      </c>
      <c r="AL27" s="95">
        <v>3.2</v>
      </c>
      <c r="AM27" s="95">
        <v>21.0</v>
      </c>
      <c r="AN27" s="13">
        <f t="shared" si="14"/>
        <v>67.2</v>
      </c>
      <c r="AO27" s="13">
        <f t="shared" si="15"/>
        <v>3.072</v>
      </c>
      <c r="AP27" s="13">
        <f t="shared" si="16"/>
        <v>2.688</v>
      </c>
      <c r="AQ27" s="17">
        <f t="shared" si="17"/>
        <v>21.504</v>
      </c>
      <c r="AR27" s="94">
        <v>6.5</v>
      </c>
      <c r="AS27" s="88">
        <v>22000.0</v>
      </c>
      <c r="AT27" s="17">
        <f t="shared" si="18"/>
        <v>1430</v>
      </c>
      <c r="AU27" s="51">
        <v>26.0</v>
      </c>
      <c r="AV27" s="88">
        <v>7000.0</v>
      </c>
      <c r="AW27" s="17">
        <f t="shared" si="19"/>
        <v>1820</v>
      </c>
      <c r="AX27" s="96">
        <f t="shared" si="20"/>
        <v>138561.528</v>
      </c>
      <c r="AY27" s="204">
        <f t="shared" si="21"/>
        <v>113.1114514</v>
      </c>
      <c r="AZ27" s="17">
        <f t="shared" si="22"/>
        <v>121061.528</v>
      </c>
      <c r="BA27" s="172"/>
    </row>
    <row r="28" ht="15.75" customHeight="1">
      <c r="A28" s="14"/>
      <c r="B28" s="33" t="s">
        <v>14</v>
      </c>
      <c r="C28" s="33" t="s">
        <v>141</v>
      </c>
      <c r="D28" s="7" t="s">
        <v>216</v>
      </c>
      <c r="E28" s="7" t="s">
        <v>172</v>
      </c>
      <c r="F28" s="7" t="s">
        <v>51</v>
      </c>
      <c r="G28" s="32" t="s">
        <v>181</v>
      </c>
      <c r="H28" s="88">
        <v>7.0</v>
      </c>
      <c r="I28" s="7">
        <v>17500.0</v>
      </c>
      <c r="J28" s="7"/>
      <c r="L28" s="7"/>
      <c r="M28" s="7">
        <v>1.0</v>
      </c>
      <c r="N28" s="7">
        <f t="shared" si="1"/>
        <v>17500</v>
      </c>
      <c r="O28" s="88">
        <v>8.0</v>
      </c>
      <c r="P28" s="7">
        <v>16.0</v>
      </c>
      <c r="Q28" s="88">
        <v>20.0</v>
      </c>
      <c r="R28" s="88">
        <v>550.0</v>
      </c>
      <c r="S28" s="7">
        <f t="shared" si="2"/>
        <v>88000</v>
      </c>
      <c r="T28" s="7">
        <f t="shared" si="3"/>
        <v>23.2</v>
      </c>
      <c r="U28" s="60">
        <f t="shared" si="4"/>
        <v>12760</v>
      </c>
      <c r="V28" s="125">
        <f t="shared" si="5"/>
        <v>14080</v>
      </c>
      <c r="W28" s="51">
        <v>13.0</v>
      </c>
      <c r="X28" s="88">
        <v>550.0</v>
      </c>
      <c r="Y28" s="88">
        <v>1.4</v>
      </c>
      <c r="Z28" s="13">
        <f t="shared" si="6"/>
        <v>770</v>
      </c>
      <c r="AA28" s="13">
        <f t="shared" si="7"/>
        <v>478.5</v>
      </c>
      <c r="AB28" s="7">
        <f t="shared" si="8"/>
        <v>100.1</v>
      </c>
      <c r="AC28" s="93">
        <f t="shared" si="9"/>
        <v>800.8</v>
      </c>
      <c r="AD28" s="94">
        <v>34.5</v>
      </c>
      <c r="AE28" s="88">
        <v>850.0</v>
      </c>
      <c r="AF28" s="95">
        <v>0.7</v>
      </c>
      <c r="AG28" s="13">
        <f t="shared" si="10"/>
        <v>595</v>
      </c>
      <c r="AH28" s="13">
        <f t="shared" si="11"/>
        <v>556.75</v>
      </c>
      <c r="AI28" s="13">
        <f t="shared" si="12"/>
        <v>205.275</v>
      </c>
      <c r="AJ28" s="17">
        <f t="shared" si="13"/>
        <v>1642.2</v>
      </c>
      <c r="AK28" s="51">
        <v>4.0</v>
      </c>
      <c r="AL28" s="95">
        <v>3.2</v>
      </c>
      <c r="AM28" s="95">
        <v>21.0</v>
      </c>
      <c r="AN28" s="13">
        <f t="shared" si="14"/>
        <v>67.2</v>
      </c>
      <c r="AO28" s="13">
        <f t="shared" si="15"/>
        <v>3.072</v>
      </c>
      <c r="AP28" s="13">
        <f t="shared" si="16"/>
        <v>2.688</v>
      </c>
      <c r="AQ28" s="17">
        <f t="shared" si="17"/>
        <v>21.504</v>
      </c>
      <c r="AR28" s="94">
        <v>6.5</v>
      </c>
      <c r="AS28" s="88">
        <v>22000.0</v>
      </c>
      <c r="AT28" s="17">
        <f t="shared" si="18"/>
        <v>1430</v>
      </c>
      <c r="AU28" s="51">
        <v>26.0</v>
      </c>
      <c r="AV28" s="88">
        <v>7000.0</v>
      </c>
      <c r="AW28" s="17">
        <f t="shared" si="19"/>
        <v>1820</v>
      </c>
      <c r="AX28" s="96">
        <f t="shared" si="20"/>
        <v>138561.528</v>
      </c>
      <c r="AY28" s="204">
        <f t="shared" si="21"/>
        <v>113.1114514</v>
      </c>
      <c r="AZ28" s="17">
        <f t="shared" si="22"/>
        <v>121061.528</v>
      </c>
      <c r="BA28" s="172"/>
    </row>
    <row r="29" ht="15.75" customHeight="1">
      <c r="A29" s="14"/>
      <c r="B29" s="33" t="s">
        <v>14</v>
      </c>
      <c r="C29" s="33" t="s">
        <v>141</v>
      </c>
      <c r="D29" s="7" t="s">
        <v>191</v>
      </c>
      <c r="E29" s="7" t="s">
        <v>187</v>
      </c>
      <c r="F29" s="7" t="s">
        <v>51</v>
      </c>
      <c r="G29" s="32" t="s">
        <v>193</v>
      </c>
      <c r="H29" s="88">
        <v>7.0</v>
      </c>
      <c r="I29" s="7">
        <v>15000.0</v>
      </c>
      <c r="J29" s="7"/>
      <c r="L29" s="7"/>
      <c r="M29" s="7">
        <v>1.0</v>
      </c>
      <c r="N29" s="7">
        <f t="shared" si="1"/>
        <v>15000</v>
      </c>
      <c r="O29" s="88">
        <v>8.0</v>
      </c>
      <c r="P29" s="7">
        <v>16.0</v>
      </c>
      <c r="Q29" s="88">
        <v>20.0</v>
      </c>
      <c r="R29" s="88">
        <v>550.0</v>
      </c>
      <c r="S29" s="7">
        <f t="shared" si="2"/>
        <v>88000</v>
      </c>
      <c r="T29" s="7">
        <f t="shared" si="3"/>
        <v>23.2</v>
      </c>
      <c r="U29" s="60">
        <f t="shared" si="4"/>
        <v>12760</v>
      </c>
      <c r="V29" s="125">
        <f t="shared" si="5"/>
        <v>14080</v>
      </c>
      <c r="W29" s="51">
        <v>13.0</v>
      </c>
      <c r="X29" s="88">
        <v>550.0</v>
      </c>
      <c r="Y29" s="88">
        <v>1.4</v>
      </c>
      <c r="Z29" s="13">
        <f t="shared" si="6"/>
        <v>770</v>
      </c>
      <c r="AA29" s="13">
        <f t="shared" si="7"/>
        <v>478.5</v>
      </c>
      <c r="AB29" s="7">
        <f t="shared" si="8"/>
        <v>100.1</v>
      </c>
      <c r="AC29" s="93">
        <f t="shared" si="9"/>
        <v>800.8</v>
      </c>
      <c r="AD29" s="94">
        <v>34.5</v>
      </c>
      <c r="AE29" s="88">
        <v>850.0</v>
      </c>
      <c r="AF29" s="95">
        <v>0.7</v>
      </c>
      <c r="AG29" s="13">
        <f t="shared" si="10"/>
        <v>595</v>
      </c>
      <c r="AH29" s="13">
        <f t="shared" si="11"/>
        <v>556.75</v>
      </c>
      <c r="AI29" s="13">
        <f t="shared" si="12"/>
        <v>205.275</v>
      </c>
      <c r="AJ29" s="17">
        <f t="shared" si="13"/>
        <v>1642.2</v>
      </c>
      <c r="AK29" s="51">
        <v>4.0</v>
      </c>
      <c r="AL29" s="95">
        <v>3.2</v>
      </c>
      <c r="AM29" s="95">
        <v>21.0</v>
      </c>
      <c r="AN29" s="13">
        <f t="shared" si="14"/>
        <v>67.2</v>
      </c>
      <c r="AO29" s="13">
        <f t="shared" si="15"/>
        <v>3.072</v>
      </c>
      <c r="AP29" s="13">
        <f t="shared" si="16"/>
        <v>2.688</v>
      </c>
      <c r="AQ29" s="17">
        <f t="shared" si="17"/>
        <v>21.504</v>
      </c>
      <c r="AR29" s="94">
        <v>6.5</v>
      </c>
      <c r="AS29" s="88">
        <v>22000.0</v>
      </c>
      <c r="AT29" s="17">
        <f t="shared" si="18"/>
        <v>1430</v>
      </c>
      <c r="AU29" s="51">
        <v>26.0</v>
      </c>
      <c r="AV29" s="88">
        <v>7000.0</v>
      </c>
      <c r="AW29" s="17">
        <f t="shared" si="19"/>
        <v>1820</v>
      </c>
      <c r="AX29" s="96">
        <f t="shared" si="20"/>
        <v>138561.528</v>
      </c>
      <c r="AY29" s="204">
        <f t="shared" si="21"/>
        <v>131.96336</v>
      </c>
      <c r="AZ29" s="17">
        <f t="shared" si="22"/>
        <v>123561.528</v>
      </c>
      <c r="BA29" s="172"/>
    </row>
    <row r="30" ht="15.75" customHeight="1">
      <c r="A30" s="14"/>
      <c r="B30" s="33" t="s">
        <v>14</v>
      </c>
      <c r="C30" s="33" t="s">
        <v>141</v>
      </c>
      <c r="D30" s="7" t="s">
        <v>194</v>
      </c>
      <c r="E30" s="7" t="s">
        <v>579</v>
      </c>
      <c r="F30" s="7" t="s">
        <v>51</v>
      </c>
      <c r="G30" s="32" t="s">
        <v>197</v>
      </c>
      <c r="H30" s="88">
        <v>7.0</v>
      </c>
      <c r="I30" s="7">
        <v>6000.0</v>
      </c>
      <c r="J30" s="7"/>
      <c r="L30" s="7"/>
      <c r="M30" s="7">
        <v>1.0</v>
      </c>
      <c r="N30" s="7">
        <f t="shared" si="1"/>
        <v>6000</v>
      </c>
      <c r="O30" s="88">
        <v>8.0</v>
      </c>
      <c r="P30" s="7">
        <v>16.0</v>
      </c>
      <c r="Q30" s="88">
        <v>20.0</v>
      </c>
      <c r="R30" s="88">
        <v>550.0</v>
      </c>
      <c r="S30" s="7">
        <f t="shared" si="2"/>
        <v>88000</v>
      </c>
      <c r="T30" s="7">
        <f t="shared" si="3"/>
        <v>23.2</v>
      </c>
      <c r="U30" s="60">
        <f t="shared" si="4"/>
        <v>12760</v>
      </c>
      <c r="V30" s="125">
        <f t="shared" si="5"/>
        <v>14080</v>
      </c>
      <c r="W30" s="51">
        <v>13.0</v>
      </c>
      <c r="X30" s="88">
        <v>550.0</v>
      </c>
      <c r="Y30" s="88">
        <v>1.4</v>
      </c>
      <c r="Z30" s="13">
        <f t="shared" si="6"/>
        <v>770</v>
      </c>
      <c r="AA30" s="13">
        <f t="shared" si="7"/>
        <v>478.5</v>
      </c>
      <c r="AB30" s="7">
        <f t="shared" si="8"/>
        <v>100.1</v>
      </c>
      <c r="AC30" s="93">
        <f t="shared" si="9"/>
        <v>800.8</v>
      </c>
      <c r="AD30" s="94">
        <v>34.5</v>
      </c>
      <c r="AE30" s="88">
        <v>850.0</v>
      </c>
      <c r="AF30" s="95">
        <v>0.7</v>
      </c>
      <c r="AG30" s="13">
        <f t="shared" si="10"/>
        <v>595</v>
      </c>
      <c r="AH30" s="13">
        <f t="shared" si="11"/>
        <v>556.75</v>
      </c>
      <c r="AI30" s="13">
        <f t="shared" si="12"/>
        <v>205.275</v>
      </c>
      <c r="AJ30" s="17">
        <f t="shared" si="13"/>
        <v>1642.2</v>
      </c>
      <c r="AK30" s="51">
        <v>4.0</v>
      </c>
      <c r="AL30" s="95">
        <v>3.2</v>
      </c>
      <c r="AM30" s="95">
        <v>21.0</v>
      </c>
      <c r="AN30" s="13">
        <f t="shared" si="14"/>
        <v>67.2</v>
      </c>
      <c r="AO30" s="13">
        <f t="shared" si="15"/>
        <v>3.072</v>
      </c>
      <c r="AP30" s="13">
        <f t="shared" si="16"/>
        <v>2.688</v>
      </c>
      <c r="AQ30" s="17">
        <f t="shared" si="17"/>
        <v>21.504</v>
      </c>
      <c r="AR30" s="94">
        <v>6.5</v>
      </c>
      <c r="AS30" s="88">
        <v>22000.0</v>
      </c>
      <c r="AT30" s="17">
        <f t="shared" si="18"/>
        <v>1430</v>
      </c>
      <c r="AU30" s="51">
        <v>26.0</v>
      </c>
      <c r="AV30" s="88">
        <v>7000.0</v>
      </c>
      <c r="AW30" s="17">
        <f t="shared" si="19"/>
        <v>1820</v>
      </c>
      <c r="AX30" s="96">
        <f t="shared" si="20"/>
        <v>138561.528</v>
      </c>
      <c r="AY30" s="204">
        <f t="shared" si="21"/>
        <v>329.9084</v>
      </c>
      <c r="AZ30" s="17">
        <f t="shared" si="22"/>
        <v>132561.528</v>
      </c>
      <c r="BA30" s="172"/>
    </row>
    <row r="31" ht="15.75" customHeight="1">
      <c r="A31" s="14"/>
      <c r="B31" s="33" t="s">
        <v>14</v>
      </c>
      <c r="C31" s="33" t="s">
        <v>141</v>
      </c>
      <c r="D31" s="32" t="s">
        <v>198</v>
      </c>
      <c r="E31" s="7" t="s">
        <v>579</v>
      </c>
      <c r="F31" s="7" t="s">
        <v>51</v>
      </c>
      <c r="G31" s="32" t="s">
        <v>200</v>
      </c>
      <c r="H31" s="88">
        <v>7.0</v>
      </c>
      <c r="I31" s="7">
        <v>7000.0</v>
      </c>
      <c r="J31" s="7"/>
      <c r="L31" s="7"/>
      <c r="M31" s="7">
        <v>1.0</v>
      </c>
      <c r="N31" s="7">
        <f t="shared" si="1"/>
        <v>7000</v>
      </c>
      <c r="O31" s="88">
        <v>8.0</v>
      </c>
      <c r="P31" s="7">
        <v>16.0</v>
      </c>
      <c r="Q31" s="88">
        <v>20.0</v>
      </c>
      <c r="R31" s="88">
        <v>550.0</v>
      </c>
      <c r="S31" s="7">
        <f t="shared" si="2"/>
        <v>88000</v>
      </c>
      <c r="T31" s="7">
        <f t="shared" si="3"/>
        <v>23.2</v>
      </c>
      <c r="U31" s="60">
        <f t="shared" si="4"/>
        <v>12760</v>
      </c>
      <c r="V31" s="125">
        <f t="shared" si="5"/>
        <v>14080</v>
      </c>
      <c r="W31" s="51">
        <v>13.0</v>
      </c>
      <c r="X31" s="88">
        <v>550.0</v>
      </c>
      <c r="Y31" s="88">
        <v>1.4</v>
      </c>
      <c r="Z31" s="13">
        <f t="shared" si="6"/>
        <v>770</v>
      </c>
      <c r="AA31" s="13">
        <f t="shared" si="7"/>
        <v>478.5</v>
      </c>
      <c r="AB31" s="7">
        <f t="shared" si="8"/>
        <v>100.1</v>
      </c>
      <c r="AC31" s="93">
        <f t="shared" si="9"/>
        <v>800.8</v>
      </c>
      <c r="AD31" s="94">
        <v>34.5</v>
      </c>
      <c r="AE31" s="88">
        <v>850.0</v>
      </c>
      <c r="AF31" s="95">
        <v>0.7</v>
      </c>
      <c r="AG31" s="13">
        <f t="shared" si="10"/>
        <v>595</v>
      </c>
      <c r="AH31" s="13">
        <f t="shared" si="11"/>
        <v>556.75</v>
      </c>
      <c r="AI31" s="13">
        <f t="shared" si="12"/>
        <v>205.275</v>
      </c>
      <c r="AJ31" s="17">
        <f t="shared" si="13"/>
        <v>1642.2</v>
      </c>
      <c r="AK31" s="51">
        <v>4.0</v>
      </c>
      <c r="AL31" s="95">
        <v>3.2</v>
      </c>
      <c r="AM31" s="95">
        <v>21.0</v>
      </c>
      <c r="AN31" s="13">
        <f t="shared" si="14"/>
        <v>67.2</v>
      </c>
      <c r="AO31" s="13">
        <f t="shared" si="15"/>
        <v>3.072</v>
      </c>
      <c r="AP31" s="13">
        <f t="shared" si="16"/>
        <v>2.688</v>
      </c>
      <c r="AQ31" s="17">
        <f t="shared" si="17"/>
        <v>21.504</v>
      </c>
      <c r="AR31" s="94">
        <v>6.5</v>
      </c>
      <c r="AS31" s="88">
        <v>22000.0</v>
      </c>
      <c r="AT31" s="17">
        <f t="shared" si="18"/>
        <v>1430</v>
      </c>
      <c r="AU31" s="51">
        <v>26.0</v>
      </c>
      <c r="AV31" s="88">
        <v>7000.0</v>
      </c>
      <c r="AW31" s="17">
        <f t="shared" si="19"/>
        <v>1820</v>
      </c>
      <c r="AX31" s="96">
        <f t="shared" si="20"/>
        <v>138561.528</v>
      </c>
      <c r="AY31" s="204">
        <f t="shared" si="21"/>
        <v>282.7786286</v>
      </c>
      <c r="AZ31" s="17">
        <f t="shared" si="22"/>
        <v>131561.528</v>
      </c>
      <c r="BA31" s="172"/>
    </row>
    <row r="32" ht="15.75" customHeight="1">
      <c r="A32" s="21"/>
      <c r="B32" s="104" t="s">
        <v>14</v>
      </c>
      <c r="C32" s="104" t="s">
        <v>141</v>
      </c>
      <c r="D32" s="106" t="s">
        <v>201</v>
      </c>
      <c r="E32" s="106" t="s">
        <v>202</v>
      </c>
      <c r="F32" s="106" t="s">
        <v>51</v>
      </c>
      <c r="G32" s="181" t="s">
        <v>205</v>
      </c>
      <c r="H32" s="108">
        <v>7.0</v>
      </c>
      <c r="I32" s="106">
        <v>10000.0</v>
      </c>
      <c r="J32" s="106"/>
      <c r="K32" s="109"/>
      <c r="L32" s="106"/>
      <c r="M32" s="106">
        <v>1.0</v>
      </c>
      <c r="N32" s="106">
        <f t="shared" si="1"/>
        <v>10000</v>
      </c>
      <c r="O32" s="108">
        <v>8.0</v>
      </c>
      <c r="P32" s="106">
        <v>16.0</v>
      </c>
      <c r="Q32" s="108">
        <v>20.0</v>
      </c>
      <c r="R32" s="108">
        <v>550.0</v>
      </c>
      <c r="S32" s="106">
        <f t="shared" si="2"/>
        <v>88000</v>
      </c>
      <c r="T32" s="106">
        <f t="shared" si="3"/>
        <v>23.2</v>
      </c>
      <c r="U32" s="110">
        <f t="shared" si="4"/>
        <v>12760</v>
      </c>
      <c r="V32" s="113">
        <f t="shared" si="5"/>
        <v>14080</v>
      </c>
      <c r="W32" s="112">
        <v>13.0</v>
      </c>
      <c r="X32" s="108">
        <v>550.0</v>
      </c>
      <c r="Y32" s="108">
        <v>1.4</v>
      </c>
      <c r="Z32" s="22">
        <f t="shared" si="6"/>
        <v>770</v>
      </c>
      <c r="AA32" s="22">
        <f t="shared" si="7"/>
        <v>478.5</v>
      </c>
      <c r="AB32" s="106">
        <f t="shared" si="8"/>
        <v>100.1</v>
      </c>
      <c r="AC32" s="115">
        <f t="shared" si="9"/>
        <v>800.8</v>
      </c>
      <c r="AD32" s="130">
        <v>34.5</v>
      </c>
      <c r="AE32" s="108">
        <v>850.0</v>
      </c>
      <c r="AF32" s="117">
        <v>0.7</v>
      </c>
      <c r="AG32" s="22">
        <f t="shared" si="10"/>
        <v>595</v>
      </c>
      <c r="AH32" s="22">
        <f t="shared" si="11"/>
        <v>556.75</v>
      </c>
      <c r="AI32" s="22">
        <f t="shared" si="12"/>
        <v>205.275</v>
      </c>
      <c r="AJ32" s="25">
        <f t="shared" si="13"/>
        <v>1642.2</v>
      </c>
      <c r="AK32" s="112">
        <v>4.0</v>
      </c>
      <c r="AL32" s="117">
        <v>3.2</v>
      </c>
      <c r="AM32" s="117">
        <v>21.0</v>
      </c>
      <c r="AN32" s="22">
        <f t="shared" si="14"/>
        <v>67.2</v>
      </c>
      <c r="AO32" s="22">
        <f t="shared" si="15"/>
        <v>3.072</v>
      </c>
      <c r="AP32" s="22">
        <f t="shared" si="16"/>
        <v>2.688</v>
      </c>
      <c r="AQ32" s="25">
        <f t="shared" si="17"/>
        <v>21.504</v>
      </c>
      <c r="AR32" s="130">
        <v>6.5</v>
      </c>
      <c r="AS32" s="129">
        <v>22000.0</v>
      </c>
      <c r="AT32" s="25">
        <f t="shared" si="18"/>
        <v>1430</v>
      </c>
      <c r="AU32" s="112">
        <v>26.0</v>
      </c>
      <c r="AV32" s="129">
        <v>7000.0</v>
      </c>
      <c r="AW32" s="25">
        <f t="shared" si="19"/>
        <v>1820</v>
      </c>
      <c r="AX32" s="118">
        <f t="shared" si="20"/>
        <v>138561.528</v>
      </c>
      <c r="AY32" s="210">
        <f t="shared" si="21"/>
        <v>197.94504</v>
      </c>
      <c r="AZ32" s="25">
        <f t="shared" si="22"/>
        <v>128561.528</v>
      </c>
      <c r="BA32" s="182"/>
    </row>
    <row r="33" ht="15.75" customHeight="1">
      <c r="A33" s="71" t="s">
        <v>219</v>
      </c>
      <c r="B33" s="72" t="s">
        <v>14</v>
      </c>
      <c r="C33" s="72" t="s">
        <v>518</v>
      </c>
      <c r="D33" s="74" t="s">
        <v>220</v>
      </c>
      <c r="E33" s="74" t="s">
        <v>221</v>
      </c>
      <c r="F33" s="74" t="s">
        <v>51</v>
      </c>
      <c r="G33" s="169" t="s">
        <v>224</v>
      </c>
      <c r="H33" s="76">
        <v>7.0</v>
      </c>
      <c r="I33" s="76">
        <v>12500.0</v>
      </c>
      <c r="J33" s="74"/>
      <c r="K33" s="77"/>
      <c r="L33" s="74">
        <v>260.0</v>
      </c>
      <c r="M33" s="74">
        <v>1.0</v>
      </c>
      <c r="N33" s="74">
        <f t="shared" si="1"/>
        <v>14320</v>
      </c>
      <c r="O33" s="76">
        <v>8.0</v>
      </c>
      <c r="P33" s="74">
        <v>21.0</v>
      </c>
      <c r="Q33" s="76">
        <v>20.0</v>
      </c>
      <c r="R33" s="76">
        <v>550.0</v>
      </c>
      <c r="S33" s="74">
        <f t="shared" si="2"/>
        <v>88000</v>
      </c>
      <c r="T33" s="74">
        <f t="shared" si="3"/>
        <v>24.2</v>
      </c>
      <c r="U33" s="78">
        <f t="shared" si="4"/>
        <v>13310</v>
      </c>
      <c r="V33" s="80">
        <f t="shared" si="5"/>
        <v>18480</v>
      </c>
      <c r="W33" s="84">
        <v>25.0</v>
      </c>
      <c r="X33" s="76">
        <v>550.0</v>
      </c>
      <c r="Y33" s="76">
        <v>1.4</v>
      </c>
      <c r="Z33" s="9">
        <f t="shared" si="6"/>
        <v>770</v>
      </c>
      <c r="AA33" s="9">
        <f t="shared" si="7"/>
        <v>412.5</v>
      </c>
      <c r="AB33" s="74">
        <f t="shared" si="8"/>
        <v>192.5</v>
      </c>
      <c r="AC33" s="81">
        <f t="shared" si="9"/>
        <v>1540</v>
      </c>
      <c r="AD33" s="170">
        <v>0.0</v>
      </c>
      <c r="AE33" s="76">
        <v>850.0</v>
      </c>
      <c r="AF33" s="83">
        <v>0.7</v>
      </c>
      <c r="AG33" s="9">
        <f t="shared" si="10"/>
        <v>595</v>
      </c>
      <c r="AH33" s="9">
        <f t="shared" si="11"/>
        <v>850</v>
      </c>
      <c r="AI33" s="9">
        <f t="shared" si="12"/>
        <v>0</v>
      </c>
      <c r="AJ33" s="12">
        <f t="shared" si="13"/>
        <v>0</v>
      </c>
      <c r="AK33" s="84">
        <v>70.0</v>
      </c>
      <c r="AL33" s="83">
        <v>3.2</v>
      </c>
      <c r="AM33" s="83">
        <v>21.0</v>
      </c>
      <c r="AN33" s="9">
        <f t="shared" si="14"/>
        <v>67.2</v>
      </c>
      <c r="AO33" s="9">
        <f t="shared" si="15"/>
        <v>0.96</v>
      </c>
      <c r="AP33" s="9">
        <f t="shared" si="16"/>
        <v>47.04</v>
      </c>
      <c r="AQ33" s="12">
        <f t="shared" si="17"/>
        <v>376.32</v>
      </c>
      <c r="AR33" s="122">
        <v>2.8</v>
      </c>
      <c r="AS33" s="131">
        <v>22000.0</v>
      </c>
      <c r="AT33" s="12">
        <f t="shared" si="18"/>
        <v>616</v>
      </c>
      <c r="AU33" s="122">
        <v>28.0</v>
      </c>
      <c r="AV33" s="131">
        <v>7000.0</v>
      </c>
      <c r="AW33" s="12">
        <f t="shared" si="19"/>
        <v>1960</v>
      </c>
      <c r="AX33" s="84">
        <f t="shared" si="20"/>
        <v>160806.24</v>
      </c>
      <c r="AY33" s="199">
        <f t="shared" si="21"/>
        <v>160.4212291</v>
      </c>
      <c r="AZ33" s="12">
        <f t="shared" si="22"/>
        <v>146486.24</v>
      </c>
      <c r="BA33" s="171"/>
    </row>
    <row r="34" ht="15.75" customHeight="1">
      <c r="A34" s="14"/>
      <c r="B34" s="33" t="s">
        <v>14</v>
      </c>
      <c r="C34" s="33" t="s">
        <v>225</v>
      </c>
      <c r="D34" s="7" t="s">
        <v>226</v>
      </c>
      <c r="E34" s="7" t="s">
        <v>227</v>
      </c>
      <c r="F34" s="7" t="s">
        <v>51</v>
      </c>
      <c r="G34" s="32" t="s">
        <v>230</v>
      </c>
      <c r="H34" s="88">
        <v>7.0</v>
      </c>
      <c r="I34" s="7">
        <v>22300.0</v>
      </c>
      <c r="J34" s="7"/>
      <c r="L34" s="7"/>
      <c r="M34" s="7">
        <v>1.0</v>
      </c>
      <c r="N34" s="7">
        <f t="shared" si="1"/>
        <v>22300</v>
      </c>
      <c r="O34" s="88">
        <v>8.0</v>
      </c>
      <c r="P34" s="7">
        <v>21.0</v>
      </c>
      <c r="Q34" s="88">
        <v>20.0</v>
      </c>
      <c r="R34" s="88">
        <v>550.0</v>
      </c>
      <c r="S34" s="7">
        <f t="shared" si="2"/>
        <v>88000</v>
      </c>
      <c r="T34" s="7">
        <f t="shared" si="3"/>
        <v>24.2</v>
      </c>
      <c r="U34" s="60">
        <f t="shared" si="4"/>
        <v>13310</v>
      </c>
      <c r="V34" s="125">
        <f t="shared" si="5"/>
        <v>18480</v>
      </c>
      <c r="W34" s="96">
        <v>25.0</v>
      </c>
      <c r="X34" s="88">
        <v>550.0</v>
      </c>
      <c r="Y34" s="88">
        <v>1.4</v>
      </c>
      <c r="Z34" s="13">
        <f t="shared" si="6"/>
        <v>770</v>
      </c>
      <c r="AA34" s="13">
        <f t="shared" si="7"/>
        <v>412.5</v>
      </c>
      <c r="AB34" s="7">
        <f t="shared" si="8"/>
        <v>192.5</v>
      </c>
      <c r="AC34" s="93">
        <f t="shared" si="9"/>
        <v>1540</v>
      </c>
      <c r="AD34" s="92">
        <v>0.0</v>
      </c>
      <c r="AE34" s="88">
        <v>850.0</v>
      </c>
      <c r="AF34" s="95">
        <v>0.7</v>
      </c>
      <c r="AG34" s="13">
        <f t="shared" si="10"/>
        <v>595</v>
      </c>
      <c r="AH34" s="13">
        <f t="shared" si="11"/>
        <v>850</v>
      </c>
      <c r="AI34" s="13">
        <f t="shared" si="12"/>
        <v>0</v>
      </c>
      <c r="AJ34" s="17">
        <f t="shared" si="13"/>
        <v>0</v>
      </c>
      <c r="AK34" s="97">
        <v>0.0</v>
      </c>
      <c r="AL34" s="95">
        <v>3.2</v>
      </c>
      <c r="AM34" s="95">
        <v>21.0</v>
      </c>
      <c r="AN34" s="13">
        <f t="shared" si="14"/>
        <v>67.2</v>
      </c>
      <c r="AO34" s="13">
        <f t="shared" si="15"/>
        <v>3.2</v>
      </c>
      <c r="AP34" s="13">
        <f t="shared" si="16"/>
        <v>0</v>
      </c>
      <c r="AQ34" s="17">
        <f t="shared" si="17"/>
        <v>0</v>
      </c>
      <c r="AR34" s="101">
        <v>2.8</v>
      </c>
      <c r="AS34" s="124">
        <v>22000.0</v>
      </c>
      <c r="AT34" s="17">
        <f t="shared" si="18"/>
        <v>616</v>
      </c>
      <c r="AU34" s="101">
        <v>28.0</v>
      </c>
      <c r="AV34" s="124">
        <v>7000.0</v>
      </c>
      <c r="AW34" s="17">
        <f t="shared" si="19"/>
        <v>1960</v>
      </c>
      <c r="AX34" s="96">
        <f t="shared" si="20"/>
        <v>158172</v>
      </c>
      <c r="AY34" s="204">
        <f t="shared" si="21"/>
        <v>101.3273543</v>
      </c>
      <c r="AZ34" s="17">
        <f t="shared" si="22"/>
        <v>135872</v>
      </c>
      <c r="BA34" s="172"/>
    </row>
    <row r="35" ht="15.75" customHeight="1">
      <c r="A35" s="14"/>
      <c r="B35" s="33" t="s">
        <v>14</v>
      </c>
      <c r="C35" s="33" t="s">
        <v>238</v>
      </c>
      <c r="D35" s="7" t="s">
        <v>239</v>
      </c>
      <c r="E35" s="7" t="s">
        <v>187</v>
      </c>
      <c r="F35" s="7" t="s">
        <v>51</v>
      </c>
      <c r="G35" s="32" t="s">
        <v>242</v>
      </c>
      <c r="H35" s="88">
        <v>7.0</v>
      </c>
      <c r="I35" s="7">
        <v>3000.0</v>
      </c>
      <c r="J35" s="7"/>
      <c r="L35" s="7"/>
      <c r="M35" s="7">
        <v>1.0</v>
      </c>
      <c r="N35" s="7">
        <f t="shared" si="1"/>
        <v>3000</v>
      </c>
      <c r="O35" s="88">
        <v>8.0</v>
      </c>
      <c r="P35" s="7">
        <v>21.0</v>
      </c>
      <c r="Q35" s="88">
        <v>20.0</v>
      </c>
      <c r="R35" s="88">
        <v>550.0</v>
      </c>
      <c r="S35" s="7">
        <f t="shared" si="2"/>
        <v>88000</v>
      </c>
      <c r="T35" s="7">
        <f t="shared" si="3"/>
        <v>24.2</v>
      </c>
      <c r="U35" s="60">
        <f t="shared" si="4"/>
        <v>13310</v>
      </c>
      <c r="V35" s="125">
        <f t="shared" si="5"/>
        <v>18480</v>
      </c>
      <c r="W35" s="97">
        <v>0.0</v>
      </c>
      <c r="X35" s="88">
        <v>550.0</v>
      </c>
      <c r="Y35" s="88">
        <v>1.4</v>
      </c>
      <c r="Z35" s="13">
        <f t="shared" si="6"/>
        <v>770</v>
      </c>
      <c r="AA35" s="13">
        <f t="shared" si="7"/>
        <v>550</v>
      </c>
      <c r="AB35" s="7">
        <f t="shared" si="8"/>
        <v>0</v>
      </c>
      <c r="AC35" s="93">
        <f t="shared" si="9"/>
        <v>0</v>
      </c>
      <c r="AD35" s="92">
        <v>0.0</v>
      </c>
      <c r="AE35" s="88">
        <v>850.0</v>
      </c>
      <c r="AF35" s="95">
        <v>0.7</v>
      </c>
      <c r="AG35" s="13">
        <f t="shared" si="10"/>
        <v>595</v>
      </c>
      <c r="AH35" s="13">
        <f t="shared" si="11"/>
        <v>850</v>
      </c>
      <c r="AI35" s="13">
        <f t="shared" si="12"/>
        <v>0</v>
      </c>
      <c r="AJ35" s="17">
        <f t="shared" si="13"/>
        <v>0</v>
      </c>
      <c r="AK35" s="96">
        <v>70.0</v>
      </c>
      <c r="AL35" s="95">
        <v>3.2</v>
      </c>
      <c r="AM35" s="95">
        <v>21.0</v>
      </c>
      <c r="AN35" s="13">
        <f t="shared" si="14"/>
        <v>67.2</v>
      </c>
      <c r="AO35" s="13">
        <f t="shared" si="15"/>
        <v>0.96</v>
      </c>
      <c r="AP35" s="13">
        <f t="shared" si="16"/>
        <v>47.04</v>
      </c>
      <c r="AQ35" s="17">
        <f t="shared" si="17"/>
        <v>376.32</v>
      </c>
      <c r="AR35" s="101">
        <v>2.8</v>
      </c>
      <c r="AS35" s="124">
        <v>22000.0</v>
      </c>
      <c r="AT35" s="17">
        <f t="shared" si="18"/>
        <v>616</v>
      </c>
      <c r="AU35" s="101">
        <v>28.0</v>
      </c>
      <c r="AV35" s="124">
        <v>7000.0</v>
      </c>
      <c r="AW35" s="17">
        <f t="shared" si="19"/>
        <v>1960</v>
      </c>
      <c r="AX35" s="96">
        <f t="shared" si="20"/>
        <v>150026.24</v>
      </c>
      <c r="AY35" s="204">
        <f t="shared" si="21"/>
        <v>714.4106667</v>
      </c>
      <c r="AZ35" s="17">
        <f t="shared" si="22"/>
        <v>147026.24</v>
      </c>
      <c r="BA35" s="172"/>
    </row>
    <row r="36" ht="15.75" customHeight="1">
      <c r="A36" s="14"/>
      <c r="B36" s="33" t="s">
        <v>14</v>
      </c>
      <c r="C36" s="33" t="s">
        <v>238</v>
      </c>
      <c r="D36" s="7" t="s">
        <v>243</v>
      </c>
      <c r="E36" s="7" t="s">
        <v>244</v>
      </c>
      <c r="F36" s="7" t="s">
        <v>51</v>
      </c>
      <c r="G36" s="32" t="s">
        <v>247</v>
      </c>
      <c r="H36" s="88">
        <v>7.0</v>
      </c>
      <c r="I36" s="13">
        <v>2500.0</v>
      </c>
      <c r="J36" s="13"/>
      <c r="K36" s="13"/>
      <c r="L36" s="13"/>
      <c r="M36" s="7">
        <v>1.0</v>
      </c>
      <c r="N36" s="7">
        <f t="shared" si="1"/>
        <v>2500</v>
      </c>
      <c r="O36" s="88">
        <v>8.0</v>
      </c>
      <c r="P36" s="7">
        <v>21.0</v>
      </c>
      <c r="Q36" s="88">
        <v>20.0</v>
      </c>
      <c r="R36" s="88">
        <v>550.0</v>
      </c>
      <c r="S36" s="7">
        <f t="shared" si="2"/>
        <v>88000</v>
      </c>
      <c r="T36" s="7">
        <f t="shared" si="3"/>
        <v>24.2</v>
      </c>
      <c r="U36" s="60">
        <f t="shared" si="4"/>
        <v>13310</v>
      </c>
      <c r="V36" s="125">
        <f t="shared" si="5"/>
        <v>18480</v>
      </c>
      <c r="W36" s="97">
        <v>0.0</v>
      </c>
      <c r="X36" s="88">
        <v>550.0</v>
      </c>
      <c r="Y36" s="88">
        <v>1.4</v>
      </c>
      <c r="Z36" s="13">
        <f t="shared" si="6"/>
        <v>770</v>
      </c>
      <c r="AA36" s="13">
        <f t="shared" si="7"/>
        <v>550</v>
      </c>
      <c r="AB36" s="7">
        <f t="shared" si="8"/>
        <v>0</v>
      </c>
      <c r="AC36" s="93">
        <f t="shared" si="9"/>
        <v>0</v>
      </c>
      <c r="AD36" s="92">
        <v>0.0</v>
      </c>
      <c r="AE36" s="88">
        <v>850.0</v>
      </c>
      <c r="AF36" s="95">
        <v>0.7</v>
      </c>
      <c r="AG36" s="13">
        <f t="shared" si="10"/>
        <v>595</v>
      </c>
      <c r="AH36" s="13">
        <f t="shared" si="11"/>
        <v>850</v>
      </c>
      <c r="AI36" s="13">
        <f t="shared" si="12"/>
        <v>0</v>
      </c>
      <c r="AJ36" s="17">
        <f t="shared" si="13"/>
        <v>0</v>
      </c>
      <c r="AK36" s="96">
        <v>70.0</v>
      </c>
      <c r="AL36" s="95">
        <v>3.2</v>
      </c>
      <c r="AM36" s="95">
        <v>21.0</v>
      </c>
      <c r="AN36" s="13">
        <f t="shared" si="14"/>
        <v>67.2</v>
      </c>
      <c r="AO36" s="13">
        <f t="shared" si="15"/>
        <v>0.96</v>
      </c>
      <c r="AP36" s="13">
        <f t="shared" si="16"/>
        <v>47.04</v>
      </c>
      <c r="AQ36" s="17">
        <f t="shared" si="17"/>
        <v>376.32</v>
      </c>
      <c r="AR36" s="101">
        <v>2.8</v>
      </c>
      <c r="AS36" s="124">
        <v>22000.0</v>
      </c>
      <c r="AT36" s="17">
        <f t="shared" si="18"/>
        <v>616</v>
      </c>
      <c r="AU36" s="101">
        <v>28.0</v>
      </c>
      <c r="AV36" s="124">
        <v>7000.0</v>
      </c>
      <c r="AW36" s="17">
        <f t="shared" si="19"/>
        <v>1960</v>
      </c>
      <c r="AX36" s="96">
        <f t="shared" si="20"/>
        <v>150026.24</v>
      </c>
      <c r="AY36" s="204">
        <f t="shared" si="21"/>
        <v>857.2928</v>
      </c>
      <c r="AZ36" s="17">
        <f t="shared" si="22"/>
        <v>147526.24</v>
      </c>
      <c r="BA36" s="172"/>
    </row>
    <row r="37" ht="15.75" customHeight="1">
      <c r="A37" s="14"/>
      <c r="B37" s="33" t="s">
        <v>14</v>
      </c>
      <c r="C37" s="33" t="s">
        <v>585</v>
      </c>
      <c r="D37" s="7" t="s">
        <v>262</v>
      </c>
      <c r="E37" s="7" t="s">
        <v>172</v>
      </c>
      <c r="F37" s="7" t="s">
        <v>51</v>
      </c>
      <c r="G37" s="32" t="s">
        <v>524</v>
      </c>
      <c r="H37" s="88">
        <v>7.0</v>
      </c>
      <c r="I37" s="13">
        <v>9500.0</v>
      </c>
      <c r="J37" s="13"/>
      <c r="K37" s="13"/>
      <c r="L37" s="13"/>
      <c r="M37" s="7">
        <v>1.0</v>
      </c>
      <c r="N37" s="7">
        <f t="shared" si="1"/>
        <v>9500</v>
      </c>
      <c r="O37" s="88">
        <v>8.0</v>
      </c>
      <c r="P37" s="7">
        <v>21.0</v>
      </c>
      <c r="Q37" s="88">
        <v>20.0</v>
      </c>
      <c r="R37" s="88">
        <v>550.0</v>
      </c>
      <c r="S37" s="7">
        <f t="shared" si="2"/>
        <v>88000</v>
      </c>
      <c r="T37" s="7">
        <f t="shared" si="3"/>
        <v>24.2</v>
      </c>
      <c r="U37" s="60">
        <f t="shared" si="4"/>
        <v>13310</v>
      </c>
      <c r="V37" s="125">
        <f t="shared" si="5"/>
        <v>18480</v>
      </c>
      <c r="W37" s="96">
        <v>25.0</v>
      </c>
      <c r="X37" s="88">
        <v>550.0</v>
      </c>
      <c r="Y37" s="88">
        <v>1.4</v>
      </c>
      <c r="Z37" s="13">
        <f t="shared" si="6"/>
        <v>770</v>
      </c>
      <c r="AA37" s="13">
        <f t="shared" si="7"/>
        <v>412.5</v>
      </c>
      <c r="AB37" s="7">
        <f t="shared" si="8"/>
        <v>192.5</v>
      </c>
      <c r="AC37" s="93">
        <f t="shared" si="9"/>
        <v>1540</v>
      </c>
      <c r="AD37" s="92">
        <v>0.0</v>
      </c>
      <c r="AE37" s="88">
        <v>850.0</v>
      </c>
      <c r="AF37" s="95">
        <v>0.7</v>
      </c>
      <c r="AG37" s="13">
        <f t="shared" si="10"/>
        <v>595</v>
      </c>
      <c r="AH37" s="13">
        <f t="shared" si="11"/>
        <v>850</v>
      </c>
      <c r="AI37" s="13">
        <f t="shared" si="12"/>
        <v>0</v>
      </c>
      <c r="AJ37" s="17">
        <f t="shared" si="13"/>
        <v>0</v>
      </c>
      <c r="AK37" s="96">
        <v>70.0</v>
      </c>
      <c r="AL37" s="95">
        <v>3.2</v>
      </c>
      <c r="AM37" s="95">
        <v>21.0</v>
      </c>
      <c r="AN37" s="13">
        <f t="shared" si="14"/>
        <v>67.2</v>
      </c>
      <c r="AO37" s="13">
        <f t="shared" si="15"/>
        <v>0.96</v>
      </c>
      <c r="AP37" s="13">
        <f t="shared" si="16"/>
        <v>47.04</v>
      </c>
      <c r="AQ37" s="17">
        <f t="shared" si="17"/>
        <v>376.32</v>
      </c>
      <c r="AR37" s="101">
        <v>2.8</v>
      </c>
      <c r="AS37" s="124">
        <v>22000.0</v>
      </c>
      <c r="AT37" s="17">
        <f t="shared" si="18"/>
        <v>616</v>
      </c>
      <c r="AU37" s="101">
        <v>28.0</v>
      </c>
      <c r="AV37" s="124">
        <v>7000.0</v>
      </c>
      <c r="AW37" s="17">
        <f t="shared" si="19"/>
        <v>1960</v>
      </c>
      <c r="AX37" s="96">
        <f t="shared" si="20"/>
        <v>160806.24</v>
      </c>
      <c r="AY37" s="204">
        <f t="shared" si="21"/>
        <v>241.8138947</v>
      </c>
      <c r="AZ37" s="17">
        <f t="shared" si="22"/>
        <v>151306.24</v>
      </c>
      <c r="BA37" s="172"/>
    </row>
    <row r="38" ht="15.75" customHeight="1">
      <c r="A38" s="14"/>
      <c r="B38" s="33" t="s">
        <v>14</v>
      </c>
      <c r="C38" s="33" t="s">
        <v>533</v>
      </c>
      <c r="D38" s="132" t="s">
        <v>587</v>
      </c>
      <c r="E38" s="7" t="s">
        <v>512</v>
      </c>
      <c r="F38" s="7" t="s">
        <v>51</v>
      </c>
      <c r="G38" s="32" t="s">
        <v>535</v>
      </c>
      <c r="H38" s="88">
        <v>7.0</v>
      </c>
      <c r="I38" s="220">
        <v>7500.0</v>
      </c>
      <c r="J38" s="13"/>
      <c r="K38" s="13"/>
      <c r="L38" s="13"/>
      <c r="M38" s="7">
        <v>1.0</v>
      </c>
      <c r="N38" s="7">
        <f t="shared" si="1"/>
        <v>7500</v>
      </c>
      <c r="O38" s="88">
        <v>8.0</v>
      </c>
      <c r="P38" s="7">
        <v>21.0</v>
      </c>
      <c r="Q38" s="88">
        <v>20.0</v>
      </c>
      <c r="R38" s="88">
        <v>550.0</v>
      </c>
      <c r="S38" s="7">
        <f t="shared" si="2"/>
        <v>88000</v>
      </c>
      <c r="T38" s="7">
        <f t="shared" si="3"/>
        <v>24.2</v>
      </c>
      <c r="U38" s="60">
        <f t="shared" si="4"/>
        <v>13310</v>
      </c>
      <c r="V38" s="125">
        <f t="shared" si="5"/>
        <v>18480</v>
      </c>
      <c r="W38" s="96">
        <v>25.0</v>
      </c>
      <c r="X38" s="88">
        <v>550.0</v>
      </c>
      <c r="Y38" s="88">
        <v>1.4</v>
      </c>
      <c r="Z38" s="13">
        <f t="shared" si="6"/>
        <v>770</v>
      </c>
      <c r="AA38" s="13">
        <f t="shared" si="7"/>
        <v>412.5</v>
      </c>
      <c r="AB38" s="7">
        <f t="shared" si="8"/>
        <v>192.5</v>
      </c>
      <c r="AC38" s="93">
        <f t="shared" si="9"/>
        <v>1540</v>
      </c>
      <c r="AD38" s="92">
        <v>0.0</v>
      </c>
      <c r="AE38" s="88">
        <v>850.0</v>
      </c>
      <c r="AF38" s="95">
        <v>0.7</v>
      </c>
      <c r="AG38" s="13">
        <f t="shared" si="10"/>
        <v>595</v>
      </c>
      <c r="AH38" s="13">
        <f t="shared" si="11"/>
        <v>850</v>
      </c>
      <c r="AI38" s="13">
        <f t="shared" si="12"/>
        <v>0</v>
      </c>
      <c r="AJ38" s="17">
        <f t="shared" si="13"/>
        <v>0</v>
      </c>
      <c r="AK38" s="96">
        <v>70.0</v>
      </c>
      <c r="AL38" s="95">
        <v>3.2</v>
      </c>
      <c r="AM38" s="95">
        <v>21.0</v>
      </c>
      <c r="AN38" s="13">
        <f t="shared" si="14"/>
        <v>67.2</v>
      </c>
      <c r="AO38" s="13">
        <f t="shared" si="15"/>
        <v>0.96</v>
      </c>
      <c r="AP38" s="13">
        <f t="shared" si="16"/>
        <v>47.04</v>
      </c>
      <c r="AQ38" s="17">
        <f t="shared" si="17"/>
        <v>376.32</v>
      </c>
      <c r="AR38" s="101">
        <v>2.8</v>
      </c>
      <c r="AS38" s="124">
        <v>22000.0</v>
      </c>
      <c r="AT38" s="17">
        <f t="shared" si="18"/>
        <v>616</v>
      </c>
      <c r="AU38" s="101">
        <v>28.0</v>
      </c>
      <c r="AV38" s="124">
        <v>7000.0</v>
      </c>
      <c r="AW38" s="17">
        <f t="shared" si="19"/>
        <v>1960</v>
      </c>
      <c r="AX38" s="96">
        <f t="shared" si="20"/>
        <v>160806.24</v>
      </c>
      <c r="AY38" s="204">
        <f t="shared" si="21"/>
        <v>306.2976</v>
      </c>
      <c r="AZ38" s="17">
        <f t="shared" si="22"/>
        <v>153306.24</v>
      </c>
      <c r="BA38" s="172"/>
    </row>
    <row r="39" ht="15.75" customHeight="1">
      <c r="A39" s="21"/>
      <c r="B39" s="104" t="s">
        <v>502</v>
      </c>
      <c r="C39" s="104" t="s">
        <v>638</v>
      </c>
      <c r="D39" s="106" t="s">
        <v>537</v>
      </c>
      <c r="E39" s="106" t="s">
        <v>233</v>
      </c>
      <c r="F39" s="106" t="s">
        <v>51</v>
      </c>
      <c r="G39" s="24" t="s">
        <v>237</v>
      </c>
      <c r="H39" s="108">
        <v>7.0</v>
      </c>
      <c r="I39" s="22">
        <v>750.0</v>
      </c>
      <c r="J39" s="22"/>
      <c r="K39" s="22"/>
      <c r="L39" s="22"/>
      <c r="M39" s="106">
        <v>1.0</v>
      </c>
      <c r="N39" s="106">
        <f t="shared" si="1"/>
        <v>750</v>
      </c>
      <c r="O39" s="108">
        <v>8.0</v>
      </c>
      <c r="P39" s="106">
        <v>21.0</v>
      </c>
      <c r="Q39" s="108">
        <v>20.0</v>
      </c>
      <c r="R39" s="108">
        <v>550.0</v>
      </c>
      <c r="S39" s="106">
        <f t="shared" si="2"/>
        <v>88000</v>
      </c>
      <c r="T39" s="106">
        <f t="shared" si="3"/>
        <v>24.2</v>
      </c>
      <c r="U39" s="110">
        <f t="shared" si="4"/>
        <v>13310</v>
      </c>
      <c r="V39" s="113">
        <f t="shared" si="5"/>
        <v>18480</v>
      </c>
      <c r="W39" s="116">
        <v>0.0</v>
      </c>
      <c r="X39" s="108">
        <v>550.0</v>
      </c>
      <c r="Y39" s="108">
        <v>1.4</v>
      </c>
      <c r="Z39" s="22">
        <f t="shared" si="6"/>
        <v>770</v>
      </c>
      <c r="AA39" s="22">
        <f t="shared" si="7"/>
        <v>550</v>
      </c>
      <c r="AB39" s="106">
        <f t="shared" si="8"/>
        <v>0</v>
      </c>
      <c r="AC39" s="115">
        <f t="shared" si="9"/>
        <v>0</v>
      </c>
      <c r="AD39" s="128">
        <v>50.0</v>
      </c>
      <c r="AE39" s="108">
        <v>850.0</v>
      </c>
      <c r="AF39" s="117">
        <v>0.7</v>
      </c>
      <c r="AG39" s="22">
        <f t="shared" si="10"/>
        <v>595</v>
      </c>
      <c r="AH39" s="22">
        <f t="shared" si="11"/>
        <v>425</v>
      </c>
      <c r="AI39" s="22">
        <f t="shared" si="12"/>
        <v>297.5</v>
      </c>
      <c r="AJ39" s="25">
        <f t="shared" si="13"/>
        <v>2380</v>
      </c>
      <c r="AK39" s="116">
        <v>0.0</v>
      </c>
      <c r="AL39" s="117">
        <v>3.2</v>
      </c>
      <c r="AM39" s="117">
        <v>21.0</v>
      </c>
      <c r="AN39" s="22">
        <f t="shared" si="14"/>
        <v>67.2</v>
      </c>
      <c r="AO39" s="22">
        <f t="shared" si="15"/>
        <v>3.2</v>
      </c>
      <c r="AP39" s="22">
        <f t="shared" si="16"/>
        <v>0</v>
      </c>
      <c r="AQ39" s="25">
        <f t="shared" si="17"/>
        <v>0</v>
      </c>
      <c r="AR39" s="128">
        <v>2.8</v>
      </c>
      <c r="AS39" s="129">
        <v>22000.0</v>
      </c>
      <c r="AT39" s="25">
        <f t="shared" si="18"/>
        <v>616</v>
      </c>
      <c r="AU39" s="150">
        <v>0.0</v>
      </c>
      <c r="AV39" s="129">
        <v>7000.0</v>
      </c>
      <c r="AW39" s="25">
        <f t="shared" si="19"/>
        <v>0</v>
      </c>
      <c r="AX39" s="118">
        <f t="shared" si="20"/>
        <v>150332</v>
      </c>
      <c r="AY39" s="210">
        <f t="shared" si="21"/>
        <v>2863.466667</v>
      </c>
      <c r="AZ39" s="25">
        <f t="shared" si="22"/>
        <v>149582</v>
      </c>
      <c r="BA39" s="182"/>
    </row>
    <row r="40" ht="15.75" customHeight="1">
      <c r="A40" s="71" t="s">
        <v>270</v>
      </c>
      <c r="B40" s="72" t="s">
        <v>14</v>
      </c>
      <c r="C40" s="74" t="s">
        <v>271</v>
      </c>
      <c r="D40" s="74" t="s">
        <v>272</v>
      </c>
      <c r="E40" s="74" t="s">
        <v>273</v>
      </c>
      <c r="F40" s="74" t="s">
        <v>51</v>
      </c>
      <c r="G40" s="169" t="s">
        <v>276</v>
      </c>
      <c r="H40" s="76">
        <v>7.0</v>
      </c>
      <c r="I40" s="9">
        <v>15750.0</v>
      </c>
      <c r="J40" s="9"/>
      <c r="K40" s="9"/>
      <c r="L40" s="9"/>
      <c r="M40" s="74">
        <v>1.0</v>
      </c>
      <c r="N40" s="74">
        <f t="shared" si="1"/>
        <v>15750</v>
      </c>
      <c r="O40" s="76">
        <v>8.0</v>
      </c>
      <c r="P40" s="221">
        <v>0.0</v>
      </c>
      <c r="Q40" s="76">
        <v>20.0</v>
      </c>
      <c r="R40" s="76">
        <v>550.0</v>
      </c>
      <c r="S40" s="74">
        <f t="shared" si="2"/>
        <v>88000</v>
      </c>
      <c r="T40" s="74">
        <f t="shared" si="3"/>
        <v>20</v>
      </c>
      <c r="U40" s="78">
        <f t="shared" si="4"/>
        <v>11000</v>
      </c>
      <c r="V40" s="80">
        <f t="shared" si="5"/>
        <v>0</v>
      </c>
      <c r="W40" s="84">
        <v>38.0</v>
      </c>
      <c r="X40" s="76">
        <v>550.0</v>
      </c>
      <c r="Y40" s="76">
        <v>1.4</v>
      </c>
      <c r="Z40" s="9">
        <f t="shared" si="6"/>
        <v>770</v>
      </c>
      <c r="AA40" s="9">
        <f t="shared" si="7"/>
        <v>341</v>
      </c>
      <c r="AB40" s="74">
        <f t="shared" si="8"/>
        <v>292.6</v>
      </c>
      <c r="AC40" s="81">
        <f t="shared" si="9"/>
        <v>2340.8</v>
      </c>
      <c r="AD40" s="122">
        <v>24.0</v>
      </c>
      <c r="AE40" s="76">
        <v>850.0</v>
      </c>
      <c r="AF40" s="83">
        <v>0.7</v>
      </c>
      <c r="AG40" s="9">
        <f t="shared" si="10"/>
        <v>595</v>
      </c>
      <c r="AH40" s="9">
        <f t="shared" si="11"/>
        <v>646</v>
      </c>
      <c r="AI40" s="9">
        <f t="shared" si="12"/>
        <v>142.8</v>
      </c>
      <c r="AJ40" s="12">
        <f t="shared" si="13"/>
        <v>1142.4</v>
      </c>
      <c r="AK40" s="123">
        <v>29.5</v>
      </c>
      <c r="AL40" s="83">
        <v>3.2</v>
      </c>
      <c r="AM40" s="83">
        <v>21.0</v>
      </c>
      <c r="AN40" s="9">
        <f t="shared" si="14"/>
        <v>67.2</v>
      </c>
      <c r="AO40" s="9">
        <f t="shared" si="15"/>
        <v>2.256</v>
      </c>
      <c r="AP40" s="9">
        <f t="shared" si="16"/>
        <v>19.824</v>
      </c>
      <c r="AQ40" s="12">
        <f t="shared" si="17"/>
        <v>158.592</v>
      </c>
      <c r="AR40" s="222">
        <v>0.0</v>
      </c>
      <c r="AS40" s="131">
        <v>22000.0</v>
      </c>
      <c r="AT40" s="12">
        <f t="shared" si="18"/>
        <v>0</v>
      </c>
      <c r="AU40" s="222">
        <v>0.0</v>
      </c>
      <c r="AV40" s="131">
        <v>7000.0</v>
      </c>
      <c r="AW40" s="12">
        <f t="shared" si="19"/>
        <v>0</v>
      </c>
      <c r="AX40" s="84">
        <f t="shared" si="20"/>
        <v>25492.544</v>
      </c>
      <c r="AY40" s="199">
        <f t="shared" si="21"/>
        <v>23.12248889</v>
      </c>
      <c r="AZ40" s="12">
        <f t="shared" si="22"/>
        <v>9742.544</v>
      </c>
      <c r="BA40" s="171"/>
    </row>
    <row r="41" ht="15.75" customHeight="1">
      <c r="A41" s="14"/>
      <c r="B41" s="33" t="s">
        <v>14</v>
      </c>
      <c r="C41" s="7" t="s">
        <v>271</v>
      </c>
      <c r="D41" s="7" t="s">
        <v>277</v>
      </c>
      <c r="E41" s="7" t="s">
        <v>273</v>
      </c>
      <c r="F41" s="7" t="s">
        <v>51</v>
      </c>
      <c r="G41" s="32" t="s">
        <v>279</v>
      </c>
      <c r="H41" s="88">
        <v>7.0</v>
      </c>
      <c r="I41" s="13">
        <v>9500.0</v>
      </c>
      <c r="J41" s="13"/>
      <c r="K41" s="13"/>
      <c r="L41" s="13"/>
      <c r="M41" s="7">
        <v>1.0</v>
      </c>
      <c r="N41" s="7">
        <f t="shared" si="1"/>
        <v>9500</v>
      </c>
      <c r="O41" s="88">
        <v>8.0</v>
      </c>
      <c r="P41" s="223">
        <v>0.0</v>
      </c>
      <c r="Q41" s="88">
        <v>20.0</v>
      </c>
      <c r="R41" s="88">
        <v>550.0</v>
      </c>
      <c r="S41" s="7">
        <f t="shared" si="2"/>
        <v>88000</v>
      </c>
      <c r="T41" s="7">
        <f t="shared" si="3"/>
        <v>20</v>
      </c>
      <c r="U41" s="60">
        <f t="shared" si="4"/>
        <v>11000</v>
      </c>
      <c r="V41" s="125">
        <f t="shared" si="5"/>
        <v>0</v>
      </c>
      <c r="W41" s="96">
        <v>38.0</v>
      </c>
      <c r="X41" s="88">
        <v>550.0</v>
      </c>
      <c r="Y41" s="88">
        <v>1.4</v>
      </c>
      <c r="Z41" s="13">
        <f t="shared" si="6"/>
        <v>770</v>
      </c>
      <c r="AA41" s="13">
        <f t="shared" si="7"/>
        <v>341</v>
      </c>
      <c r="AB41" s="7">
        <f t="shared" si="8"/>
        <v>292.6</v>
      </c>
      <c r="AC41" s="93">
        <f t="shared" si="9"/>
        <v>2340.8</v>
      </c>
      <c r="AD41" s="101">
        <v>24.0</v>
      </c>
      <c r="AE41" s="88">
        <v>850.0</v>
      </c>
      <c r="AF41" s="95">
        <v>0.7</v>
      </c>
      <c r="AG41" s="13">
        <f t="shared" si="10"/>
        <v>595</v>
      </c>
      <c r="AH41" s="13">
        <f t="shared" si="11"/>
        <v>646</v>
      </c>
      <c r="AI41" s="13">
        <f t="shared" si="12"/>
        <v>142.8</v>
      </c>
      <c r="AJ41" s="17">
        <f t="shared" si="13"/>
        <v>1142.4</v>
      </c>
      <c r="AK41" s="94">
        <v>29.5</v>
      </c>
      <c r="AL41" s="95">
        <v>3.2</v>
      </c>
      <c r="AM41" s="95">
        <v>21.0</v>
      </c>
      <c r="AN41" s="13">
        <f t="shared" si="14"/>
        <v>67.2</v>
      </c>
      <c r="AO41" s="13">
        <f t="shared" si="15"/>
        <v>2.256</v>
      </c>
      <c r="AP41" s="13">
        <f t="shared" si="16"/>
        <v>19.824</v>
      </c>
      <c r="AQ41" s="17">
        <f t="shared" si="17"/>
        <v>158.592</v>
      </c>
      <c r="AR41" s="218">
        <v>0.0</v>
      </c>
      <c r="AS41" s="124">
        <v>22000.0</v>
      </c>
      <c r="AT41" s="17">
        <f t="shared" si="18"/>
        <v>0</v>
      </c>
      <c r="AU41" s="218">
        <v>0.0</v>
      </c>
      <c r="AV41" s="124">
        <v>7000.0</v>
      </c>
      <c r="AW41" s="17">
        <f t="shared" si="19"/>
        <v>0</v>
      </c>
      <c r="AX41" s="96">
        <f t="shared" si="20"/>
        <v>25492.544</v>
      </c>
      <c r="AY41" s="204">
        <f t="shared" si="21"/>
        <v>38.33465263</v>
      </c>
      <c r="AZ41" s="17">
        <f t="shared" si="22"/>
        <v>15992.544</v>
      </c>
      <c r="BA41" s="172"/>
    </row>
    <row r="42" ht="15.75" customHeight="1">
      <c r="A42" s="14"/>
      <c r="B42" s="33" t="s">
        <v>14</v>
      </c>
      <c r="C42" s="7" t="s">
        <v>541</v>
      </c>
      <c r="D42" s="7" t="s">
        <v>280</v>
      </c>
      <c r="E42" s="7" t="s">
        <v>281</v>
      </c>
      <c r="F42" s="7" t="s">
        <v>51</v>
      </c>
      <c r="G42" s="32" t="s">
        <v>284</v>
      </c>
      <c r="H42" s="88">
        <v>7.0</v>
      </c>
      <c r="I42" s="13">
        <v>1800.0</v>
      </c>
      <c r="J42" s="13"/>
      <c r="K42" s="13"/>
      <c r="L42" s="13"/>
      <c r="M42" s="7">
        <v>1.0</v>
      </c>
      <c r="N42" s="7">
        <f t="shared" si="1"/>
        <v>1800</v>
      </c>
      <c r="O42" s="88">
        <v>8.0</v>
      </c>
      <c r="P42" s="223">
        <v>0.0</v>
      </c>
      <c r="Q42" s="88">
        <v>20.0</v>
      </c>
      <c r="R42" s="88">
        <v>550.0</v>
      </c>
      <c r="S42" s="7">
        <f t="shared" si="2"/>
        <v>88000</v>
      </c>
      <c r="T42" s="7">
        <f t="shared" si="3"/>
        <v>20</v>
      </c>
      <c r="U42" s="60">
        <f t="shared" si="4"/>
        <v>11000</v>
      </c>
      <c r="V42" s="125">
        <f t="shared" si="5"/>
        <v>0</v>
      </c>
      <c r="W42" s="96">
        <v>38.0</v>
      </c>
      <c r="X42" s="88">
        <v>550.0</v>
      </c>
      <c r="Y42" s="88">
        <v>1.4</v>
      </c>
      <c r="Z42" s="13">
        <f t="shared" si="6"/>
        <v>770</v>
      </c>
      <c r="AA42" s="13">
        <f t="shared" si="7"/>
        <v>341</v>
      </c>
      <c r="AB42" s="7">
        <f t="shared" si="8"/>
        <v>292.6</v>
      </c>
      <c r="AC42" s="93">
        <f t="shared" si="9"/>
        <v>2340.8</v>
      </c>
      <c r="AD42" s="101">
        <v>24.0</v>
      </c>
      <c r="AE42" s="88">
        <v>850.0</v>
      </c>
      <c r="AF42" s="95">
        <v>0.7</v>
      </c>
      <c r="AG42" s="13">
        <f t="shared" si="10"/>
        <v>595</v>
      </c>
      <c r="AH42" s="13">
        <f t="shared" si="11"/>
        <v>646</v>
      </c>
      <c r="AI42" s="13">
        <f t="shared" si="12"/>
        <v>142.8</v>
      </c>
      <c r="AJ42" s="17">
        <f t="shared" si="13"/>
        <v>1142.4</v>
      </c>
      <c r="AK42" s="94">
        <v>29.5</v>
      </c>
      <c r="AL42" s="95">
        <v>3.2</v>
      </c>
      <c r="AM42" s="95">
        <v>21.0</v>
      </c>
      <c r="AN42" s="13">
        <f t="shared" si="14"/>
        <v>67.2</v>
      </c>
      <c r="AO42" s="13">
        <f t="shared" si="15"/>
        <v>2.256</v>
      </c>
      <c r="AP42" s="13">
        <f t="shared" si="16"/>
        <v>19.824</v>
      </c>
      <c r="AQ42" s="17">
        <f t="shared" si="17"/>
        <v>158.592</v>
      </c>
      <c r="AR42" s="218">
        <v>0.0</v>
      </c>
      <c r="AS42" s="124">
        <v>22000.0</v>
      </c>
      <c r="AT42" s="17">
        <f t="shared" si="18"/>
        <v>0</v>
      </c>
      <c r="AU42" s="94">
        <v>6.3</v>
      </c>
      <c r="AV42" s="124">
        <v>7000.0</v>
      </c>
      <c r="AW42" s="17">
        <f t="shared" si="19"/>
        <v>441</v>
      </c>
      <c r="AX42" s="96">
        <f t="shared" si="20"/>
        <v>28579.544</v>
      </c>
      <c r="AY42" s="204">
        <f t="shared" si="21"/>
        <v>226.8217778</v>
      </c>
      <c r="AZ42" s="17">
        <f t="shared" si="22"/>
        <v>26779.544</v>
      </c>
      <c r="BA42" s="172"/>
    </row>
    <row r="43" ht="15.75" customHeight="1">
      <c r="A43" s="14"/>
      <c r="B43" s="33" t="s">
        <v>14</v>
      </c>
      <c r="C43" s="7" t="s">
        <v>271</v>
      </c>
      <c r="D43" s="7" t="s">
        <v>295</v>
      </c>
      <c r="E43" s="224" t="s">
        <v>296</v>
      </c>
      <c r="F43" s="7" t="s">
        <v>51</v>
      </c>
      <c r="G43" s="32" t="s">
        <v>299</v>
      </c>
      <c r="H43" s="88">
        <v>7.0</v>
      </c>
      <c r="I43" s="13">
        <v>6500.0</v>
      </c>
      <c r="J43" s="13"/>
      <c r="K43" s="13"/>
      <c r="L43" s="13"/>
      <c r="M43" s="7">
        <v>1.0</v>
      </c>
      <c r="N43" s="7">
        <f t="shared" si="1"/>
        <v>6500</v>
      </c>
      <c r="O43" s="88">
        <v>8.0</v>
      </c>
      <c r="P43" s="223">
        <v>0.0</v>
      </c>
      <c r="Q43" s="88">
        <v>20.0</v>
      </c>
      <c r="R43" s="88">
        <v>550.0</v>
      </c>
      <c r="S43" s="7">
        <f t="shared" si="2"/>
        <v>88000</v>
      </c>
      <c r="T43" s="7">
        <f t="shared" si="3"/>
        <v>20</v>
      </c>
      <c r="U43" s="60">
        <f t="shared" si="4"/>
        <v>11000</v>
      </c>
      <c r="V43" s="125">
        <f t="shared" si="5"/>
        <v>0</v>
      </c>
      <c r="W43" s="96">
        <v>38.0</v>
      </c>
      <c r="X43" s="88">
        <v>550.0</v>
      </c>
      <c r="Y43" s="88">
        <v>1.4</v>
      </c>
      <c r="Z43" s="13">
        <f t="shared" si="6"/>
        <v>770</v>
      </c>
      <c r="AA43" s="13">
        <f t="shared" si="7"/>
        <v>341</v>
      </c>
      <c r="AB43" s="7">
        <f t="shared" si="8"/>
        <v>292.6</v>
      </c>
      <c r="AC43" s="93">
        <f t="shared" si="9"/>
        <v>2340.8</v>
      </c>
      <c r="AD43" s="101">
        <v>24.0</v>
      </c>
      <c r="AE43" s="88">
        <v>850.0</v>
      </c>
      <c r="AF43" s="95">
        <v>0.7</v>
      </c>
      <c r="AG43" s="13">
        <f t="shared" si="10"/>
        <v>595</v>
      </c>
      <c r="AH43" s="13">
        <f t="shared" si="11"/>
        <v>646</v>
      </c>
      <c r="AI43" s="13">
        <f t="shared" si="12"/>
        <v>142.8</v>
      </c>
      <c r="AJ43" s="17">
        <f t="shared" si="13"/>
        <v>1142.4</v>
      </c>
      <c r="AK43" s="94">
        <v>29.5</v>
      </c>
      <c r="AL43" s="95">
        <v>3.2</v>
      </c>
      <c r="AM43" s="95">
        <v>21.0</v>
      </c>
      <c r="AN43" s="13">
        <f t="shared" si="14"/>
        <v>67.2</v>
      </c>
      <c r="AO43" s="13">
        <f t="shared" si="15"/>
        <v>2.256</v>
      </c>
      <c r="AP43" s="13">
        <f t="shared" si="16"/>
        <v>19.824</v>
      </c>
      <c r="AQ43" s="17">
        <f t="shared" si="17"/>
        <v>158.592</v>
      </c>
      <c r="AR43" s="218">
        <v>0.0</v>
      </c>
      <c r="AS43" s="124">
        <v>22000.0</v>
      </c>
      <c r="AT43" s="17">
        <f t="shared" si="18"/>
        <v>0</v>
      </c>
      <c r="AU43" s="94">
        <v>6.3</v>
      </c>
      <c r="AV43" s="124">
        <v>7000.0</v>
      </c>
      <c r="AW43" s="17">
        <f t="shared" si="19"/>
        <v>441</v>
      </c>
      <c r="AX43" s="96">
        <f t="shared" si="20"/>
        <v>28579.544</v>
      </c>
      <c r="AY43" s="204">
        <f t="shared" si="21"/>
        <v>62.81218462</v>
      </c>
      <c r="AZ43" s="17">
        <f t="shared" si="22"/>
        <v>22079.544</v>
      </c>
      <c r="BA43" s="172"/>
    </row>
    <row r="44" ht="15.75" customHeight="1">
      <c r="A44" s="14"/>
      <c r="B44" s="33" t="s">
        <v>14</v>
      </c>
      <c r="C44" s="7" t="s">
        <v>300</v>
      </c>
      <c r="D44" s="7" t="s">
        <v>301</v>
      </c>
      <c r="E44" s="7" t="s">
        <v>302</v>
      </c>
      <c r="F44" s="7" t="s">
        <v>51</v>
      </c>
      <c r="G44" s="32" t="s">
        <v>305</v>
      </c>
      <c r="H44" s="88">
        <v>7.0</v>
      </c>
      <c r="I44" s="13">
        <v>12000.0</v>
      </c>
      <c r="J44" s="13"/>
      <c r="K44" s="13"/>
      <c r="L44" s="13"/>
      <c r="M44" s="7">
        <v>1.0</v>
      </c>
      <c r="N44" s="7">
        <f t="shared" si="1"/>
        <v>12000</v>
      </c>
      <c r="O44" s="88">
        <v>8.0</v>
      </c>
      <c r="P44" s="223">
        <v>0.0</v>
      </c>
      <c r="Q44" s="88">
        <v>20.0</v>
      </c>
      <c r="R44" s="88">
        <v>550.0</v>
      </c>
      <c r="S44" s="7">
        <f t="shared" si="2"/>
        <v>88000</v>
      </c>
      <c r="T44" s="7">
        <f t="shared" si="3"/>
        <v>20</v>
      </c>
      <c r="U44" s="60">
        <f t="shared" si="4"/>
        <v>11000</v>
      </c>
      <c r="V44" s="125">
        <f t="shared" si="5"/>
        <v>0</v>
      </c>
      <c r="W44" s="96">
        <v>38.0</v>
      </c>
      <c r="X44" s="88">
        <v>550.0</v>
      </c>
      <c r="Y44" s="88">
        <v>1.4</v>
      </c>
      <c r="Z44" s="13">
        <f t="shared" si="6"/>
        <v>770</v>
      </c>
      <c r="AA44" s="13">
        <f t="shared" si="7"/>
        <v>341</v>
      </c>
      <c r="AB44" s="7">
        <f t="shared" si="8"/>
        <v>292.6</v>
      </c>
      <c r="AC44" s="93">
        <f t="shared" si="9"/>
        <v>2340.8</v>
      </c>
      <c r="AD44" s="101">
        <v>24.0</v>
      </c>
      <c r="AE44" s="88">
        <v>850.0</v>
      </c>
      <c r="AF44" s="95">
        <v>0.7</v>
      </c>
      <c r="AG44" s="13">
        <f t="shared" si="10"/>
        <v>595</v>
      </c>
      <c r="AH44" s="13">
        <f t="shared" si="11"/>
        <v>646</v>
      </c>
      <c r="AI44" s="13">
        <f t="shared" si="12"/>
        <v>142.8</v>
      </c>
      <c r="AJ44" s="17">
        <f t="shared" si="13"/>
        <v>1142.4</v>
      </c>
      <c r="AK44" s="94">
        <v>29.5</v>
      </c>
      <c r="AL44" s="95">
        <v>3.2</v>
      </c>
      <c r="AM44" s="95">
        <v>21.0</v>
      </c>
      <c r="AN44" s="13">
        <f t="shared" si="14"/>
        <v>67.2</v>
      </c>
      <c r="AO44" s="13">
        <f t="shared" si="15"/>
        <v>2.256</v>
      </c>
      <c r="AP44" s="13">
        <f t="shared" si="16"/>
        <v>19.824</v>
      </c>
      <c r="AQ44" s="17">
        <f t="shared" si="17"/>
        <v>158.592</v>
      </c>
      <c r="AR44" s="218">
        <v>0.0</v>
      </c>
      <c r="AS44" s="124">
        <v>22000.0</v>
      </c>
      <c r="AT44" s="17">
        <f t="shared" si="18"/>
        <v>0</v>
      </c>
      <c r="AU44" s="94">
        <v>6.3</v>
      </c>
      <c r="AV44" s="124">
        <v>7000.0</v>
      </c>
      <c r="AW44" s="17">
        <f t="shared" si="19"/>
        <v>441</v>
      </c>
      <c r="AX44" s="96">
        <f t="shared" si="20"/>
        <v>28579.544</v>
      </c>
      <c r="AY44" s="204">
        <f t="shared" si="21"/>
        <v>34.02326667</v>
      </c>
      <c r="AZ44" s="17">
        <f t="shared" si="22"/>
        <v>16579.544</v>
      </c>
      <c r="BA44" s="172"/>
    </row>
    <row r="45" ht="15.75" customHeight="1">
      <c r="A45" s="14"/>
      <c r="B45" s="33" t="s">
        <v>14</v>
      </c>
      <c r="C45" s="7" t="s">
        <v>289</v>
      </c>
      <c r="D45" s="7" t="s">
        <v>306</v>
      </c>
      <c r="E45" s="7" t="s">
        <v>548</v>
      </c>
      <c r="F45" s="7" t="s">
        <v>51</v>
      </c>
      <c r="G45" s="32" t="s">
        <v>200</v>
      </c>
      <c r="H45" s="88">
        <v>7.0</v>
      </c>
      <c r="I45" s="13">
        <v>7000.0</v>
      </c>
      <c r="J45" s="13"/>
      <c r="K45" s="13"/>
      <c r="L45" s="13"/>
      <c r="M45" s="7">
        <v>1.0</v>
      </c>
      <c r="N45" s="7">
        <f t="shared" si="1"/>
        <v>7000</v>
      </c>
      <c r="O45" s="88">
        <v>8.0</v>
      </c>
      <c r="P45" s="223">
        <v>0.0</v>
      </c>
      <c r="Q45" s="88">
        <v>20.0</v>
      </c>
      <c r="R45" s="88">
        <v>550.0</v>
      </c>
      <c r="S45" s="7">
        <f t="shared" si="2"/>
        <v>88000</v>
      </c>
      <c r="T45" s="7">
        <f t="shared" si="3"/>
        <v>20</v>
      </c>
      <c r="U45" s="60">
        <f t="shared" si="4"/>
        <v>11000</v>
      </c>
      <c r="V45" s="125">
        <f t="shared" si="5"/>
        <v>0</v>
      </c>
      <c r="W45" s="96">
        <v>38.0</v>
      </c>
      <c r="X45" s="88">
        <v>550.0</v>
      </c>
      <c r="Y45" s="88">
        <v>1.4</v>
      </c>
      <c r="Z45" s="13">
        <f t="shared" si="6"/>
        <v>770</v>
      </c>
      <c r="AA45" s="13">
        <f t="shared" si="7"/>
        <v>341</v>
      </c>
      <c r="AB45" s="7">
        <f t="shared" si="8"/>
        <v>292.6</v>
      </c>
      <c r="AC45" s="93">
        <f t="shared" si="9"/>
        <v>2340.8</v>
      </c>
      <c r="AD45" s="101">
        <v>24.0</v>
      </c>
      <c r="AE45" s="88">
        <v>850.0</v>
      </c>
      <c r="AF45" s="95">
        <v>0.7</v>
      </c>
      <c r="AG45" s="13">
        <f t="shared" si="10"/>
        <v>595</v>
      </c>
      <c r="AH45" s="13">
        <f t="shared" si="11"/>
        <v>646</v>
      </c>
      <c r="AI45" s="13">
        <f t="shared" si="12"/>
        <v>142.8</v>
      </c>
      <c r="AJ45" s="17">
        <f t="shared" si="13"/>
        <v>1142.4</v>
      </c>
      <c r="AK45" s="94">
        <v>29.5</v>
      </c>
      <c r="AL45" s="95">
        <v>3.2</v>
      </c>
      <c r="AM45" s="95">
        <v>21.0</v>
      </c>
      <c r="AN45" s="13">
        <f t="shared" si="14"/>
        <v>67.2</v>
      </c>
      <c r="AO45" s="13">
        <f t="shared" si="15"/>
        <v>2.256</v>
      </c>
      <c r="AP45" s="13">
        <f t="shared" si="16"/>
        <v>19.824</v>
      </c>
      <c r="AQ45" s="17">
        <f t="shared" si="17"/>
        <v>158.592</v>
      </c>
      <c r="AR45" s="218">
        <v>0.0</v>
      </c>
      <c r="AS45" s="124">
        <v>22000.0</v>
      </c>
      <c r="AT45" s="17">
        <f t="shared" si="18"/>
        <v>0</v>
      </c>
      <c r="AU45" s="218">
        <v>0.0</v>
      </c>
      <c r="AV45" s="124">
        <v>7000.0</v>
      </c>
      <c r="AW45" s="17">
        <f t="shared" si="19"/>
        <v>0</v>
      </c>
      <c r="AX45" s="96">
        <f t="shared" si="20"/>
        <v>25492.544</v>
      </c>
      <c r="AY45" s="204">
        <f t="shared" si="21"/>
        <v>52.0256</v>
      </c>
      <c r="AZ45" s="17">
        <f t="shared" si="22"/>
        <v>18492.544</v>
      </c>
      <c r="BA45" s="172"/>
    </row>
    <row r="46" ht="15.75" customHeight="1">
      <c r="A46" s="14"/>
      <c r="B46" s="33" t="s">
        <v>14</v>
      </c>
      <c r="C46" s="7" t="s">
        <v>289</v>
      </c>
      <c r="D46" s="7" t="s">
        <v>310</v>
      </c>
      <c r="E46" s="7" t="s">
        <v>311</v>
      </c>
      <c r="F46" s="7" t="s">
        <v>51</v>
      </c>
      <c r="G46" s="32" t="s">
        <v>247</v>
      </c>
      <c r="H46" s="88">
        <v>7.0</v>
      </c>
      <c r="I46" s="13">
        <v>2500.0</v>
      </c>
      <c r="J46" s="13"/>
      <c r="K46" s="13"/>
      <c r="L46" s="13"/>
      <c r="M46" s="7">
        <v>1.0</v>
      </c>
      <c r="N46" s="7">
        <f t="shared" si="1"/>
        <v>2500</v>
      </c>
      <c r="O46" s="88">
        <v>8.0</v>
      </c>
      <c r="P46" s="223">
        <v>0.0</v>
      </c>
      <c r="Q46" s="88">
        <v>20.0</v>
      </c>
      <c r="R46" s="88">
        <v>550.0</v>
      </c>
      <c r="S46" s="7">
        <f t="shared" si="2"/>
        <v>88000</v>
      </c>
      <c r="T46" s="7">
        <f t="shared" si="3"/>
        <v>20</v>
      </c>
      <c r="U46" s="60">
        <f t="shared" si="4"/>
        <v>11000</v>
      </c>
      <c r="V46" s="125">
        <f t="shared" si="5"/>
        <v>0</v>
      </c>
      <c r="W46" s="96">
        <v>38.0</v>
      </c>
      <c r="X46" s="88">
        <v>550.0</v>
      </c>
      <c r="Y46" s="88">
        <v>1.4</v>
      </c>
      <c r="Z46" s="13">
        <f t="shared" si="6"/>
        <v>770</v>
      </c>
      <c r="AA46" s="13">
        <f t="shared" si="7"/>
        <v>341</v>
      </c>
      <c r="AB46" s="7">
        <f t="shared" si="8"/>
        <v>292.6</v>
      </c>
      <c r="AC46" s="93">
        <f t="shared" si="9"/>
        <v>2340.8</v>
      </c>
      <c r="AD46" s="101">
        <v>24.0</v>
      </c>
      <c r="AE46" s="88">
        <v>850.0</v>
      </c>
      <c r="AF46" s="95">
        <v>0.7</v>
      </c>
      <c r="AG46" s="13">
        <f t="shared" si="10"/>
        <v>595</v>
      </c>
      <c r="AH46" s="13">
        <f t="shared" si="11"/>
        <v>646</v>
      </c>
      <c r="AI46" s="13">
        <f t="shared" si="12"/>
        <v>142.8</v>
      </c>
      <c r="AJ46" s="17">
        <f t="shared" si="13"/>
        <v>1142.4</v>
      </c>
      <c r="AK46" s="94">
        <v>29.5</v>
      </c>
      <c r="AL46" s="95">
        <v>3.2</v>
      </c>
      <c r="AM46" s="95">
        <v>21.0</v>
      </c>
      <c r="AN46" s="13">
        <f t="shared" si="14"/>
        <v>67.2</v>
      </c>
      <c r="AO46" s="13">
        <f t="shared" si="15"/>
        <v>2.256</v>
      </c>
      <c r="AP46" s="13">
        <f t="shared" si="16"/>
        <v>19.824</v>
      </c>
      <c r="AQ46" s="17">
        <f t="shared" si="17"/>
        <v>158.592</v>
      </c>
      <c r="AR46" s="218">
        <v>0.0</v>
      </c>
      <c r="AS46" s="124">
        <v>22000.0</v>
      </c>
      <c r="AT46" s="17">
        <f t="shared" si="18"/>
        <v>0</v>
      </c>
      <c r="AU46" s="218">
        <v>0.0</v>
      </c>
      <c r="AV46" s="124">
        <v>7000.0</v>
      </c>
      <c r="AW46" s="17">
        <f t="shared" si="19"/>
        <v>0</v>
      </c>
      <c r="AX46" s="96">
        <f t="shared" si="20"/>
        <v>25492.544</v>
      </c>
      <c r="AY46" s="204">
        <f t="shared" si="21"/>
        <v>145.67168</v>
      </c>
      <c r="AZ46" s="17">
        <f t="shared" si="22"/>
        <v>22992.544</v>
      </c>
      <c r="BA46" s="172"/>
    </row>
    <row r="47" ht="15.75" customHeight="1">
      <c r="A47" s="14"/>
      <c r="B47" s="33" t="s">
        <v>14</v>
      </c>
      <c r="C47" s="7" t="s">
        <v>271</v>
      </c>
      <c r="D47" s="7" t="s">
        <v>314</v>
      </c>
      <c r="E47" s="7" t="s">
        <v>315</v>
      </c>
      <c r="F47" s="7" t="s">
        <v>51</v>
      </c>
      <c r="G47" s="32" t="s">
        <v>318</v>
      </c>
      <c r="H47" s="88">
        <v>7.0</v>
      </c>
      <c r="I47" s="13">
        <v>165.0</v>
      </c>
      <c r="J47" s="13"/>
      <c r="K47" s="13"/>
      <c r="L47" s="13"/>
      <c r="M47" s="7">
        <v>1.0</v>
      </c>
      <c r="N47" s="7">
        <f t="shared" si="1"/>
        <v>165</v>
      </c>
      <c r="O47" s="88">
        <v>8.0</v>
      </c>
      <c r="P47" s="223">
        <v>0.0</v>
      </c>
      <c r="Q47" s="88">
        <v>20.0</v>
      </c>
      <c r="R47" s="88">
        <v>550.0</v>
      </c>
      <c r="S47" s="7">
        <f t="shared" si="2"/>
        <v>88000</v>
      </c>
      <c r="T47" s="7">
        <f t="shared" si="3"/>
        <v>20</v>
      </c>
      <c r="U47" s="60">
        <f t="shared" si="4"/>
        <v>11000</v>
      </c>
      <c r="V47" s="125">
        <f t="shared" si="5"/>
        <v>0</v>
      </c>
      <c r="W47" s="96">
        <v>38.0</v>
      </c>
      <c r="X47" s="88">
        <v>550.0</v>
      </c>
      <c r="Y47" s="88">
        <v>1.4</v>
      </c>
      <c r="Z47" s="13">
        <f t="shared" si="6"/>
        <v>770</v>
      </c>
      <c r="AA47" s="13">
        <f t="shared" si="7"/>
        <v>341</v>
      </c>
      <c r="AB47" s="7">
        <f t="shared" si="8"/>
        <v>292.6</v>
      </c>
      <c r="AC47" s="93">
        <f t="shared" si="9"/>
        <v>2340.8</v>
      </c>
      <c r="AD47" s="101">
        <v>24.0</v>
      </c>
      <c r="AE47" s="88">
        <v>850.0</v>
      </c>
      <c r="AF47" s="95">
        <v>0.7</v>
      </c>
      <c r="AG47" s="13">
        <f t="shared" si="10"/>
        <v>595</v>
      </c>
      <c r="AH47" s="13">
        <f t="shared" si="11"/>
        <v>646</v>
      </c>
      <c r="AI47" s="13">
        <f t="shared" si="12"/>
        <v>142.8</v>
      </c>
      <c r="AJ47" s="17">
        <f t="shared" si="13"/>
        <v>1142.4</v>
      </c>
      <c r="AK47" s="94">
        <v>29.5</v>
      </c>
      <c r="AL47" s="95">
        <v>3.2</v>
      </c>
      <c r="AM47" s="95">
        <v>21.0</v>
      </c>
      <c r="AN47" s="13">
        <f t="shared" si="14"/>
        <v>67.2</v>
      </c>
      <c r="AO47" s="13">
        <f t="shared" si="15"/>
        <v>2.256</v>
      </c>
      <c r="AP47" s="13">
        <f t="shared" si="16"/>
        <v>19.824</v>
      </c>
      <c r="AQ47" s="17">
        <f t="shared" si="17"/>
        <v>158.592</v>
      </c>
      <c r="AR47" s="218">
        <v>0.0</v>
      </c>
      <c r="AS47" s="124">
        <v>22000.0</v>
      </c>
      <c r="AT47" s="17">
        <f t="shared" si="18"/>
        <v>0</v>
      </c>
      <c r="AU47" s="218">
        <v>0.0</v>
      </c>
      <c r="AV47" s="124">
        <v>7000.0</v>
      </c>
      <c r="AW47" s="17">
        <f t="shared" si="19"/>
        <v>0</v>
      </c>
      <c r="AX47" s="96">
        <f t="shared" si="20"/>
        <v>25492.544</v>
      </c>
      <c r="AY47" s="204">
        <f t="shared" si="21"/>
        <v>2207.146667</v>
      </c>
      <c r="AZ47" s="17">
        <f t="shared" si="22"/>
        <v>25327.544</v>
      </c>
      <c r="BA47" s="172"/>
    </row>
    <row r="48" ht="15.75" customHeight="1">
      <c r="A48" s="14"/>
      <c r="B48" s="33" t="s">
        <v>14</v>
      </c>
      <c r="C48" s="7" t="s">
        <v>271</v>
      </c>
      <c r="D48" s="7" t="s">
        <v>319</v>
      </c>
      <c r="E48" s="7" t="s">
        <v>315</v>
      </c>
      <c r="F48" s="7" t="s">
        <v>51</v>
      </c>
      <c r="G48" s="32" t="s">
        <v>322</v>
      </c>
      <c r="H48" s="88">
        <v>7.0</v>
      </c>
      <c r="I48" s="13">
        <v>900.0</v>
      </c>
      <c r="J48" s="13"/>
      <c r="K48" s="13"/>
      <c r="L48" s="13"/>
      <c r="M48" s="7">
        <v>1.0</v>
      </c>
      <c r="N48" s="7">
        <f t="shared" si="1"/>
        <v>900</v>
      </c>
      <c r="O48" s="88">
        <v>8.0</v>
      </c>
      <c r="P48" s="223">
        <v>0.0</v>
      </c>
      <c r="Q48" s="88">
        <v>20.0</v>
      </c>
      <c r="R48" s="88">
        <v>550.0</v>
      </c>
      <c r="S48" s="7">
        <f t="shared" si="2"/>
        <v>88000</v>
      </c>
      <c r="T48" s="7">
        <f t="shared" si="3"/>
        <v>20</v>
      </c>
      <c r="U48" s="60">
        <f t="shared" si="4"/>
        <v>11000</v>
      </c>
      <c r="V48" s="125">
        <f t="shared" si="5"/>
        <v>0</v>
      </c>
      <c r="W48" s="96">
        <v>38.0</v>
      </c>
      <c r="X48" s="88">
        <v>550.0</v>
      </c>
      <c r="Y48" s="88">
        <v>1.4</v>
      </c>
      <c r="Z48" s="13">
        <f t="shared" si="6"/>
        <v>770</v>
      </c>
      <c r="AA48" s="13">
        <f t="shared" si="7"/>
        <v>341</v>
      </c>
      <c r="AB48" s="7">
        <f t="shared" si="8"/>
        <v>292.6</v>
      </c>
      <c r="AC48" s="93">
        <f t="shared" si="9"/>
        <v>2340.8</v>
      </c>
      <c r="AD48" s="101">
        <v>24.0</v>
      </c>
      <c r="AE48" s="88">
        <v>850.0</v>
      </c>
      <c r="AF48" s="95">
        <v>0.7</v>
      </c>
      <c r="AG48" s="13">
        <f t="shared" si="10"/>
        <v>595</v>
      </c>
      <c r="AH48" s="13">
        <f t="shared" si="11"/>
        <v>646</v>
      </c>
      <c r="AI48" s="13">
        <f t="shared" si="12"/>
        <v>142.8</v>
      </c>
      <c r="AJ48" s="17">
        <f t="shared" si="13"/>
        <v>1142.4</v>
      </c>
      <c r="AK48" s="94">
        <v>29.5</v>
      </c>
      <c r="AL48" s="95">
        <v>3.2</v>
      </c>
      <c r="AM48" s="95">
        <v>21.0</v>
      </c>
      <c r="AN48" s="13">
        <f t="shared" si="14"/>
        <v>67.2</v>
      </c>
      <c r="AO48" s="13">
        <f t="shared" si="15"/>
        <v>2.256</v>
      </c>
      <c r="AP48" s="13">
        <f t="shared" si="16"/>
        <v>19.824</v>
      </c>
      <c r="AQ48" s="17">
        <f t="shared" si="17"/>
        <v>158.592</v>
      </c>
      <c r="AR48" s="218">
        <v>0.0</v>
      </c>
      <c r="AS48" s="124">
        <v>22000.0</v>
      </c>
      <c r="AT48" s="17">
        <f t="shared" si="18"/>
        <v>0</v>
      </c>
      <c r="AU48" s="218">
        <v>0.0</v>
      </c>
      <c r="AV48" s="124">
        <v>7000.0</v>
      </c>
      <c r="AW48" s="17">
        <f t="shared" si="19"/>
        <v>0</v>
      </c>
      <c r="AX48" s="96">
        <f t="shared" si="20"/>
        <v>25492.544</v>
      </c>
      <c r="AY48" s="204">
        <f t="shared" si="21"/>
        <v>404.6435556</v>
      </c>
      <c r="AZ48" s="17">
        <f t="shared" si="22"/>
        <v>24592.544</v>
      </c>
      <c r="BA48" s="172"/>
    </row>
    <row r="49" ht="15.75" customHeight="1">
      <c r="A49" s="14"/>
      <c r="B49" s="33" t="s">
        <v>36</v>
      </c>
      <c r="C49" s="7" t="s">
        <v>271</v>
      </c>
      <c r="D49" s="7" t="s">
        <v>546</v>
      </c>
      <c r="E49" s="7" t="s">
        <v>285</v>
      </c>
      <c r="F49" s="7" t="s">
        <v>51</v>
      </c>
      <c r="G49" s="32" t="s">
        <v>44</v>
      </c>
      <c r="H49" s="88">
        <v>7.0</v>
      </c>
      <c r="I49" s="13">
        <v>0.0</v>
      </c>
      <c r="J49" s="13"/>
      <c r="K49" s="13"/>
      <c r="L49" s="13"/>
      <c r="M49" s="7">
        <v>1.0</v>
      </c>
      <c r="N49" s="7">
        <f t="shared" si="1"/>
        <v>0</v>
      </c>
      <c r="O49" s="88">
        <v>8.0</v>
      </c>
      <c r="P49" s="223">
        <v>0.0</v>
      </c>
      <c r="Q49" s="88">
        <v>20.0</v>
      </c>
      <c r="R49" s="88">
        <v>550.0</v>
      </c>
      <c r="S49" s="7">
        <f t="shared" si="2"/>
        <v>88000</v>
      </c>
      <c r="T49" s="7">
        <f t="shared" si="3"/>
        <v>20</v>
      </c>
      <c r="U49" s="60">
        <f t="shared" si="4"/>
        <v>11000</v>
      </c>
      <c r="V49" s="125">
        <f t="shared" si="5"/>
        <v>0</v>
      </c>
      <c r="W49" s="96">
        <v>38.0</v>
      </c>
      <c r="X49" s="88">
        <v>550.0</v>
      </c>
      <c r="Y49" s="88">
        <v>1.4</v>
      </c>
      <c r="Z49" s="13">
        <f t="shared" si="6"/>
        <v>770</v>
      </c>
      <c r="AA49" s="13">
        <f t="shared" si="7"/>
        <v>341</v>
      </c>
      <c r="AB49" s="7">
        <f t="shared" si="8"/>
        <v>292.6</v>
      </c>
      <c r="AC49" s="93">
        <f t="shared" si="9"/>
        <v>2340.8</v>
      </c>
      <c r="AD49" s="101">
        <v>24.0</v>
      </c>
      <c r="AE49" s="88">
        <v>850.0</v>
      </c>
      <c r="AF49" s="95">
        <v>0.7</v>
      </c>
      <c r="AG49" s="13">
        <f t="shared" si="10"/>
        <v>595</v>
      </c>
      <c r="AH49" s="13">
        <f t="shared" si="11"/>
        <v>646</v>
      </c>
      <c r="AI49" s="13">
        <f t="shared" si="12"/>
        <v>142.8</v>
      </c>
      <c r="AJ49" s="17">
        <f t="shared" si="13"/>
        <v>1142.4</v>
      </c>
      <c r="AK49" s="94">
        <v>29.5</v>
      </c>
      <c r="AL49" s="95">
        <v>3.2</v>
      </c>
      <c r="AM49" s="95">
        <v>21.0</v>
      </c>
      <c r="AN49" s="13">
        <f t="shared" si="14"/>
        <v>67.2</v>
      </c>
      <c r="AO49" s="13">
        <f t="shared" si="15"/>
        <v>2.256</v>
      </c>
      <c r="AP49" s="13">
        <f t="shared" si="16"/>
        <v>19.824</v>
      </c>
      <c r="AQ49" s="17">
        <f t="shared" si="17"/>
        <v>158.592</v>
      </c>
      <c r="AR49" s="218">
        <v>0.0</v>
      </c>
      <c r="AS49" s="124">
        <v>22000.0</v>
      </c>
      <c r="AT49" s="17">
        <f t="shared" si="18"/>
        <v>0</v>
      </c>
      <c r="AU49" s="218">
        <v>0.0</v>
      </c>
      <c r="AV49" s="124">
        <v>7000.0</v>
      </c>
      <c r="AW49" s="17">
        <f t="shared" si="19"/>
        <v>0</v>
      </c>
      <c r="AX49" s="96">
        <f t="shared" si="20"/>
        <v>25492.544</v>
      </c>
      <c r="AY49" s="205" t="s">
        <v>547</v>
      </c>
      <c r="AZ49" s="17">
        <f t="shared" si="22"/>
        <v>25492.544</v>
      </c>
      <c r="BA49" s="172"/>
    </row>
    <row r="50" ht="15.75" customHeight="1">
      <c r="A50" s="14"/>
      <c r="B50" s="33" t="s">
        <v>14</v>
      </c>
      <c r="C50" s="7" t="s">
        <v>639</v>
      </c>
      <c r="D50" s="7" t="s">
        <v>640</v>
      </c>
      <c r="E50" s="7" t="s">
        <v>641</v>
      </c>
      <c r="F50" s="7" t="s">
        <v>51</v>
      </c>
      <c r="G50" s="32" t="s">
        <v>294</v>
      </c>
      <c r="H50" s="88">
        <v>7.0</v>
      </c>
      <c r="I50" s="13">
        <v>220.0</v>
      </c>
      <c r="J50" s="13"/>
      <c r="K50" s="13"/>
      <c r="L50" s="13"/>
      <c r="M50" s="7">
        <v>1.0</v>
      </c>
      <c r="N50" s="7">
        <f t="shared" si="1"/>
        <v>220</v>
      </c>
      <c r="O50" s="88">
        <v>8.0</v>
      </c>
      <c r="P50" s="223">
        <v>0.0</v>
      </c>
      <c r="Q50" s="88">
        <v>20.0</v>
      </c>
      <c r="R50" s="88">
        <v>550.0</v>
      </c>
      <c r="S50" s="7">
        <f t="shared" si="2"/>
        <v>88000</v>
      </c>
      <c r="T50" s="7">
        <f t="shared" si="3"/>
        <v>20</v>
      </c>
      <c r="U50" s="60">
        <f t="shared" si="4"/>
        <v>11000</v>
      </c>
      <c r="V50" s="125">
        <f t="shared" si="5"/>
        <v>0</v>
      </c>
      <c r="W50" s="96">
        <v>38.0</v>
      </c>
      <c r="X50" s="88">
        <v>550.0</v>
      </c>
      <c r="Y50" s="88">
        <v>1.4</v>
      </c>
      <c r="Z50" s="13">
        <f t="shared" si="6"/>
        <v>770</v>
      </c>
      <c r="AA50" s="13">
        <f t="shared" si="7"/>
        <v>341</v>
      </c>
      <c r="AB50" s="7">
        <f t="shared" si="8"/>
        <v>292.6</v>
      </c>
      <c r="AC50" s="93">
        <f t="shared" si="9"/>
        <v>2340.8</v>
      </c>
      <c r="AD50" s="101">
        <v>24.0</v>
      </c>
      <c r="AE50" s="88">
        <v>850.0</v>
      </c>
      <c r="AF50" s="95">
        <v>0.7</v>
      </c>
      <c r="AG50" s="13">
        <f t="shared" si="10"/>
        <v>595</v>
      </c>
      <c r="AH50" s="13">
        <f t="shared" si="11"/>
        <v>646</v>
      </c>
      <c r="AI50" s="13">
        <f t="shared" si="12"/>
        <v>142.8</v>
      </c>
      <c r="AJ50" s="17">
        <f t="shared" si="13"/>
        <v>1142.4</v>
      </c>
      <c r="AK50" s="94">
        <v>29.5</v>
      </c>
      <c r="AL50" s="95">
        <v>3.2</v>
      </c>
      <c r="AM50" s="95">
        <v>21.0</v>
      </c>
      <c r="AN50" s="13">
        <f t="shared" si="14"/>
        <v>67.2</v>
      </c>
      <c r="AO50" s="13">
        <f t="shared" si="15"/>
        <v>2.256</v>
      </c>
      <c r="AP50" s="13">
        <f t="shared" si="16"/>
        <v>19.824</v>
      </c>
      <c r="AQ50" s="17">
        <f t="shared" si="17"/>
        <v>158.592</v>
      </c>
      <c r="AR50" s="218">
        <v>0.0</v>
      </c>
      <c r="AS50" s="124">
        <v>22000.0</v>
      </c>
      <c r="AT50" s="17">
        <f t="shared" si="18"/>
        <v>0</v>
      </c>
      <c r="AU50" s="218">
        <v>0.0</v>
      </c>
      <c r="AV50" s="124">
        <v>7000.0</v>
      </c>
      <c r="AW50" s="17">
        <f t="shared" si="19"/>
        <v>0</v>
      </c>
      <c r="AX50" s="96">
        <f t="shared" si="20"/>
        <v>25492.544</v>
      </c>
      <c r="AY50" s="204">
        <f t="shared" ref="AY50:AY55" si="24">(AW50+AT50+AQ50+AJ50+AC50+V50)/(N50)*100</f>
        <v>1655.36</v>
      </c>
      <c r="AZ50" s="17">
        <f t="shared" si="22"/>
        <v>25272.544</v>
      </c>
      <c r="BA50" s="172"/>
    </row>
    <row r="51" ht="15.75" customHeight="1">
      <c r="A51" s="21"/>
      <c r="B51" s="104" t="s">
        <v>14</v>
      </c>
      <c r="C51" s="106" t="s">
        <v>271</v>
      </c>
      <c r="D51" s="106" t="s">
        <v>323</v>
      </c>
      <c r="E51" s="106" t="s">
        <v>324</v>
      </c>
      <c r="F51" s="106" t="s">
        <v>51</v>
      </c>
      <c r="G51" s="181" t="s">
        <v>327</v>
      </c>
      <c r="H51" s="108">
        <v>7.0</v>
      </c>
      <c r="I51" s="22">
        <v>115.0</v>
      </c>
      <c r="J51" s="22"/>
      <c r="K51" s="22"/>
      <c r="L51" s="22"/>
      <c r="M51" s="106">
        <v>1.0</v>
      </c>
      <c r="N51" s="106">
        <f t="shared" si="1"/>
        <v>115</v>
      </c>
      <c r="O51" s="108">
        <v>8.0</v>
      </c>
      <c r="P51" s="225">
        <v>0.0</v>
      </c>
      <c r="Q51" s="108">
        <v>20.0</v>
      </c>
      <c r="R51" s="108">
        <v>550.0</v>
      </c>
      <c r="S51" s="106">
        <f t="shared" si="2"/>
        <v>88000</v>
      </c>
      <c r="T51" s="106">
        <f t="shared" si="3"/>
        <v>20</v>
      </c>
      <c r="U51" s="110">
        <f t="shared" si="4"/>
        <v>11000</v>
      </c>
      <c r="V51" s="113">
        <f t="shared" si="5"/>
        <v>0</v>
      </c>
      <c r="W51" s="118">
        <v>38.0</v>
      </c>
      <c r="X51" s="108">
        <v>550.0</v>
      </c>
      <c r="Y51" s="108">
        <v>1.4</v>
      </c>
      <c r="Z51" s="22">
        <f t="shared" si="6"/>
        <v>770</v>
      </c>
      <c r="AA51" s="22">
        <f t="shared" si="7"/>
        <v>341</v>
      </c>
      <c r="AB51" s="106">
        <f t="shared" si="8"/>
        <v>292.6</v>
      </c>
      <c r="AC51" s="115">
        <f t="shared" si="9"/>
        <v>2340.8</v>
      </c>
      <c r="AD51" s="128">
        <v>24.0</v>
      </c>
      <c r="AE51" s="108">
        <v>850.0</v>
      </c>
      <c r="AF51" s="117">
        <v>0.7</v>
      </c>
      <c r="AG51" s="22">
        <f t="shared" si="10"/>
        <v>595</v>
      </c>
      <c r="AH51" s="22">
        <f t="shared" si="11"/>
        <v>646</v>
      </c>
      <c r="AI51" s="22">
        <f t="shared" si="12"/>
        <v>142.8</v>
      </c>
      <c r="AJ51" s="25">
        <f t="shared" si="13"/>
        <v>1142.4</v>
      </c>
      <c r="AK51" s="130">
        <v>29.5</v>
      </c>
      <c r="AL51" s="117">
        <v>3.2</v>
      </c>
      <c r="AM51" s="117">
        <v>21.0</v>
      </c>
      <c r="AN51" s="22">
        <f t="shared" si="14"/>
        <v>67.2</v>
      </c>
      <c r="AO51" s="22">
        <f t="shared" si="15"/>
        <v>2.256</v>
      </c>
      <c r="AP51" s="22">
        <f t="shared" si="16"/>
        <v>19.824</v>
      </c>
      <c r="AQ51" s="25">
        <f t="shared" si="17"/>
        <v>158.592</v>
      </c>
      <c r="AR51" s="226">
        <v>0.0</v>
      </c>
      <c r="AS51" s="129">
        <v>22000.0</v>
      </c>
      <c r="AT51" s="25">
        <f t="shared" si="18"/>
        <v>0</v>
      </c>
      <c r="AU51" s="226">
        <v>0.0</v>
      </c>
      <c r="AV51" s="129">
        <v>7000.0</v>
      </c>
      <c r="AW51" s="25">
        <f t="shared" si="19"/>
        <v>0</v>
      </c>
      <c r="AX51" s="118">
        <f t="shared" si="20"/>
        <v>25492.544</v>
      </c>
      <c r="AY51" s="210">
        <f t="shared" si="24"/>
        <v>3166.775652</v>
      </c>
      <c r="AZ51" s="25">
        <f t="shared" si="22"/>
        <v>25377.544</v>
      </c>
      <c r="BA51" s="182"/>
    </row>
    <row r="52" ht="15.75" customHeight="1">
      <c r="A52" s="71" t="s">
        <v>328</v>
      </c>
      <c r="B52" s="72" t="s">
        <v>14</v>
      </c>
      <c r="C52" s="72" t="s">
        <v>329</v>
      </c>
      <c r="D52" s="74" t="s">
        <v>330</v>
      </c>
      <c r="E52" s="74" t="s">
        <v>554</v>
      </c>
      <c r="F52" s="74" t="s">
        <v>51</v>
      </c>
      <c r="G52" s="169" t="s">
        <v>555</v>
      </c>
      <c r="H52" s="76">
        <v>7.0</v>
      </c>
      <c r="I52" s="9">
        <v>18000.0</v>
      </c>
      <c r="J52" s="9"/>
      <c r="K52" s="9"/>
      <c r="L52" s="9"/>
      <c r="M52" s="74">
        <v>1.0</v>
      </c>
      <c r="N52" s="74">
        <f t="shared" si="1"/>
        <v>18000</v>
      </c>
      <c r="O52" s="76">
        <v>8.0</v>
      </c>
      <c r="P52" s="221">
        <v>0.0</v>
      </c>
      <c r="Q52" s="76">
        <v>20.0</v>
      </c>
      <c r="R52" s="76">
        <v>550.0</v>
      </c>
      <c r="S52" s="74">
        <f t="shared" si="2"/>
        <v>88000</v>
      </c>
      <c r="T52" s="74">
        <f t="shared" si="3"/>
        <v>20</v>
      </c>
      <c r="U52" s="78">
        <f t="shared" si="4"/>
        <v>11000</v>
      </c>
      <c r="V52" s="80">
        <f t="shared" si="5"/>
        <v>0</v>
      </c>
      <c r="W52" s="170">
        <v>0.0</v>
      </c>
      <c r="X52" s="76">
        <v>550.0</v>
      </c>
      <c r="Y52" s="76">
        <v>1.4</v>
      </c>
      <c r="Z52" s="9">
        <f t="shared" si="6"/>
        <v>770</v>
      </c>
      <c r="AA52" s="9">
        <f t="shared" si="7"/>
        <v>550</v>
      </c>
      <c r="AB52" s="74">
        <f t="shared" si="8"/>
        <v>0</v>
      </c>
      <c r="AC52" s="81">
        <f t="shared" si="9"/>
        <v>0</v>
      </c>
      <c r="AD52" s="170">
        <v>0.0</v>
      </c>
      <c r="AE52" s="76">
        <v>850.0</v>
      </c>
      <c r="AF52" s="83">
        <v>0.7</v>
      </c>
      <c r="AG52" s="9">
        <f t="shared" si="10"/>
        <v>595</v>
      </c>
      <c r="AH52" s="9">
        <f t="shared" si="11"/>
        <v>850</v>
      </c>
      <c r="AI52" s="9">
        <f t="shared" si="12"/>
        <v>0</v>
      </c>
      <c r="AJ52" s="12">
        <f t="shared" si="13"/>
        <v>0</v>
      </c>
      <c r="AK52" s="84">
        <v>53.0</v>
      </c>
      <c r="AL52" s="83">
        <v>3.2</v>
      </c>
      <c r="AM52" s="83">
        <v>21.0</v>
      </c>
      <c r="AN52" s="9">
        <f t="shared" si="14"/>
        <v>67.2</v>
      </c>
      <c r="AO52" s="9">
        <f t="shared" si="15"/>
        <v>1.504</v>
      </c>
      <c r="AP52" s="9">
        <f t="shared" si="16"/>
        <v>35.616</v>
      </c>
      <c r="AQ52" s="12">
        <f t="shared" si="17"/>
        <v>284.928</v>
      </c>
      <c r="AR52" s="123">
        <v>52.5</v>
      </c>
      <c r="AS52" s="131">
        <v>22000.0</v>
      </c>
      <c r="AT52" s="12">
        <f t="shared" si="18"/>
        <v>11550</v>
      </c>
      <c r="AU52" s="122">
        <v>26.0</v>
      </c>
      <c r="AV52" s="131">
        <v>7000.0</v>
      </c>
      <c r="AW52" s="12">
        <f t="shared" si="19"/>
        <v>1820</v>
      </c>
      <c r="AX52" s="84">
        <f t="shared" si="20"/>
        <v>95584.496</v>
      </c>
      <c r="AY52" s="199">
        <f t="shared" si="24"/>
        <v>75.86071111</v>
      </c>
      <c r="AZ52" s="12">
        <f t="shared" si="22"/>
        <v>77584.496</v>
      </c>
      <c r="BA52" s="171"/>
    </row>
    <row r="53" ht="15.75" customHeight="1">
      <c r="A53" s="14"/>
      <c r="B53" s="33" t="s">
        <v>14</v>
      </c>
      <c r="C53" s="33" t="s">
        <v>329</v>
      </c>
      <c r="D53" s="7" t="s">
        <v>567</v>
      </c>
      <c r="E53" s="7" t="s">
        <v>609</v>
      </c>
      <c r="F53" s="7" t="s">
        <v>51</v>
      </c>
      <c r="G53" s="32" t="s">
        <v>569</v>
      </c>
      <c r="H53" s="88">
        <v>7.0</v>
      </c>
      <c r="I53" s="13"/>
      <c r="J53" s="13"/>
      <c r="K53" s="13">
        <v>415.0</v>
      </c>
      <c r="L53" s="7">
        <f>K53*12</f>
        <v>4980</v>
      </c>
      <c r="M53" s="7">
        <v>1.0</v>
      </c>
      <c r="N53" s="7">
        <f t="shared" si="1"/>
        <v>34860</v>
      </c>
      <c r="O53" s="88">
        <v>8.0</v>
      </c>
      <c r="P53" s="223">
        <v>0.0</v>
      </c>
      <c r="Q53" s="88">
        <v>20.0</v>
      </c>
      <c r="R53" s="88">
        <v>550.0</v>
      </c>
      <c r="S53" s="7">
        <f t="shared" si="2"/>
        <v>88000</v>
      </c>
      <c r="T53" s="7">
        <f t="shared" si="3"/>
        <v>20</v>
      </c>
      <c r="U53" s="60">
        <f t="shared" si="4"/>
        <v>11000</v>
      </c>
      <c r="V53" s="125">
        <f t="shared" si="5"/>
        <v>0</v>
      </c>
      <c r="W53" s="92">
        <v>0.0</v>
      </c>
      <c r="X53" s="88">
        <v>550.0</v>
      </c>
      <c r="Y53" s="88">
        <v>1.4</v>
      </c>
      <c r="Z53" s="13">
        <f t="shared" si="6"/>
        <v>770</v>
      </c>
      <c r="AA53" s="13">
        <f t="shared" si="7"/>
        <v>550</v>
      </c>
      <c r="AB53" s="7">
        <f t="shared" si="8"/>
        <v>0</v>
      </c>
      <c r="AC53" s="93">
        <f t="shared" si="9"/>
        <v>0</v>
      </c>
      <c r="AD53" s="92">
        <v>0.0</v>
      </c>
      <c r="AE53" s="88">
        <v>850.0</v>
      </c>
      <c r="AF53" s="95">
        <v>0.7</v>
      </c>
      <c r="AG53" s="13">
        <f t="shared" si="10"/>
        <v>595</v>
      </c>
      <c r="AH53" s="13">
        <f t="shared" si="11"/>
        <v>850</v>
      </c>
      <c r="AI53" s="13">
        <f t="shared" si="12"/>
        <v>0</v>
      </c>
      <c r="AJ53" s="17">
        <f t="shared" si="13"/>
        <v>0</v>
      </c>
      <c r="AK53" s="96">
        <v>53.0</v>
      </c>
      <c r="AL53" s="95">
        <v>3.2</v>
      </c>
      <c r="AM53" s="95">
        <v>21.0</v>
      </c>
      <c r="AN53" s="13">
        <f t="shared" si="14"/>
        <v>67.2</v>
      </c>
      <c r="AO53" s="13">
        <f t="shared" si="15"/>
        <v>1.504</v>
      </c>
      <c r="AP53" s="13">
        <f t="shared" si="16"/>
        <v>35.616</v>
      </c>
      <c r="AQ53" s="17">
        <f t="shared" si="17"/>
        <v>284.928</v>
      </c>
      <c r="AR53" s="94">
        <v>52.5</v>
      </c>
      <c r="AS53" s="124">
        <v>22000.0</v>
      </c>
      <c r="AT53" s="17">
        <f t="shared" si="18"/>
        <v>11550</v>
      </c>
      <c r="AU53" s="101">
        <v>26.0</v>
      </c>
      <c r="AV53" s="124">
        <v>7000.0</v>
      </c>
      <c r="AW53" s="17">
        <f t="shared" si="19"/>
        <v>1820</v>
      </c>
      <c r="AX53" s="96">
        <f t="shared" si="20"/>
        <v>95584.496</v>
      </c>
      <c r="AY53" s="204">
        <f t="shared" si="24"/>
        <v>39.17076305</v>
      </c>
      <c r="AZ53" s="17">
        <f t="shared" si="22"/>
        <v>60724.496</v>
      </c>
      <c r="BA53" s="172"/>
    </row>
    <row r="54" ht="15.75" customHeight="1">
      <c r="A54" s="14"/>
      <c r="B54" s="33" t="s">
        <v>14</v>
      </c>
      <c r="C54" s="33" t="s">
        <v>238</v>
      </c>
      <c r="D54" s="7" t="s">
        <v>382</v>
      </c>
      <c r="E54" s="7" t="s">
        <v>187</v>
      </c>
      <c r="F54" s="7" t="s">
        <v>51</v>
      </c>
      <c r="G54" s="32" t="s">
        <v>591</v>
      </c>
      <c r="H54" s="88">
        <v>7.0</v>
      </c>
      <c r="I54" s="13">
        <v>30000.0</v>
      </c>
      <c r="J54" s="13"/>
      <c r="K54" s="13"/>
      <c r="L54" s="13"/>
      <c r="M54" s="7">
        <v>1.0</v>
      </c>
      <c r="N54" s="7">
        <f t="shared" si="1"/>
        <v>30000</v>
      </c>
      <c r="O54" s="88">
        <v>8.0</v>
      </c>
      <c r="P54" s="127">
        <v>20.0</v>
      </c>
      <c r="Q54" s="88">
        <v>20.0</v>
      </c>
      <c r="R54" s="88">
        <v>550.0</v>
      </c>
      <c r="S54" s="7">
        <f t="shared" si="2"/>
        <v>88000</v>
      </c>
      <c r="T54" s="7">
        <f t="shared" si="3"/>
        <v>24</v>
      </c>
      <c r="U54" s="60">
        <f t="shared" si="4"/>
        <v>13200</v>
      </c>
      <c r="V54" s="125">
        <f t="shared" si="5"/>
        <v>17600</v>
      </c>
      <c r="W54" s="92">
        <v>0.0</v>
      </c>
      <c r="X54" s="88">
        <v>550.0</v>
      </c>
      <c r="Y54" s="88">
        <v>1.4</v>
      </c>
      <c r="Z54" s="13">
        <f t="shared" si="6"/>
        <v>770</v>
      </c>
      <c r="AA54" s="13">
        <f t="shared" si="7"/>
        <v>550</v>
      </c>
      <c r="AB54" s="7">
        <f t="shared" si="8"/>
        <v>0</v>
      </c>
      <c r="AC54" s="93">
        <f t="shared" si="9"/>
        <v>0</v>
      </c>
      <c r="AD54" s="92">
        <v>0.0</v>
      </c>
      <c r="AE54" s="88">
        <v>850.0</v>
      </c>
      <c r="AF54" s="95">
        <v>0.7</v>
      </c>
      <c r="AG54" s="13">
        <f t="shared" si="10"/>
        <v>595</v>
      </c>
      <c r="AH54" s="13">
        <f t="shared" si="11"/>
        <v>850</v>
      </c>
      <c r="AI54" s="13">
        <f t="shared" si="12"/>
        <v>0</v>
      </c>
      <c r="AJ54" s="17">
        <f t="shared" si="13"/>
        <v>0</v>
      </c>
      <c r="AK54" s="96">
        <v>53.0</v>
      </c>
      <c r="AL54" s="95">
        <v>3.2</v>
      </c>
      <c r="AM54" s="95">
        <v>21.0</v>
      </c>
      <c r="AN54" s="13">
        <f t="shared" si="14"/>
        <v>67.2</v>
      </c>
      <c r="AO54" s="13">
        <f t="shared" si="15"/>
        <v>1.504</v>
      </c>
      <c r="AP54" s="13">
        <f t="shared" si="16"/>
        <v>35.616</v>
      </c>
      <c r="AQ54" s="17">
        <f t="shared" si="17"/>
        <v>284.928</v>
      </c>
      <c r="AR54" s="94">
        <v>52.5</v>
      </c>
      <c r="AS54" s="124">
        <v>22000.0</v>
      </c>
      <c r="AT54" s="17">
        <f t="shared" si="18"/>
        <v>11550</v>
      </c>
      <c r="AU54" s="101">
        <v>26.0</v>
      </c>
      <c r="AV54" s="124">
        <v>7000.0</v>
      </c>
      <c r="AW54" s="17">
        <f t="shared" si="19"/>
        <v>1820</v>
      </c>
      <c r="AX54" s="96">
        <f t="shared" si="20"/>
        <v>218784.496</v>
      </c>
      <c r="AY54" s="204">
        <f t="shared" si="24"/>
        <v>104.1830933</v>
      </c>
      <c r="AZ54" s="17">
        <f t="shared" si="22"/>
        <v>188784.496</v>
      </c>
      <c r="BA54" s="172"/>
    </row>
    <row r="55" ht="15.75" customHeight="1">
      <c r="A55" s="21"/>
      <c r="B55" s="104" t="s">
        <v>14</v>
      </c>
      <c r="C55" s="104" t="s">
        <v>392</v>
      </c>
      <c r="D55" s="106" t="s">
        <v>393</v>
      </c>
      <c r="E55" s="106" t="s">
        <v>394</v>
      </c>
      <c r="F55" s="106" t="s">
        <v>51</v>
      </c>
      <c r="G55" s="181" t="s">
        <v>559</v>
      </c>
      <c r="H55" s="108">
        <v>7.0</v>
      </c>
      <c r="I55" s="22">
        <v>950.0</v>
      </c>
      <c r="J55" s="22"/>
      <c r="K55" s="22"/>
      <c r="L55" s="22"/>
      <c r="M55" s="106">
        <v>1.0</v>
      </c>
      <c r="N55" s="106">
        <f t="shared" si="1"/>
        <v>950</v>
      </c>
      <c r="O55" s="108">
        <v>8.0</v>
      </c>
      <c r="P55" s="225">
        <v>0.0</v>
      </c>
      <c r="Q55" s="108">
        <v>20.0</v>
      </c>
      <c r="R55" s="108">
        <v>550.0</v>
      </c>
      <c r="S55" s="106">
        <f t="shared" si="2"/>
        <v>88000</v>
      </c>
      <c r="T55" s="106">
        <f t="shared" si="3"/>
        <v>20</v>
      </c>
      <c r="U55" s="110">
        <f t="shared" si="4"/>
        <v>11000</v>
      </c>
      <c r="V55" s="113">
        <f t="shared" si="5"/>
        <v>0</v>
      </c>
      <c r="W55" s="150">
        <v>0.0</v>
      </c>
      <c r="X55" s="108">
        <v>550.0</v>
      </c>
      <c r="Y55" s="108">
        <v>1.4</v>
      </c>
      <c r="Z55" s="22">
        <f t="shared" si="6"/>
        <v>770</v>
      </c>
      <c r="AA55" s="22">
        <f t="shared" si="7"/>
        <v>550</v>
      </c>
      <c r="AB55" s="106">
        <f t="shared" si="8"/>
        <v>0</v>
      </c>
      <c r="AC55" s="115">
        <f t="shared" si="9"/>
        <v>0</v>
      </c>
      <c r="AD55" s="150">
        <v>0.0</v>
      </c>
      <c r="AE55" s="108">
        <v>850.0</v>
      </c>
      <c r="AF55" s="117">
        <v>0.7</v>
      </c>
      <c r="AG55" s="22">
        <f t="shared" si="10"/>
        <v>595</v>
      </c>
      <c r="AH55" s="22">
        <f t="shared" si="11"/>
        <v>850</v>
      </c>
      <c r="AI55" s="22">
        <f t="shared" si="12"/>
        <v>0</v>
      </c>
      <c r="AJ55" s="25">
        <f t="shared" si="13"/>
        <v>0</v>
      </c>
      <c r="AK55" s="130">
        <v>0.0</v>
      </c>
      <c r="AL55" s="117">
        <v>3.2</v>
      </c>
      <c r="AM55" s="117">
        <v>21.0</v>
      </c>
      <c r="AN55" s="22">
        <f t="shared" si="14"/>
        <v>67.2</v>
      </c>
      <c r="AO55" s="22">
        <f t="shared" si="15"/>
        <v>3.2</v>
      </c>
      <c r="AP55" s="22">
        <f t="shared" si="16"/>
        <v>0</v>
      </c>
      <c r="AQ55" s="25">
        <f t="shared" si="17"/>
        <v>0</v>
      </c>
      <c r="AR55" s="130">
        <v>52.5</v>
      </c>
      <c r="AS55" s="136">
        <v>22000.0</v>
      </c>
      <c r="AT55" s="25">
        <f t="shared" si="18"/>
        <v>11550</v>
      </c>
      <c r="AU55" s="128">
        <v>26.0</v>
      </c>
      <c r="AV55" s="136">
        <v>7000.0</v>
      </c>
      <c r="AW55" s="25">
        <f t="shared" si="19"/>
        <v>1820</v>
      </c>
      <c r="AX55" s="118">
        <f t="shared" si="20"/>
        <v>93590</v>
      </c>
      <c r="AY55" s="210">
        <f t="shared" si="24"/>
        <v>1407.368421</v>
      </c>
      <c r="AZ55" s="25">
        <f t="shared" si="22"/>
        <v>92640</v>
      </c>
      <c r="BA55" s="182"/>
    </row>
    <row r="56" ht="15.75" customHeight="1">
      <c r="A56" s="33"/>
      <c r="B56" s="33"/>
      <c r="C56" s="33"/>
      <c r="G56" s="16"/>
      <c r="H56" s="7"/>
      <c r="I56" s="13"/>
      <c r="J56" s="13"/>
      <c r="K56" s="13"/>
      <c r="L56" s="13"/>
      <c r="M56" s="7"/>
      <c r="N56" s="7"/>
      <c r="S56" s="7"/>
      <c r="T56" s="7"/>
      <c r="U56" s="7"/>
      <c r="V56" s="54"/>
      <c r="AB56" s="7"/>
      <c r="AC56" s="54"/>
    </row>
    <row r="57" ht="15.75" customHeight="1">
      <c r="A57" s="33"/>
      <c r="B57" s="33"/>
      <c r="C57" s="33"/>
      <c r="G57" s="16"/>
      <c r="H57" s="7"/>
      <c r="I57" s="13"/>
      <c r="J57" s="13"/>
      <c r="K57" s="13"/>
      <c r="L57" s="13"/>
      <c r="M57" s="7"/>
      <c r="N57" s="7"/>
      <c r="S57" s="7"/>
      <c r="T57" s="7"/>
      <c r="U57" s="7"/>
      <c r="V57" s="54"/>
      <c r="AB57" s="7"/>
      <c r="AC57" s="54"/>
    </row>
    <row r="58" ht="15.75" customHeight="1">
      <c r="A58" s="33"/>
      <c r="B58" s="33"/>
      <c r="C58" s="33"/>
      <c r="G58" s="16"/>
      <c r="H58" s="7"/>
      <c r="I58" s="13"/>
      <c r="J58" s="13"/>
      <c r="K58" s="13"/>
      <c r="L58" s="13"/>
      <c r="M58" s="7"/>
      <c r="N58" s="7"/>
      <c r="S58" s="7"/>
      <c r="T58" s="7"/>
      <c r="U58" s="7"/>
      <c r="V58" s="54"/>
      <c r="AB58" s="7"/>
      <c r="AC58" s="54"/>
    </row>
    <row r="59" ht="15.75" customHeight="1">
      <c r="A59" s="33"/>
      <c r="B59" s="33"/>
      <c r="C59" s="33"/>
      <c r="G59" s="16"/>
      <c r="H59" s="7"/>
      <c r="I59" s="13"/>
      <c r="J59" s="13"/>
      <c r="K59" s="13"/>
      <c r="L59" s="13"/>
      <c r="M59" s="7"/>
      <c r="N59" s="7"/>
      <c r="S59" s="7"/>
      <c r="T59" s="7"/>
      <c r="U59" s="7"/>
      <c r="V59" s="54"/>
      <c r="AB59" s="7"/>
      <c r="AC59" s="54"/>
    </row>
    <row r="60" ht="15.75" customHeight="1">
      <c r="A60" s="33"/>
      <c r="B60" s="33"/>
      <c r="C60" s="33"/>
      <c r="G60" s="16"/>
      <c r="H60" s="7"/>
      <c r="I60" s="13"/>
      <c r="J60" s="13"/>
      <c r="K60" s="13"/>
      <c r="L60" s="13"/>
      <c r="M60" s="7"/>
      <c r="N60" s="7"/>
      <c r="S60" s="7"/>
      <c r="T60" s="7"/>
      <c r="U60" s="7"/>
      <c r="V60" s="54"/>
      <c r="AB60" s="7"/>
      <c r="AC60" s="54"/>
    </row>
    <row r="61" ht="15.75" customHeight="1">
      <c r="A61" s="33"/>
      <c r="B61" s="33"/>
      <c r="C61" s="33"/>
      <c r="G61" s="16"/>
      <c r="H61" s="7"/>
      <c r="I61" s="13"/>
      <c r="J61" s="13"/>
      <c r="K61" s="13"/>
      <c r="L61" s="13"/>
      <c r="M61" s="7"/>
      <c r="N61" s="7"/>
      <c r="S61" s="7"/>
      <c r="T61" s="7"/>
      <c r="U61" s="7"/>
      <c r="V61" s="54"/>
      <c r="AB61" s="7"/>
      <c r="AC61" s="54"/>
    </row>
    <row r="62" ht="15.75" customHeight="1">
      <c r="A62" s="33"/>
      <c r="B62" s="33"/>
      <c r="C62" s="33"/>
      <c r="G62" s="16"/>
    </row>
    <row r="63" ht="15.75" customHeight="1">
      <c r="A63" s="33"/>
      <c r="B63" s="33"/>
      <c r="C63" s="33"/>
      <c r="G63" s="16"/>
    </row>
    <row r="64" ht="15.75" customHeight="1">
      <c r="A64" s="33"/>
      <c r="B64" s="33"/>
      <c r="C64" s="33"/>
      <c r="G64" s="16"/>
    </row>
    <row r="65" ht="15.75" customHeight="1">
      <c r="G65" s="16"/>
    </row>
    <row r="66" ht="15.75" customHeight="1">
      <c r="G66" s="16"/>
    </row>
    <row r="67" ht="15.75" customHeight="1">
      <c r="G67" s="16"/>
    </row>
    <row r="68" ht="15.75" customHeight="1">
      <c r="G68" s="16"/>
    </row>
    <row r="69" ht="15.75" customHeight="1">
      <c r="G69" s="16"/>
    </row>
    <row r="70" ht="15.75" customHeight="1">
      <c r="G70" s="16"/>
    </row>
    <row r="71" ht="15.75" customHeight="1">
      <c r="G71" s="16"/>
    </row>
    <row r="72" ht="15.75" customHeight="1">
      <c r="G72" s="16"/>
    </row>
    <row r="73" ht="15.75" customHeight="1">
      <c r="G73" s="16"/>
    </row>
    <row r="74" ht="15.75" customHeight="1">
      <c r="G74" s="16"/>
    </row>
    <row r="75" ht="15.75" customHeight="1">
      <c r="G75" s="16"/>
    </row>
    <row r="76" ht="15.75" customHeight="1">
      <c r="G76" s="16"/>
    </row>
    <row r="77" ht="15.75" customHeight="1">
      <c r="G77" s="16"/>
    </row>
    <row r="78" ht="15.75" customHeight="1">
      <c r="G78" s="16"/>
    </row>
    <row r="79" ht="15.75" customHeight="1">
      <c r="G79" s="16"/>
    </row>
    <row r="80" ht="15.75" customHeight="1">
      <c r="G80" s="16"/>
    </row>
    <row r="81" ht="15.75" customHeight="1">
      <c r="G81" s="16"/>
    </row>
    <row r="82" ht="15.75" customHeight="1">
      <c r="G82" s="16"/>
    </row>
    <row r="83" ht="15.75" customHeight="1">
      <c r="G83" s="16"/>
    </row>
    <row r="84" ht="15.75" customHeight="1">
      <c r="G84" s="16"/>
    </row>
    <row r="85" ht="15.75" customHeight="1">
      <c r="G85" s="16"/>
    </row>
    <row r="86" ht="15.75" customHeight="1">
      <c r="G86" s="16"/>
    </row>
    <row r="87" ht="15.75" customHeight="1">
      <c r="G87" s="16"/>
    </row>
    <row r="88" ht="15.75" customHeight="1">
      <c r="G88" s="16"/>
    </row>
    <row r="89" ht="15.75" customHeight="1">
      <c r="G89" s="16"/>
    </row>
    <row r="90" ht="15.75" customHeight="1">
      <c r="G90" s="16"/>
    </row>
    <row r="91" ht="15.75" customHeight="1">
      <c r="G91" s="16"/>
    </row>
    <row r="92" ht="15.75" customHeight="1">
      <c r="G92" s="16"/>
    </row>
    <row r="93" ht="15.75" customHeight="1">
      <c r="G93" s="16"/>
    </row>
    <row r="94" ht="15.75" customHeight="1">
      <c r="G94" s="16"/>
    </row>
    <row r="95" ht="15.75" customHeight="1">
      <c r="G95" s="16"/>
    </row>
    <row r="96" ht="15.75" customHeight="1">
      <c r="G96" s="16"/>
    </row>
    <row r="97" ht="15.75" customHeight="1">
      <c r="G97" s="16"/>
    </row>
    <row r="98" ht="15.75" customHeight="1">
      <c r="G98" s="16"/>
    </row>
    <row r="99" ht="15.75" customHeight="1">
      <c r="G99" s="16"/>
    </row>
    <row r="100" ht="15.75" customHeight="1">
      <c r="G100" s="16"/>
    </row>
    <row r="101" ht="15.75" customHeight="1">
      <c r="G101" s="16"/>
    </row>
    <row r="102" ht="15.75" customHeight="1">
      <c r="G102" s="16"/>
    </row>
    <row r="103" ht="15.75" customHeight="1">
      <c r="G103" s="16"/>
    </row>
    <row r="104" ht="15.75" customHeight="1">
      <c r="G104" s="16"/>
    </row>
    <row r="105" ht="15.75" customHeight="1">
      <c r="G105" s="16"/>
    </row>
    <row r="106" ht="15.75" customHeight="1">
      <c r="G106" s="16"/>
    </row>
    <row r="107" ht="15.75" customHeight="1">
      <c r="G107" s="16"/>
    </row>
    <row r="108" ht="15.75" customHeight="1">
      <c r="G108" s="16"/>
    </row>
    <row r="109" ht="15.75" customHeight="1">
      <c r="G109" s="16"/>
    </row>
    <row r="110" ht="15.75" customHeight="1">
      <c r="G110" s="16"/>
    </row>
    <row r="111" ht="15.75" customHeight="1">
      <c r="G111" s="16"/>
    </row>
    <row r="112" ht="15.75" customHeight="1">
      <c r="G112" s="16"/>
    </row>
    <row r="113" ht="15.75" customHeight="1">
      <c r="G113" s="16"/>
    </row>
    <row r="114" ht="15.75" customHeight="1">
      <c r="G114" s="16"/>
    </row>
    <row r="115" ht="15.75" customHeight="1">
      <c r="G115" s="16"/>
    </row>
    <row r="116" ht="15.75" customHeight="1">
      <c r="G116" s="16"/>
    </row>
    <row r="117" ht="15.75" customHeight="1">
      <c r="G117" s="16"/>
    </row>
    <row r="118" ht="15.75" customHeight="1">
      <c r="G118" s="16"/>
    </row>
    <row r="119" ht="15.75" customHeight="1">
      <c r="G119" s="16"/>
    </row>
    <row r="120" ht="15.75" customHeight="1">
      <c r="G120" s="16"/>
    </row>
    <row r="121" ht="15.75" customHeight="1">
      <c r="G121" s="16"/>
    </row>
    <row r="122" ht="15.75" customHeight="1">
      <c r="G122" s="16"/>
    </row>
    <row r="123" ht="15.75" customHeight="1">
      <c r="G123" s="16"/>
    </row>
    <row r="124" ht="15.75" customHeight="1">
      <c r="G124" s="16"/>
    </row>
    <row r="125" ht="15.75" customHeight="1">
      <c r="G125" s="16"/>
    </row>
    <row r="126" ht="15.75" customHeight="1">
      <c r="G126" s="16"/>
    </row>
    <row r="127" ht="15.75" customHeight="1">
      <c r="G127" s="16"/>
    </row>
    <row r="128" ht="15.75" customHeight="1">
      <c r="G128" s="16"/>
    </row>
    <row r="129" ht="15.75" customHeight="1">
      <c r="G129" s="16"/>
    </row>
    <row r="130" ht="15.75" customHeight="1">
      <c r="G130" s="16"/>
    </row>
    <row r="131" ht="15.75" customHeight="1">
      <c r="G131" s="16"/>
    </row>
    <row r="132" ht="15.75" customHeight="1">
      <c r="G132" s="16"/>
    </row>
    <row r="133" ht="15.75" customHeight="1">
      <c r="G133" s="16"/>
    </row>
    <row r="134" ht="15.75" customHeight="1">
      <c r="G134" s="16"/>
    </row>
    <row r="135" ht="15.75" customHeight="1">
      <c r="G135" s="16"/>
    </row>
    <row r="136" ht="15.75" customHeight="1">
      <c r="G136" s="16"/>
    </row>
    <row r="137" ht="15.75" customHeight="1">
      <c r="G137" s="16"/>
    </row>
    <row r="138" ht="15.75" customHeight="1">
      <c r="G138" s="16"/>
    </row>
    <row r="139" ht="15.75" customHeight="1">
      <c r="G139" s="16"/>
    </row>
    <row r="140" ht="15.75" customHeight="1">
      <c r="G140" s="16"/>
    </row>
    <row r="141" ht="15.75" customHeight="1">
      <c r="G141" s="16"/>
    </row>
    <row r="142" ht="15.75" customHeight="1">
      <c r="G142" s="16"/>
    </row>
    <row r="143" ht="15.75" customHeight="1">
      <c r="G143" s="16"/>
    </row>
    <row r="144" ht="15.75" customHeight="1">
      <c r="G144" s="16"/>
    </row>
    <row r="145" ht="15.75" customHeight="1">
      <c r="G145" s="16"/>
    </row>
    <row r="146" ht="15.75" customHeight="1">
      <c r="G146" s="16"/>
    </row>
    <row r="147" ht="15.75" customHeight="1">
      <c r="G147" s="16"/>
    </row>
    <row r="148" ht="15.75" customHeight="1">
      <c r="G148" s="16"/>
    </row>
    <row r="149" ht="15.75" customHeight="1">
      <c r="G149" s="16"/>
    </row>
    <row r="150" ht="15.75" customHeight="1">
      <c r="G150" s="16"/>
    </row>
    <row r="151" ht="15.75" customHeight="1">
      <c r="G151" s="16"/>
    </row>
    <row r="152" ht="15.75" customHeight="1">
      <c r="G152" s="16"/>
    </row>
    <row r="153" ht="15.75" customHeight="1">
      <c r="G153" s="16"/>
    </row>
    <row r="154" ht="15.75" customHeight="1">
      <c r="G154" s="16"/>
    </row>
    <row r="155" ht="15.75" customHeight="1">
      <c r="G155" s="16"/>
    </row>
    <row r="156" ht="15.75" customHeight="1">
      <c r="G156" s="16"/>
    </row>
    <row r="157" ht="15.75" customHeight="1">
      <c r="G157" s="16"/>
    </row>
    <row r="158" ht="15.75" customHeight="1">
      <c r="G158" s="16"/>
    </row>
    <row r="159" ht="15.75" customHeight="1">
      <c r="G159" s="16"/>
    </row>
    <row r="160" ht="15.75" customHeight="1">
      <c r="G160" s="16"/>
    </row>
    <row r="161" ht="15.75" customHeight="1">
      <c r="G161" s="16"/>
    </row>
    <row r="162" ht="15.75" customHeight="1">
      <c r="G162" s="16"/>
    </row>
    <row r="163" ht="15.75" customHeight="1">
      <c r="G163" s="16"/>
    </row>
    <row r="164" ht="15.75" customHeight="1">
      <c r="G164" s="16"/>
    </row>
    <row r="165" ht="15.75" customHeight="1">
      <c r="G165" s="16"/>
    </row>
    <row r="166" ht="15.75" customHeight="1">
      <c r="G166" s="16"/>
    </row>
    <row r="167" ht="15.75" customHeight="1">
      <c r="G167" s="16"/>
    </row>
    <row r="168" ht="15.75" customHeight="1">
      <c r="G168" s="16"/>
    </row>
    <row r="169" ht="15.75" customHeight="1">
      <c r="G169" s="16"/>
    </row>
    <row r="170" ht="15.75" customHeight="1">
      <c r="G170" s="16"/>
    </row>
    <row r="171" ht="15.75" customHeight="1">
      <c r="G171" s="16"/>
    </row>
    <row r="172" ht="15.75" customHeight="1">
      <c r="G172" s="16"/>
    </row>
    <row r="173" ht="15.75" customHeight="1">
      <c r="G173" s="16"/>
    </row>
    <row r="174" ht="15.75" customHeight="1">
      <c r="G174" s="16"/>
    </row>
    <row r="175" ht="15.75" customHeight="1">
      <c r="G175" s="16"/>
    </row>
    <row r="176" ht="15.75" customHeight="1">
      <c r="G176" s="16"/>
    </row>
    <row r="177" ht="15.75" customHeight="1">
      <c r="G177" s="16"/>
    </row>
    <row r="178" ht="15.75" customHeight="1">
      <c r="G178" s="16"/>
    </row>
    <row r="179" ht="15.75" customHeight="1">
      <c r="G179" s="16"/>
    </row>
    <row r="180" ht="15.75" customHeight="1">
      <c r="G180" s="16"/>
    </row>
    <row r="181" ht="15.75" customHeight="1">
      <c r="G181" s="16"/>
    </row>
    <row r="182" ht="15.75" customHeight="1">
      <c r="G182" s="16"/>
    </row>
    <row r="183" ht="15.75" customHeight="1">
      <c r="G183" s="16"/>
    </row>
    <row r="184" ht="15.75" customHeight="1">
      <c r="G184" s="16"/>
    </row>
    <row r="185" ht="15.75" customHeight="1">
      <c r="G185" s="16"/>
    </row>
    <row r="186" ht="15.75" customHeight="1">
      <c r="G186" s="16"/>
    </row>
    <row r="187" ht="15.75" customHeight="1">
      <c r="G187" s="16"/>
    </row>
    <row r="188" ht="15.75" customHeight="1">
      <c r="G188" s="16"/>
    </row>
    <row r="189" ht="15.75" customHeight="1">
      <c r="G189" s="16"/>
    </row>
    <row r="190" ht="15.75" customHeight="1">
      <c r="G190" s="16"/>
    </row>
    <row r="191" ht="15.75" customHeight="1">
      <c r="G191" s="16"/>
    </row>
    <row r="192" ht="15.75" customHeight="1">
      <c r="G192" s="16"/>
    </row>
    <row r="193" ht="15.75" customHeight="1">
      <c r="G193" s="16"/>
    </row>
    <row r="194" ht="15.75" customHeight="1">
      <c r="G194" s="16"/>
    </row>
    <row r="195" ht="15.75" customHeight="1">
      <c r="G195" s="16"/>
    </row>
    <row r="196" ht="15.75" customHeight="1">
      <c r="G196" s="16"/>
    </row>
    <row r="197" ht="15.75" customHeight="1">
      <c r="G197" s="16"/>
    </row>
    <row r="198" ht="15.75" customHeight="1">
      <c r="G198" s="16"/>
    </row>
    <row r="199" ht="15.75" customHeight="1">
      <c r="G199" s="16"/>
    </row>
    <row r="200" ht="15.75" customHeight="1">
      <c r="G200" s="16"/>
    </row>
    <row r="201" ht="15.75" customHeight="1">
      <c r="G201" s="16"/>
    </row>
    <row r="202" ht="15.75" customHeight="1">
      <c r="G202" s="16"/>
    </row>
    <row r="203" ht="15.75" customHeight="1">
      <c r="G203" s="16"/>
    </row>
    <row r="204" ht="15.75" customHeight="1">
      <c r="G204" s="16"/>
    </row>
    <row r="205" ht="15.75" customHeight="1">
      <c r="G205" s="16"/>
    </row>
    <row r="206" ht="15.75" customHeight="1">
      <c r="G206" s="16"/>
    </row>
    <row r="207" ht="15.75" customHeight="1">
      <c r="G207" s="16"/>
    </row>
    <row r="208" ht="15.75" customHeight="1">
      <c r="G208" s="16"/>
    </row>
    <row r="209" ht="15.75" customHeight="1">
      <c r="G209" s="16"/>
    </row>
    <row r="210" ht="15.75" customHeight="1">
      <c r="G210" s="16"/>
    </row>
    <row r="211" ht="15.75" customHeight="1">
      <c r="G211" s="16"/>
    </row>
    <row r="212" ht="15.75" customHeight="1">
      <c r="G212" s="16"/>
    </row>
    <row r="213" ht="15.75" customHeight="1">
      <c r="G213" s="16"/>
    </row>
    <row r="214" ht="15.75" customHeight="1">
      <c r="G214" s="16"/>
    </row>
    <row r="215" ht="15.75" customHeight="1">
      <c r="G215" s="16"/>
    </row>
    <row r="216" ht="15.75" customHeight="1">
      <c r="G216" s="16"/>
    </row>
    <row r="217" ht="15.75" customHeight="1">
      <c r="G217" s="16"/>
    </row>
    <row r="218" ht="15.75" customHeight="1">
      <c r="G218" s="16"/>
    </row>
    <row r="219" ht="15.75" customHeight="1">
      <c r="G219" s="16"/>
    </row>
    <row r="220" ht="15.75" customHeight="1">
      <c r="G220" s="16"/>
    </row>
    <row r="221" ht="15.75" customHeight="1">
      <c r="G221" s="16"/>
    </row>
    <row r="222" ht="15.75" customHeight="1">
      <c r="G222" s="16"/>
    </row>
    <row r="223" ht="15.75" customHeight="1">
      <c r="G223" s="16"/>
    </row>
    <row r="224" ht="15.75" customHeight="1">
      <c r="G224" s="16"/>
    </row>
    <row r="225" ht="15.75" customHeight="1">
      <c r="G225" s="16"/>
    </row>
    <row r="226" ht="15.75" customHeight="1">
      <c r="G226" s="16"/>
    </row>
    <row r="227" ht="15.75" customHeight="1">
      <c r="G227" s="16"/>
    </row>
    <row r="228" ht="15.75" customHeight="1">
      <c r="G228" s="16"/>
    </row>
    <row r="229" ht="15.75" customHeight="1">
      <c r="G229" s="16"/>
    </row>
    <row r="230" ht="15.75" customHeight="1">
      <c r="G230" s="16"/>
    </row>
    <row r="231" ht="15.75" customHeight="1">
      <c r="G231" s="16"/>
    </row>
    <row r="232" ht="15.75" customHeight="1">
      <c r="G232" s="16"/>
    </row>
    <row r="233" ht="15.75" customHeight="1">
      <c r="G233" s="16"/>
    </row>
    <row r="234" ht="15.75" customHeight="1">
      <c r="G234" s="16"/>
    </row>
    <row r="235" ht="15.75" customHeight="1">
      <c r="G235" s="16"/>
    </row>
    <row r="236" ht="15.75" customHeight="1">
      <c r="G236" s="16"/>
    </row>
    <row r="237" ht="15.75" customHeight="1">
      <c r="G237" s="16"/>
    </row>
    <row r="238" ht="15.75" customHeight="1">
      <c r="G238" s="16"/>
    </row>
    <row r="239" ht="15.75" customHeight="1">
      <c r="G239" s="16"/>
    </row>
    <row r="240" ht="15.75" customHeight="1">
      <c r="G240" s="16"/>
    </row>
    <row r="241" ht="15.75" customHeight="1">
      <c r="G241" s="16"/>
    </row>
    <row r="242" ht="15.75" customHeight="1">
      <c r="G242" s="16"/>
    </row>
    <row r="243" ht="15.75" customHeight="1">
      <c r="G243" s="16"/>
    </row>
    <row r="244" ht="15.75" customHeight="1">
      <c r="G244" s="16"/>
    </row>
    <row r="245" ht="15.75" customHeight="1">
      <c r="G245" s="16"/>
    </row>
    <row r="246" ht="15.75" customHeight="1">
      <c r="G246" s="16"/>
    </row>
    <row r="247" ht="15.75" customHeight="1">
      <c r="G247" s="16"/>
    </row>
    <row r="248" ht="15.75" customHeight="1">
      <c r="G248" s="16"/>
    </row>
    <row r="249" ht="15.75" customHeight="1">
      <c r="G249" s="16"/>
    </row>
    <row r="250" ht="15.75" customHeight="1">
      <c r="G250" s="16"/>
    </row>
    <row r="251" ht="15.75" customHeight="1">
      <c r="G251" s="16"/>
    </row>
    <row r="252" ht="15.75" customHeight="1">
      <c r="G252" s="16"/>
    </row>
    <row r="253" ht="15.75" customHeight="1">
      <c r="G253" s="16"/>
    </row>
    <row r="254" ht="15.75" customHeight="1">
      <c r="G254" s="16"/>
    </row>
    <row r="255" ht="15.75" customHeight="1">
      <c r="G255" s="16"/>
    </row>
    <row r="256" ht="15.75" customHeight="1">
      <c r="G256" s="16"/>
    </row>
    <row r="257" ht="15.75" customHeight="1">
      <c r="G257" s="16"/>
    </row>
    <row r="258" ht="15.75" customHeight="1">
      <c r="G258" s="16"/>
    </row>
    <row r="259" ht="15.75" customHeight="1">
      <c r="G259" s="16"/>
    </row>
    <row r="260" ht="15.75" customHeight="1">
      <c r="G260" s="16"/>
    </row>
    <row r="261" ht="15.75" customHeight="1">
      <c r="G261" s="16"/>
    </row>
    <row r="262" ht="15.75" customHeight="1">
      <c r="G262" s="16"/>
    </row>
    <row r="263" ht="15.75" customHeight="1">
      <c r="G263" s="16"/>
    </row>
    <row r="264" ht="15.75" customHeight="1">
      <c r="G264" s="16"/>
    </row>
    <row r="265" ht="15.75" customHeight="1">
      <c r="G265" s="16"/>
    </row>
    <row r="266" ht="15.75" customHeight="1">
      <c r="G266" s="16"/>
    </row>
    <row r="267" ht="15.75" customHeight="1">
      <c r="G267" s="16"/>
    </row>
    <row r="268" ht="15.75" customHeight="1">
      <c r="G268" s="16"/>
    </row>
    <row r="269" ht="15.75" customHeight="1">
      <c r="G269" s="16"/>
    </row>
    <row r="270" ht="15.75" customHeight="1">
      <c r="G270" s="16"/>
    </row>
    <row r="271" ht="15.75" customHeight="1">
      <c r="G271" s="16"/>
    </row>
    <row r="272" ht="15.75" customHeight="1">
      <c r="G272" s="16"/>
    </row>
    <row r="273" ht="15.75" customHeight="1">
      <c r="G273" s="16"/>
    </row>
    <row r="274" ht="15.75" customHeight="1">
      <c r="G274" s="16"/>
    </row>
    <row r="275" ht="15.75" customHeight="1">
      <c r="G275" s="16"/>
    </row>
    <row r="276" ht="15.75" customHeight="1">
      <c r="G276" s="16"/>
    </row>
    <row r="277" ht="15.75" customHeight="1">
      <c r="G277" s="16"/>
    </row>
    <row r="278" ht="15.75" customHeight="1">
      <c r="G278" s="16"/>
    </row>
    <row r="279" ht="15.75" customHeight="1">
      <c r="G279" s="16"/>
    </row>
    <row r="280" ht="15.75" customHeight="1">
      <c r="G280" s="16"/>
    </row>
    <row r="281" ht="15.75" customHeight="1">
      <c r="G281" s="16"/>
    </row>
    <row r="282" ht="15.75" customHeight="1">
      <c r="G282" s="16"/>
    </row>
    <row r="283" ht="15.75" customHeight="1">
      <c r="G283" s="16"/>
    </row>
    <row r="284" ht="15.75" customHeight="1">
      <c r="G284" s="16"/>
    </row>
    <row r="285" ht="15.75" customHeight="1">
      <c r="G285" s="16"/>
    </row>
    <row r="286" ht="15.75" customHeight="1">
      <c r="G286" s="16"/>
    </row>
    <row r="287" ht="15.75" customHeight="1">
      <c r="G287" s="16"/>
    </row>
    <row r="288" ht="15.75" customHeight="1">
      <c r="G288" s="16"/>
    </row>
    <row r="289" ht="15.75" customHeight="1">
      <c r="G289" s="16"/>
    </row>
    <row r="290" ht="15.75" customHeight="1">
      <c r="G290" s="16"/>
    </row>
    <row r="291" ht="15.75" customHeight="1">
      <c r="G291" s="16"/>
    </row>
    <row r="292" ht="15.75" customHeight="1">
      <c r="G292" s="16"/>
    </row>
    <row r="293" ht="15.75" customHeight="1">
      <c r="G293" s="16"/>
    </row>
    <row r="294" ht="15.75" customHeight="1">
      <c r="G294" s="16"/>
    </row>
    <row r="295" ht="15.75" customHeight="1">
      <c r="G295" s="16"/>
    </row>
    <row r="296" ht="15.75" customHeight="1">
      <c r="G296" s="16"/>
    </row>
    <row r="297" ht="15.75" customHeight="1">
      <c r="G297" s="16"/>
    </row>
    <row r="298" ht="15.75" customHeight="1">
      <c r="G298" s="16"/>
    </row>
    <row r="299" ht="15.75" customHeight="1">
      <c r="G299" s="16"/>
    </row>
    <row r="300" ht="15.75" customHeight="1">
      <c r="G300" s="16"/>
    </row>
    <row r="301" ht="15.75" customHeight="1">
      <c r="G301" s="16"/>
    </row>
    <row r="302" ht="15.75" customHeight="1">
      <c r="G302" s="16"/>
    </row>
    <row r="303" ht="15.75" customHeight="1">
      <c r="G303" s="16"/>
    </row>
    <row r="304" ht="15.75" customHeight="1">
      <c r="G304" s="16"/>
    </row>
    <row r="305" ht="15.75" customHeight="1">
      <c r="G305" s="16"/>
    </row>
    <row r="306" ht="15.75" customHeight="1">
      <c r="G306" s="16"/>
    </row>
    <row r="307" ht="15.75" customHeight="1">
      <c r="G307" s="16"/>
    </row>
    <row r="308" ht="15.75" customHeight="1">
      <c r="G308" s="16"/>
    </row>
    <row r="309" ht="15.75" customHeight="1">
      <c r="G309" s="16"/>
    </row>
    <row r="310" ht="15.75" customHeight="1">
      <c r="G310" s="16"/>
    </row>
    <row r="311" ht="15.75" customHeight="1">
      <c r="G311" s="16"/>
    </row>
    <row r="312" ht="15.75" customHeight="1">
      <c r="G312" s="16"/>
    </row>
    <row r="313" ht="15.75" customHeight="1">
      <c r="G313" s="16"/>
    </row>
    <row r="314" ht="15.75" customHeight="1">
      <c r="G314" s="16"/>
    </row>
    <row r="315" ht="15.75" customHeight="1">
      <c r="G315" s="16"/>
    </row>
    <row r="316" ht="15.75" customHeight="1">
      <c r="G316" s="16"/>
    </row>
    <row r="317" ht="15.75" customHeight="1">
      <c r="G317" s="16"/>
    </row>
    <row r="318" ht="15.75" customHeight="1">
      <c r="G318" s="16"/>
    </row>
    <row r="319" ht="15.75" customHeight="1">
      <c r="G319" s="16"/>
    </row>
    <row r="320" ht="15.75" customHeight="1">
      <c r="G320" s="16"/>
    </row>
    <row r="321" ht="15.75" customHeight="1">
      <c r="G321" s="16"/>
    </row>
    <row r="322" ht="15.75" customHeight="1">
      <c r="G322" s="16"/>
    </row>
    <row r="323" ht="15.75" customHeight="1">
      <c r="G323" s="16"/>
    </row>
    <row r="324" ht="15.75" customHeight="1">
      <c r="G324" s="16"/>
    </row>
    <row r="325" ht="15.75" customHeight="1">
      <c r="G325" s="16"/>
    </row>
    <row r="326" ht="15.75" customHeight="1">
      <c r="G326" s="16"/>
    </row>
    <row r="327" ht="15.75" customHeight="1">
      <c r="G327" s="16"/>
    </row>
    <row r="328" ht="15.75" customHeight="1">
      <c r="G328" s="16"/>
    </row>
    <row r="329" ht="15.75" customHeight="1">
      <c r="G329" s="16"/>
    </row>
    <row r="330" ht="15.75" customHeight="1">
      <c r="G330" s="16"/>
    </row>
    <row r="331" ht="15.75" customHeight="1">
      <c r="G331" s="16"/>
    </row>
    <row r="332" ht="15.75" customHeight="1">
      <c r="G332" s="16"/>
    </row>
    <row r="333" ht="15.75" customHeight="1">
      <c r="G333" s="16"/>
    </row>
    <row r="334" ht="15.75" customHeight="1">
      <c r="G334" s="16"/>
    </row>
    <row r="335" ht="15.75" customHeight="1">
      <c r="G335" s="16"/>
    </row>
    <row r="336" ht="15.75" customHeight="1">
      <c r="G336" s="16"/>
    </row>
    <row r="337" ht="15.75" customHeight="1">
      <c r="G337" s="16"/>
    </row>
    <row r="338" ht="15.75" customHeight="1">
      <c r="G338" s="16"/>
    </row>
    <row r="339" ht="15.75" customHeight="1">
      <c r="G339" s="16"/>
    </row>
    <row r="340" ht="15.75" customHeight="1">
      <c r="G340" s="16"/>
    </row>
    <row r="341" ht="15.75" customHeight="1">
      <c r="G341" s="16"/>
    </row>
    <row r="342" ht="15.75" customHeight="1">
      <c r="G342" s="16"/>
    </row>
    <row r="343" ht="15.75" customHeight="1">
      <c r="G343" s="16"/>
    </row>
    <row r="344" ht="15.75" customHeight="1">
      <c r="G344" s="16"/>
    </row>
    <row r="345" ht="15.75" customHeight="1">
      <c r="G345" s="16"/>
    </row>
    <row r="346" ht="15.75" customHeight="1">
      <c r="G346" s="16"/>
    </row>
    <row r="347" ht="15.75" customHeight="1">
      <c r="G347" s="16"/>
    </row>
    <row r="348" ht="15.75" customHeight="1">
      <c r="G348" s="16"/>
    </row>
    <row r="349" ht="15.75" customHeight="1">
      <c r="G349" s="16"/>
    </row>
    <row r="350" ht="15.75" customHeight="1">
      <c r="G350" s="16"/>
    </row>
    <row r="351" ht="15.75" customHeight="1">
      <c r="G351" s="16"/>
    </row>
    <row r="352" ht="15.75" customHeight="1">
      <c r="G352" s="16"/>
    </row>
    <row r="353" ht="15.75" customHeight="1">
      <c r="G353" s="16"/>
    </row>
    <row r="354" ht="15.75" customHeight="1">
      <c r="G354" s="16"/>
    </row>
    <row r="355" ht="15.75" customHeight="1">
      <c r="G355" s="16"/>
    </row>
    <row r="356" ht="15.75" customHeight="1">
      <c r="G356" s="16"/>
    </row>
    <row r="357" ht="15.75" customHeight="1">
      <c r="G357" s="16"/>
    </row>
    <row r="358" ht="15.75" customHeight="1">
      <c r="G358" s="16"/>
    </row>
    <row r="359" ht="15.75" customHeight="1">
      <c r="G359" s="16"/>
    </row>
    <row r="360" ht="15.75" customHeight="1">
      <c r="G360" s="16"/>
    </row>
    <row r="361" ht="15.75" customHeight="1">
      <c r="G361" s="16"/>
    </row>
    <row r="362" ht="15.75" customHeight="1">
      <c r="G362" s="16"/>
    </row>
    <row r="363" ht="15.75" customHeight="1">
      <c r="G363" s="16"/>
    </row>
    <row r="364" ht="15.75" customHeight="1">
      <c r="G364" s="16"/>
    </row>
    <row r="365" ht="15.75" customHeight="1">
      <c r="G365" s="16"/>
    </row>
    <row r="366" ht="15.75" customHeight="1">
      <c r="G366" s="16"/>
    </row>
    <row r="367" ht="15.75" customHeight="1">
      <c r="G367" s="16"/>
    </row>
    <row r="368" ht="15.75" customHeight="1">
      <c r="G368" s="16"/>
    </row>
    <row r="369" ht="15.75" customHeight="1">
      <c r="G369" s="16"/>
    </row>
    <row r="370" ht="15.75" customHeight="1">
      <c r="G370" s="16"/>
    </row>
    <row r="371" ht="15.75" customHeight="1">
      <c r="G371" s="16"/>
    </row>
    <row r="372" ht="15.75" customHeight="1">
      <c r="G372" s="16"/>
    </row>
    <row r="373" ht="15.75" customHeight="1">
      <c r="G373" s="16"/>
    </row>
    <row r="374" ht="15.75" customHeight="1">
      <c r="G374" s="16"/>
    </row>
    <row r="375" ht="15.75" customHeight="1">
      <c r="G375" s="16"/>
    </row>
    <row r="376" ht="15.75" customHeight="1">
      <c r="G376" s="16"/>
    </row>
    <row r="377" ht="15.75" customHeight="1">
      <c r="G377" s="16"/>
    </row>
    <row r="378" ht="15.75" customHeight="1">
      <c r="G378" s="16"/>
    </row>
    <row r="379" ht="15.75" customHeight="1">
      <c r="G379" s="16"/>
    </row>
    <row r="380" ht="15.75" customHeight="1">
      <c r="G380" s="16"/>
    </row>
    <row r="381" ht="15.75" customHeight="1">
      <c r="G381" s="16"/>
    </row>
    <row r="382" ht="15.75" customHeight="1">
      <c r="G382" s="16"/>
    </row>
    <row r="383" ht="15.75" customHeight="1">
      <c r="G383" s="16"/>
    </row>
    <row r="384" ht="15.75" customHeight="1">
      <c r="G384" s="16"/>
    </row>
    <row r="385" ht="15.75" customHeight="1">
      <c r="G385" s="16"/>
    </row>
    <row r="386" ht="15.75" customHeight="1">
      <c r="G386" s="16"/>
    </row>
    <row r="387" ht="15.75" customHeight="1">
      <c r="G387" s="16"/>
    </row>
    <row r="388" ht="15.75" customHeight="1">
      <c r="G388" s="16"/>
    </row>
    <row r="389" ht="15.75" customHeight="1">
      <c r="G389" s="16"/>
    </row>
    <row r="390" ht="15.75" customHeight="1">
      <c r="G390" s="16"/>
    </row>
    <row r="391" ht="15.75" customHeight="1">
      <c r="G391" s="16"/>
    </row>
    <row r="392" ht="15.75" customHeight="1">
      <c r="G392" s="16"/>
    </row>
    <row r="393" ht="15.75" customHeight="1">
      <c r="G393" s="16"/>
    </row>
    <row r="394" ht="15.75" customHeight="1">
      <c r="G394" s="16"/>
    </row>
    <row r="395" ht="15.75" customHeight="1">
      <c r="G395" s="16"/>
    </row>
    <row r="396" ht="15.75" customHeight="1">
      <c r="G396" s="16"/>
    </row>
    <row r="397" ht="15.75" customHeight="1">
      <c r="G397" s="16"/>
    </row>
    <row r="398" ht="15.75" customHeight="1">
      <c r="G398" s="16"/>
    </row>
    <row r="399" ht="15.75" customHeight="1">
      <c r="G399" s="16"/>
    </row>
    <row r="400" ht="15.75" customHeight="1">
      <c r="G400" s="16"/>
    </row>
    <row r="401" ht="15.75" customHeight="1">
      <c r="G401" s="16"/>
    </row>
    <row r="402" ht="15.75" customHeight="1">
      <c r="G402" s="16"/>
    </row>
    <row r="403" ht="15.75" customHeight="1">
      <c r="G403" s="16"/>
    </row>
    <row r="404" ht="15.75" customHeight="1">
      <c r="G404" s="16"/>
    </row>
    <row r="405" ht="15.75" customHeight="1">
      <c r="G405" s="16"/>
    </row>
    <row r="406" ht="15.75" customHeight="1">
      <c r="G406" s="16"/>
    </row>
    <row r="407" ht="15.75" customHeight="1">
      <c r="G407" s="16"/>
    </row>
    <row r="408" ht="15.75" customHeight="1">
      <c r="G408" s="16"/>
    </row>
    <row r="409" ht="15.75" customHeight="1">
      <c r="G409" s="16"/>
    </row>
    <row r="410" ht="15.75" customHeight="1">
      <c r="G410" s="16"/>
    </row>
    <row r="411" ht="15.75" customHeight="1">
      <c r="G411" s="16"/>
    </row>
    <row r="412" ht="15.75" customHeight="1">
      <c r="G412" s="16"/>
    </row>
    <row r="413" ht="15.75" customHeight="1">
      <c r="G413" s="16"/>
    </row>
    <row r="414" ht="15.75" customHeight="1">
      <c r="G414" s="16"/>
    </row>
    <row r="415" ht="15.75" customHeight="1">
      <c r="G415" s="16"/>
    </row>
    <row r="416" ht="15.75" customHeight="1">
      <c r="G416" s="16"/>
    </row>
    <row r="417" ht="15.75" customHeight="1">
      <c r="G417" s="16"/>
    </row>
    <row r="418" ht="15.75" customHeight="1">
      <c r="G418" s="16"/>
    </row>
    <row r="419" ht="15.75" customHeight="1">
      <c r="G419" s="16"/>
    </row>
    <row r="420" ht="15.75" customHeight="1">
      <c r="G420" s="16"/>
    </row>
    <row r="421" ht="15.75" customHeight="1">
      <c r="G421" s="16"/>
    </row>
    <row r="422" ht="15.75" customHeight="1">
      <c r="G422" s="16"/>
    </row>
    <row r="423" ht="15.75" customHeight="1">
      <c r="G423" s="16"/>
    </row>
    <row r="424" ht="15.75" customHeight="1">
      <c r="G424" s="16"/>
    </row>
    <row r="425" ht="15.75" customHeight="1">
      <c r="G425" s="16"/>
    </row>
    <row r="426" ht="15.75" customHeight="1">
      <c r="G426" s="16"/>
    </row>
    <row r="427" ht="15.75" customHeight="1">
      <c r="G427" s="16"/>
    </row>
    <row r="428" ht="15.75" customHeight="1">
      <c r="G428" s="16"/>
    </row>
    <row r="429" ht="15.75" customHeight="1">
      <c r="G429" s="16"/>
    </row>
    <row r="430" ht="15.75" customHeight="1">
      <c r="G430" s="16"/>
    </row>
    <row r="431" ht="15.75" customHeight="1">
      <c r="G431" s="16"/>
    </row>
    <row r="432" ht="15.75" customHeight="1">
      <c r="G432" s="16"/>
    </row>
    <row r="433" ht="15.75" customHeight="1">
      <c r="G433" s="16"/>
    </row>
    <row r="434" ht="15.75" customHeight="1">
      <c r="G434" s="16"/>
    </row>
    <row r="435" ht="15.75" customHeight="1">
      <c r="G435" s="16"/>
    </row>
    <row r="436" ht="15.75" customHeight="1">
      <c r="G436" s="16"/>
    </row>
    <row r="437" ht="15.75" customHeight="1">
      <c r="G437" s="16"/>
    </row>
    <row r="438" ht="15.75" customHeight="1">
      <c r="G438" s="16"/>
    </row>
    <row r="439" ht="15.75" customHeight="1">
      <c r="G439" s="16"/>
    </row>
    <row r="440" ht="15.75" customHeight="1">
      <c r="G440" s="16"/>
    </row>
    <row r="441" ht="15.75" customHeight="1">
      <c r="G441" s="16"/>
    </row>
    <row r="442" ht="15.75" customHeight="1">
      <c r="G442" s="16"/>
    </row>
    <row r="443" ht="15.75" customHeight="1">
      <c r="G443" s="16"/>
    </row>
    <row r="444" ht="15.75" customHeight="1">
      <c r="G444" s="16"/>
    </row>
    <row r="445" ht="15.75" customHeight="1">
      <c r="G445" s="16"/>
    </row>
    <row r="446" ht="15.75" customHeight="1">
      <c r="G446" s="16"/>
    </row>
    <row r="447" ht="15.75" customHeight="1">
      <c r="G447" s="16"/>
    </row>
    <row r="448" ht="15.75" customHeight="1">
      <c r="G448" s="16"/>
    </row>
    <row r="449" ht="15.75" customHeight="1">
      <c r="G449" s="16"/>
    </row>
    <row r="450" ht="15.75" customHeight="1">
      <c r="G450" s="16"/>
    </row>
    <row r="451" ht="15.75" customHeight="1">
      <c r="G451" s="16"/>
    </row>
    <row r="452" ht="15.75" customHeight="1">
      <c r="G452" s="16"/>
    </row>
    <row r="453" ht="15.75" customHeight="1">
      <c r="G453" s="16"/>
    </row>
    <row r="454" ht="15.75" customHeight="1">
      <c r="G454" s="16"/>
    </row>
    <row r="455" ht="15.75" customHeight="1">
      <c r="G455" s="16"/>
    </row>
    <row r="456" ht="15.75" customHeight="1">
      <c r="G456" s="16"/>
    </row>
    <row r="457" ht="15.75" customHeight="1">
      <c r="G457" s="16"/>
    </row>
    <row r="458" ht="15.75" customHeight="1">
      <c r="G458" s="16"/>
    </row>
    <row r="459" ht="15.75" customHeight="1">
      <c r="G459" s="16"/>
    </row>
    <row r="460" ht="15.75" customHeight="1">
      <c r="G460" s="16"/>
    </row>
    <row r="461" ht="15.75" customHeight="1">
      <c r="G461" s="16"/>
    </row>
    <row r="462" ht="15.75" customHeight="1">
      <c r="G462" s="16"/>
    </row>
    <row r="463" ht="15.75" customHeight="1">
      <c r="G463" s="16"/>
    </row>
    <row r="464" ht="15.75" customHeight="1">
      <c r="G464" s="16"/>
    </row>
    <row r="465" ht="15.75" customHeight="1">
      <c r="G465" s="16"/>
    </row>
    <row r="466" ht="15.75" customHeight="1">
      <c r="G466" s="16"/>
    </row>
    <row r="467" ht="15.75" customHeight="1">
      <c r="G467" s="16"/>
    </row>
    <row r="468" ht="15.75" customHeight="1">
      <c r="G468" s="16"/>
    </row>
    <row r="469" ht="15.75" customHeight="1">
      <c r="G469" s="16"/>
    </row>
    <row r="470" ht="15.75" customHeight="1">
      <c r="G470" s="16"/>
    </row>
    <row r="471" ht="15.75" customHeight="1">
      <c r="G471" s="16"/>
    </row>
    <row r="472" ht="15.75" customHeight="1">
      <c r="G472" s="16"/>
    </row>
    <row r="473" ht="15.75" customHeight="1">
      <c r="G473" s="16"/>
    </row>
    <row r="474" ht="15.75" customHeight="1">
      <c r="G474" s="16"/>
    </row>
    <row r="475" ht="15.75" customHeight="1">
      <c r="G475" s="16"/>
    </row>
    <row r="476" ht="15.75" customHeight="1">
      <c r="G476" s="16"/>
    </row>
    <row r="477" ht="15.75" customHeight="1">
      <c r="G477" s="16"/>
    </row>
    <row r="478" ht="15.75" customHeight="1">
      <c r="G478" s="16"/>
    </row>
    <row r="479" ht="15.75" customHeight="1">
      <c r="G479" s="16"/>
    </row>
    <row r="480" ht="15.75" customHeight="1">
      <c r="G480" s="16"/>
    </row>
    <row r="481" ht="15.75" customHeight="1">
      <c r="G481" s="16"/>
    </row>
    <row r="482" ht="15.75" customHeight="1">
      <c r="G482" s="16"/>
    </row>
    <row r="483" ht="15.75" customHeight="1">
      <c r="G483" s="16"/>
    </row>
    <row r="484" ht="15.75" customHeight="1">
      <c r="G484" s="16"/>
    </row>
    <row r="485" ht="15.75" customHeight="1">
      <c r="G485" s="16"/>
    </row>
    <row r="486" ht="15.75" customHeight="1">
      <c r="G486" s="16"/>
    </row>
    <row r="487" ht="15.75" customHeight="1">
      <c r="G487" s="16"/>
    </row>
    <row r="488" ht="15.75" customHeight="1">
      <c r="G488" s="16"/>
    </row>
    <row r="489" ht="15.75" customHeight="1">
      <c r="G489" s="16"/>
    </row>
    <row r="490" ht="15.75" customHeight="1">
      <c r="G490" s="16"/>
    </row>
    <row r="491" ht="15.75" customHeight="1">
      <c r="G491" s="16"/>
    </row>
    <row r="492" ht="15.75" customHeight="1">
      <c r="G492" s="16"/>
    </row>
    <row r="493" ht="15.75" customHeight="1">
      <c r="G493" s="16"/>
    </row>
    <row r="494" ht="15.75" customHeight="1">
      <c r="G494" s="16"/>
    </row>
    <row r="495" ht="15.75" customHeight="1">
      <c r="G495" s="16"/>
    </row>
    <row r="496" ht="15.75" customHeight="1">
      <c r="G496" s="16"/>
    </row>
    <row r="497" ht="15.75" customHeight="1">
      <c r="G497" s="16"/>
    </row>
    <row r="498" ht="15.75" customHeight="1">
      <c r="G498" s="16"/>
    </row>
    <row r="499" ht="15.75" customHeight="1">
      <c r="G499" s="16"/>
    </row>
    <row r="500" ht="15.75" customHeight="1">
      <c r="G500" s="16"/>
    </row>
    <row r="501" ht="15.75" customHeight="1">
      <c r="G501" s="16"/>
    </row>
    <row r="502" ht="15.75" customHeight="1">
      <c r="G502" s="16"/>
    </row>
    <row r="503" ht="15.75" customHeight="1">
      <c r="G503" s="16"/>
    </row>
    <row r="504" ht="15.75" customHeight="1">
      <c r="G504" s="16"/>
    </row>
    <row r="505" ht="15.75" customHeight="1">
      <c r="G505" s="16"/>
    </row>
    <row r="506" ht="15.75" customHeight="1">
      <c r="G506" s="16"/>
    </row>
    <row r="507" ht="15.75" customHeight="1">
      <c r="G507" s="16"/>
    </row>
    <row r="508" ht="15.75" customHeight="1">
      <c r="G508" s="16"/>
    </row>
    <row r="509" ht="15.75" customHeight="1">
      <c r="G509" s="16"/>
    </row>
    <row r="510" ht="15.75" customHeight="1">
      <c r="G510" s="16"/>
    </row>
    <row r="511" ht="15.75" customHeight="1">
      <c r="G511" s="16"/>
    </row>
    <row r="512" ht="15.75" customHeight="1">
      <c r="G512" s="16"/>
    </row>
    <row r="513" ht="15.75" customHeight="1">
      <c r="G513" s="16"/>
    </row>
    <row r="514" ht="15.75" customHeight="1">
      <c r="G514" s="16"/>
    </row>
    <row r="515" ht="15.75" customHeight="1">
      <c r="G515" s="16"/>
    </row>
    <row r="516" ht="15.75" customHeight="1">
      <c r="G516" s="16"/>
    </row>
    <row r="517" ht="15.75" customHeight="1">
      <c r="G517" s="16"/>
    </row>
    <row r="518" ht="15.75" customHeight="1">
      <c r="G518" s="16"/>
    </row>
    <row r="519" ht="15.75" customHeight="1">
      <c r="G519" s="16"/>
    </row>
    <row r="520" ht="15.75" customHeight="1">
      <c r="G520" s="16"/>
    </row>
    <row r="521" ht="15.75" customHeight="1">
      <c r="G521" s="16"/>
    </row>
    <row r="522" ht="15.75" customHeight="1">
      <c r="G522" s="16"/>
    </row>
    <row r="523" ht="15.75" customHeight="1">
      <c r="G523" s="16"/>
    </row>
    <row r="524" ht="15.75" customHeight="1">
      <c r="G524" s="16"/>
    </row>
    <row r="525" ht="15.75" customHeight="1">
      <c r="G525" s="16"/>
    </row>
    <row r="526" ht="15.75" customHeight="1">
      <c r="G526" s="16"/>
    </row>
    <row r="527" ht="15.75" customHeight="1">
      <c r="G527" s="16"/>
    </row>
    <row r="528" ht="15.75" customHeight="1">
      <c r="G528" s="16"/>
    </row>
    <row r="529" ht="15.75" customHeight="1">
      <c r="G529" s="16"/>
    </row>
    <row r="530" ht="15.75" customHeight="1">
      <c r="G530" s="16"/>
    </row>
    <row r="531" ht="15.75" customHeight="1">
      <c r="G531" s="16"/>
    </row>
    <row r="532" ht="15.75" customHeight="1">
      <c r="G532" s="16"/>
    </row>
    <row r="533" ht="15.75" customHeight="1">
      <c r="G533" s="16"/>
    </row>
    <row r="534" ht="15.75" customHeight="1">
      <c r="G534" s="16"/>
    </row>
    <row r="535" ht="15.75" customHeight="1">
      <c r="G535" s="16"/>
    </row>
    <row r="536" ht="15.75" customHeight="1">
      <c r="G536" s="16"/>
    </row>
    <row r="537" ht="15.75" customHeight="1">
      <c r="G537" s="16"/>
    </row>
    <row r="538" ht="15.75" customHeight="1">
      <c r="G538" s="16"/>
    </row>
    <row r="539" ht="15.75" customHeight="1">
      <c r="G539" s="16"/>
    </row>
    <row r="540" ht="15.75" customHeight="1">
      <c r="G540" s="16"/>
    </row>
    <row r="541" ht="15.75" customHeight="1">
      <c r="G541" s="16"/>
    </row>
    <row r="542" ht="15.75" customHeight="1">
      <c r="G542" s="16"/>
    </row>
    <row r="543" ht="15.75" customHeight="1">
      <c r="G543" s="16"/>
    </row>
    <row r="544" ht="15.75" customHeight="1">
      <c r="G544" s="16"/>
    </row>
    <row r="545" ht="15.75" customHeight="1">
      <c r="G545" s="16"/>
    </row>
    <row r="546" ht="15.75" customHeight="1">
      <c r="G546" s="16"/>
    </row>
    <row r="547" ht="15.75" customHeight="1">
      <c r="G547" s="16"/>
    </row>
    <row r="548" ht="15.75" customHeight="1">
      <c r="G548" s="16"/>
    </row>
    <row r="549" ht="15.75" customHeight="1">
      <c r="G549" s="16"/>
    </row>
    <row r="550" ht="15.75" customHeight="1">
      <c r="G550" s="16"/>
    </row>
    <row r="551" ht="15.75" customHeight="1">
      <c r="G551" s="16"/>
    </row>
    <row r="552" ht="15.75" customHeight="1">
      <c r="G552" s="16"/>
    </row>
    <row r="553" ht="15.75" customHeight="1">
      <c r="G553" s="16"/>
    </row>
    <row r="554" ht="15.75" customHeight="1">
      <c r="G554" s="16"/>
    </row>
    <row r="555" ht="15.75" customHeight="1">
      <c r="G555" s="16"/>
    </row>
    <row r="556" ht="15.75" customHeight="1">
      <c r="G556" s="16"/>
    </row>
    <row r="557" ht="15.75" customHeight="1">
      <c r="G557" s="16"/>
    </row>
    <row r="558" ht="15.75" customHeight="1">
      <c r="G558" s="16"/>
    </row>
    <row r="559" ht="15.75" customHeight="1">
      <c r="G559" s="16"/>
    </row>
    <row r="560" ht="15.75" customHeight="1">
      <c r="G560" s="16"/>
    </row>
    <row r="561" ht="15.75" customHeight="1">
      <c r="G561" s="16"/>
    </row>
    <row r="562" ht="15.75" customHeight="1">
      <c r="G562" s="16"/>
    </row>
    <row r="563" ht="15.75" customHeight="1">
      <c r="G563" s="16"/>
    </row>
    <row r="564" ht="15.75" customHeight="1">
      <c r="G564" s="16"/>
    </row>
    <row r="565" ht="15.75" customHeight="1">
      <c r="G565" s="16"/>
    </row>
    <row r="566" ht="15.75" customHeight="1">
      <c r="G566" s="16"/>
    </row>
    <row r="567" ht="15.75" customHeight="1">
      <c r="G567" s="16"/>
    </row>
    <row r="568" ht="15.75" customHeight="1">
      <c r="G568" s="16"/>
    </row>
    <row r="569" ht="15.75" customHeight="1">
      <c r="G569" s="16"/>
    </row>
    <row r="570" ht="15.75" customHeight="1">
      <c r="G570" s="16"/>
    </row>
    <row r="571" ht="15.75" customHeight="1">
      <c r="G571" s="16"/>
    </row>
    <row r="572" ht="15.75" customHeight="1">
      <c r="G572" s="16"/>
    </row>
    <row r="573" ht="15.75" customHeight="1">
      <c r="G573" s="16"/>
    </row>
    <row r="574" ht="15.75" customHeight="1">
      <c r="G574" s="16"/>
    </row>
    <row r="575" ht="15.75" customHeight="1">
      <c r="G575" s="16"/>
    </row>
    <row r="576" ht="15.75" customHeight="1">
      <c r="G576" s="16"/>
    </row>
    <row r="577" ht="15.75" customHeight="1">
      <c r="G577" s="16"/>
    </row>
    <row r="578" ht="15.75" customHeight="1">
      <c r="G578" s="16"/>
    </row>
    <row r="579" ht="15.75" customHeight="1">
      <c r="G579" s="16"/>
    </row>
    <row r="580" ht="15.75" customHeight="1">
      <c r="G580" s="16"/>
    </row>
    <row r="581" ht="15.75" customHeight="1">
      <c r="G581" s="16"/>
    </row>
    <row r="582" ht="15.75" customHeight="1">
      <c r="G582" s="16"/>
    </row>
    <row r="583" ht="15.75" customHeight="1">
      <c r="G583" s="16"/>
    </row>
    <row r="584" ht="15.75" customHeight="1">
      <c r="G584" s="16"/>
    </row>
    <row r="585" ht="15.75" customHeight="1">
      <c r="G585" s="16"/>
    </row>
    <row r="586" ht="15.75" customHeight="1">
      <c r="G586" s="16"/>
    </row>
    <row r="587" ht="15.75" customHeight="1">
      <c r="G587" s="16"/>
    </row>
    <row r="588" ht="15.75" customHeight="1">
      <c r="G588" s="16"/>
    </row>
    <row r="589" ht="15.75" customHeight="1">
      <c r="G589" s="16"/>
    </row>
    <row r="590" ht="15.75" customHeight="1">
      <c r="G590" s="16"/>
    </row>
    <row r="591" ht="15.75" customHeight="1">
      <c r="G591" s="16"/>
    </row>
    <row r="592" ht="15.75" customHeight="1">
      <c r="G592" s="16"/>
    </row>
    <row r="593" ht="15.75" customHeight="1">
      <c r="G593" s="16"/>
    </row>
    <row r="594" ht="15.75" customHeight="1">
      <c r="G594" s="16"/>
    </row>
    <row r="595" ht="15.75" customHeight="1">
      <c r="G595" s="16"/>
    </row>
    <row r="596" ht="15.75" customHeight="1">
      <c r="G596" s="16"/>
    </row>
    <row r="597" ht="15.75" customHeight="1">
      <c r="G597" s="16"/>
    </row>
    <row r="598" ht="15.75" customHeight="1">
      <c r="G598" s="16"/>
    </row>
    <row r="599" ht="15.75" customHeight="1">
      <c r="G599" s="16"/>
    </row>
    <row r="600" ht="15.75" customHeight="1">
      <c r="G600" s="16"/>
    </row>
    <row r="601" ht="15.75" customHeight="1">
      <c r="G601" s="16"/>
    </row>
    <row r="602" ht="15.75" customHeight="1">
      <c r="G602" s="16"/>
    </row>
    <row r="603" ht="15.75" customHeight="1">
      <c r="G603" s="16"/>
    </row>
    <row r="604" ht="15.75" customHeight="1">
      <c r="G604" s="16"/>
    </row>
    <row r="605" ht="15.75" customHeight="1">
      <c r="G605" s="16"/>
    </row>
    <row r="606" ht="15.75" customHeight="1">
      <c r="G606" s="16"/>
    </row>
    <row r="607" ht="15.75" customHeight="1">
      <c r="G607" s="16"/>
    </row>
    <row r="608" ht="15.75" customHeight="1">
      <c r="G608" s="16"/>
    </row>
    <row r="609" ht="15.75" customHeight="1">
      <c r="G609" s="16"/>
    </row>
    <row r="610" ht="15.75" customHeight="1">
      <c r="G610" s="16"/>
    </row>
    <row r="611" ht="15.75" customHeight="1">
      <c r="G611" s="16"/>
    </row>
    <row r="612" ht="15.75" customHeight="1">
      <c r="G612" s="16"/>
    </row>
    <row r="613" ht="15.75" customHeight="1">
      <c r="G613" s="16"/>
    </row>
    <row r="614" ht="15.75" customHeight="1">
      <c r="G614" s="16"/>
    </row>
    <row r="615" ht="15.75" customHeight="1">
      <c r="G615" s="16"/>
    </row>
    <row r="616" ht="15.75" customHeight="1">
      <c r="G616" s="16"/>
    </row>
    <row r="617" ht="15.75" customHeight="1">
      <c r="G617" s="16"/>
    </row>
    <row r="618" ht="15.75" customHeight="1">
      <c r="G618" s="16"/>
    </row>
    <row r="619" ht="15.75" customHeight="1">
      <c r="G619" s="16"/>
    </row>
    <row r="620" ht="15.75" customHeight="1">
      <c r="G620" s="16"/>
    </row>
    <row r="621" ht="15.75" customHeight="1">
      <c r="G621" s="16"/>
    </row>
    <row r="622" ht="15.75" customHeight="1">
      <c r="G622" s="16"/>
    </row>
    <row r="623" ht="15.75" customHeight="1">
      <c r="G623" s="16"/>
    </row>
    <row r="624" ht="15.75" customHeight="1">
      <c r="G624" s="16"/>
    </row>
    <row r="625" ht="15.75" customHeight="1">
      <c r="G625" s="16"/>
    </row>
    <row r="626" ht="15.75" customHeight="1">
      <c r="G626" s="16"/>
    </row>
    <row r="627" ht="15.75" customHeight="1">
      <c r="G627" s="16"/>
    </row>
    <row r="628" ht="15.75" customHeight="1">
      <c r="G628" s="16"/>
    </row>
    <row r="629" ht="15.75" customHeight="1">
      <c r="G629" s="16"/>
    </row>
    <row r="630" ht="15.75" customHeight="1">
      <c r="G630" s="16"/>
    </row>
    <row r="631" ht="15.75" customHeight="1">
      <c r="G631" s="16"/>
    </row>
    <row r="632" ht="15.75" customHeight="1">
      <c r="G632" s="16"/>
    </row>
    <row r="633" ht="15.75" customHeight="1">
      <c r="G633" s="16"/>
    </row>
    <row r="634" ht="15.75" customHeight="1">
      <c r="G634" s="16"/>
    </row>
    <row r="635" ht="15.75" customHeight="1">
      <c r="G635" s="16"/>
    </row>
    <row r="636" ht="15.75" customHeight="1">
      <c r="G636" s="16"/>
    </row>
    <row r="637" ht="15.75" customHeight="1">
      <c r="G637" s="16"/>
    </row>
    <row r="638" ht="15.75" customHeight="1">
      <c r="G638" s="16"/>
    </row>
    <row r="639" ht="15.75" customHeight="1">
      <c r="G639" s="16"/>
    </row>
    <row r="640" ht="15.75" customHeight="1">
      <c r="G640" s="16"/>
    </row>
    <row r="641" ht="15.75" customHeight="1">
      <c r="G641" s="16"/>
    </row>
    <row r="642" ht="15.75" customHeight="1">
      <c r="G642" s="16"/>
    </row>
    <row r="643" ht="15.75" customHeight="1">
      <c r="G643" s="16"/>
    </row>
    <row r="644" ht="15.75" customHeight="1">
      <c r="G644" s="16"/>
    </row>
    <row r="645" ht="15.75" customHeight="1">
      <c r="G645" s="16"/>
    </row>
    <row r="646" ht="15.75" customHeight="1">
      <c r="G646" s="16"/>
    </row>
    <row r="647" ht="15.75" customHeight="1">
      <c r="G647" s="16"/>
    </row>
    <row r="648" ht="15.75" customHeight="1">
      <c r="G648" s="16"/>
    </row>
    <row r="649" ht="15.75" customHeight="1">
      <c r="G649" s="16"/>
    </row>
    <row r="650" ht="15.75" customHeight="1">
      <c r="G650" s="16"/>
    </row>
    <row r="651" ht="15.75" customHeight="1">
      <c r="G651" s="16"/>
    </row>
    <row r="652" ht="15.75" customHeight="1">
      <c r="G652" s="16"/>
    </row>
    <row r="653" ht="15.75" customHeight="1">
      <c r="G653" s="16"/>
    </row>
    <row r="654" ht="15.75" customHeight="1">
      <c r="G654" s="16"/>
    </row>
    <row r="655" ht="15.75" customHeight="1">
      <c r="G655" s="16"/>
    </row>
    <row r="656" ht="15.75" customHeight="1">
      <c r="G656" s="16"/>
    </row>
    <row r="657" ht="15.75" customHeight="1">
      <c r="G657" s="16"/>
    </row>
    <row r="658" ht="15.75" customHeight="1">
      <c r="G658" s="16"/>
    </row>
    <row r="659" ht="15.75" customHeight="1">
      <c r="G659" s="16"/>
    </row>
    <row r="660" ht="15.75" customHeight="1">
      <c r="G660" s="16"/>
    </row>
    <row r="661" ht="15.75" customHeight="1">
      <c r="G661" s="16"/>
    </row>
    <row r="662" ht="15.75" customHeight="1">
      <c r="G662" s="16"/>
    </row>
    <row r="663" ht="15.75" customHeight="1">
      <c r="G663" s="16"/>
    </row>
    <row r="664" ht="15.75" customHeight="1">
      <c r="G664" s="16"/>
    </row>
    <row r="665" ht="15.75" customHeight="1">
      <c r="G665" s="16"/>
    </row>
    <row r="666" ht="15.75" customHeight="1">
      <c r="G666" s="16"/>
    </row>
    <row r="667" ht="15.75" customHeight="1">
      <c r="G667" s="16"/>
    </row>
    <row r="668" ht="15.75" customHeight="1">
      <c r="G668" s="16"/>
    </row>
    <row r="669" ht="15.75" customHeight="1">
      <c r="G669" s="16"/>
    </row>
    <row r="670" ht="15.75" customHeight="1">
      <c r="G670" s="16"/>
    </row>
    <row r="671" ht="15.75" customHeight="1">
      <c r="G671" s="16"/>
    </row>
    <row r="672" ht="15.75" customHeight="1">
      <c r="G672" s="16"/>
    </row>
    <row r="673" ht="15.75" customHeight="1">
      <c r="G673" s="16"/>
    </row>
    <row r="674" ht="15.75" customHeight="1">
      <c r="G674" s="16"/>
    </row>
    <row r="675" ht="15.75" customHeight="1">
      <c r="G675" s="16"/>
    </row>
    <row r="676" ht="15.75" customHeight="1">
      <c r="G676" s="16"/>
    </row>
    <row r="677" ht="15.75" customHeight="1">
      <c r="G677" s="16"/>
    </row>
    <row r="678" ht="15.75" customHeight="1">
      <c r="G678" s="16"/>
    </row>
    <row r="679" ht="15.75" customHeight="1">
      <c r="G679" s="16"/>
    </row>
    <row r="680" ht="15.75" customHeight="1">
      <c r="G680" s="16"/>
    </row>
    <row r="681" ht="15.75" customHeight="1">
      <c r="G681" s="16"/>
    </row>
    <row r="682" ht="15.75" customHeight="1">
      <c r="G682" s="16"/>
    </row>
    <row r="683" ht="15.75" customHeight="1">
      <c r="G683" s="16"/>
    </row>
    <row r="684" ht="15.75" customHeight="1">
      <c r="G684" s="16"/>
    </row>
    <row r="685" ht="15.75" customHeight="1">
      <c r="G685" s="16"/>
    </row>
    <row r="686" ht="15.75" customHeight="1">
      <c r="G686" s="16"/>
    </row>
    <row r="687" ht="15.75" customHeight="1">
      <c r="G687" s="16"/>
    </row>
    <row r="688" ht="15.75" customHeight="1">
      <c r="G688" s="16"/>
    </row>
    <row r="689" ht="15.75" customHeight="1">
      <c r="G689" s="16"/>
    </row>
    <row r="690" ht="15.75" customHeight="1">
      <c r="G690" s="16"/>
    </row>
    <row r="691" ht="15.75" customHeight="1">
      <c r="G691" s="16"/>
    </row>
    <row r="692" ht="15.75" customHeight="1">
      <c r="G692" s="16"/>
    </row>
    <row r="693" ht="15.75" customHeight="1">
      <c r="G693" s="16"/>
    </row>
    <row r="694" ht="15.75" customHeight="1">
      <c r="G694" s="16"/>
    </row>
    <row r="695" ht="15.75" customHeight="1">
      <c r="G695" s="16"/>
    </row>
    <row r="696" ht="15.75" customHeight="1">
      <c r="G696" s="16"/>
    </row>
    <row r="697" ht="15.75" customHeight="1">
      <c r="G697" s="16"/>
    </row>
    <row r="698" ht="15.75" customHeight="1">
      <c r="G698" s="16"/>
    </row>
    <row r="699" ht="15.75" customHeight="1">
      <c r="G699" s="16"/>
    </row>
    <row r="700" ht="15.75" customHeight="1">
      <c r="G700" s="16"/>
    </row>
    <row r="701" ht="15.75" customHeight="1">
      <c r="G701" s="16"/>
    </row>
    <row r="702" ht="15.75" customHeight="1">
      <c r="G702" s="16"/>
    </row>
    <row r="703" ht="15.75" customHeight="1">
      <c r="G703" s="16"/>
    </row>
    <row r="704" ht="15.75" customHeight="1">
      <c r="G704" s="16"/>
    </row>
    <row r="705" ht="15.75" customHeight="1">
      <c r="G705" s="16"/>
    </row>
    <row r="706" ht="15.75" customHeight="1">
      <c r="G706" s="16"/>
    </row>
    <row r="707" ht="15.75" customHeight="1">
      <c r="G707" s="16"/>
    </row>
    <row r="708" ht="15.75" customHeight="1">
      <c r="G708" s="16"/>
    </row>
    <row r="709" ht="15.75" customHeight="1">
      <c r="G709" s="16"/>
    </row>
    <row r="710" ht="15.75" customHeight="1">
      <c r="G710" s="16"/>
    </row>
    <row r="711" ht="15.75" customHeight="1">
      <c r="G711" s="16"/>
    </row>
    <row r="712" ht="15.75" customHeight="1">
      <c r="G712" s="16"/>
    </row>
    <row r="713" ht="15.75" customHeight="1">
      <c r="G713" s="16"/>
    </row>
    <row r="714" ht="15.75" customHeight="1">
      <c r="G714" s="16"/>
    </row>
    <row r="715" ht="15.75" customHeight="1">
      <c r="G715" s="16"/>
    </row>
    <row r="716" ht="15.75" customHeight="1">
      <c r="G716" s="16"/>
    </row>
    <row r="717" ht="15.75" customHeight="1">
      <c r="G717" s="16"/>
    </row>
    <row r="718" ht="15.75" customHeight="1">
      <c r="G718" s="16"/>
    </row>
    <row r="719" ht="15.75" customHeight="1">
      <c r="G719" s="16"/>
    </row>
    <row r="720" ht="15.75" customHeight="1">
      <c r="G720" s="16"/>
    </row>
    <row r="721" ht="15.75" customHeight="1">
      <c r="G721" s="16"/>
    </row>
    <row r="722" ht="15.75" customHeight="1">
      <c r="G722" s="16"/>
    </row>
    <row r="723" ht="15.75" customHeight="1">
      <c r="G723" s="16"/>
    </row>
    <row r="724" ht="15.75" customHeight="1">
      <c r="G724" s="16"/>
    </row>
    <row r="725" ht="15.75" customHeight="1">
      <c r="G725" s="16"/>
    </row>
    <row r="726" ht="15.75" customHeight="1">
      <c r="G726" s="16"/>
    </row>
    <row r="727" ht="15.75" customHeight="1">
      <c r="G727" s="16"/>
    </row>
    <row r="728" ht="15.75" customHeight="1">
      <c r="G728" s="16"/>
    </row>
    <row r="729" ht="15.75" customHeight="1">
      <c r="G729" s="16"/>
    </row>
    <row r="730" ht="15.75" customHeight="1">
      <c r="G730" s="16"/>
    </row>
    <row r="731" ht="15.75" customHeight="1">
      <c r="G731" s="16"/>
    </row>
    <row r="732" ht="15.75" customHeight="1">
      <c r="G732" s="16"/>
    </row>
    <row r="733" ht="15.75" customHeight="1">
      <c r="G733" s="16"/>
    </row>
    <row r="734" ht="15.75" customHeight="1">
      <c r="G734" s="16"/>
    </row>
    <row r="735" ht="15.75" customHeight="1">
      <c r="G735" s="16"/>
    </row>
    <row r="736" ht="15.75" customHeight="1">
      <c r="G736" s="16"/>
    </row>
    <row r="737" ht="15.75" customHeight="1">
      <c r="G737" s="16"/>
    </row>
    <row r="738" ht="15.75" customHeight="1">
      <c r="G738" s="16"/>
    </row>
    <row r="739" ht="15.75" customHeight="1">
      <c r="G739" s="16"/>
    </row>
    <row r="740" ht="15.75" customHeight="1">
      <c r="G740" s="16"/>
    </row>
    <row r="741" ht="15.75" customHeight="1">
      <c r="G741" s="16"/>
    </row>
    <row r="742" ht="15.75" customHeight="1">
      <c r="G742" s="16"/>
    </row>
    <row r="743" ht="15.75" customHeight="1">
      <c r="G743" s="16"/>
    </row>
    <row r="744" ht="15.75" customHeight="1">
      <c r="G744" s="16"/>
    </row>
    <row r="745" ht="15.75" customHeight="1">
      <c r="G745" s="16"/>
    </row>
    <row r="746" ht="15.75" customHeight="1">
      <c r="G746" s="16"/>
    </row>
    <row r="747" ht="15.75" customHeight="1">
      <c r="G747" s="16"/>
    </row>
    <row r="748" ht="15.75" customHeight="1">
      <c r="G748" s="16"/>
    </row>
    <row r="749" ht="15.75" customHeight="1">
      <c r="G749" s="16"/>
    </row>
    <row r="750" ht="15.75" customHeight="1">
      <c r="G750" s="16"/>
    </row>
    <row r="751" ht="15.75" customHeight="1">
      <c r="G751" s="16"/>
    </row>
    <row r="752" ht="15.75" customHeight="1">
      <c r="G752" s="16"/>
    </row>
    <row r="753" ht="15.75" customHeight="1">
      <c r="G753" s="16"/>
    </row>
    <row r="754" ht="15.75" customHeight="1">
      <c r="G754" s="16"/>
    </row>
    <row r="755" ht="15.75" customHeight="1">
      <c r="G755" s="16"/>
    </row>
    <row r="756" ht="15.75" customHeight="1">
      <c r="G756" s="16"/>
    </row>
    <row r="757" ht="15.75" customHeight="1">
      <c r="G757" s="16"/>
    </row>
    <row r="758" ht="15.75" customHeight="1">
      <c r="G758" s="16"/>
    </row>
    <row r="759" ht="15.75" customHeight="1">
      <c r="G759" s="16"/>
    </row>
    <row r="760" ht="15.75" customHeight="1">
      <c r="G760" s="16"/>
    </row>
    <row r="761" ht="15.75" customHeight="1">
      <c r="G761" s="16"/>
    </row>
    <row r="762" ht="15.75" customHeight="1">
      <c r="G762" s="16"/>
    </row>
    <row r="763" ht="15.75" customHeight="1">
      <c r="G763" s="16"/>
    </row>
    <row r="764" ht="15.75" customHeight="1">
      <c r="G764" s="16"/>
    </row>
    <row r="765" ht="15.75" customHeight="1">
      <c r="G765" s="16"/>
    </row>
    <row r="766" ht="15.75" customHeight="1">
      <c r="G766" s="16"/>
    </row>
    <row r="767" ht="15.75" customHeight="1">
      <c r="G767" s="16"/>
    </row>
    <row r="768" ht="15.75" customHeight="1">
      <c r="G768" s="16"/>
    </row>
    <row r="769" ht="15.75" customHeight="1">
      <c r="G769" s="16"/>
    </row>
    <row r="770" ht="15.75" customHeight="1">
      <c r="G770" s="16"/>
    </row>
    <row r="771" ht="15.75" customHeight="1">
      <c r="G771" s="16"/>
    </row>
    <row r="772" ht="15.75" customHeight="1">
      <c r="G772" s="16"/>
    </row>
    <row r="773" ht="15.75" customHeight="1">
      <c r="G773" s="16"/>
    </row>
    <row r="774" ht="15.75" customHeight="1">
      <c r="G774" s="16"/>
    </row>
    <row r="775" ht="15.75" customHeight="1">
      <c r="G775" s="16"/>
    </row>
    <row r="776" ht="15.75" customHeight="1">
      <c r="G776" s="16"/>
    </row>
    <row r="777" ht="15.75" customHeight="1">
      <c r="G777" s="16"/>
    </row>
    <row r="778" ht="15.75" customHeight="1">
      <c r="G778" s="16"/>
    </row>
    <row r="779" ht="15.75" customHeight="1">
      <c r="G779" s="16"/>
    </row>
    <row r="780" ht="15.75" customHeight="1">
      <c r="G780" s="16"/>
    </row>
    <row r="781" ht="15.75" customHeight="1">
      <c r="G781" s="16"/>
    </row>
    <row r="782" ht="15.75" customHeight="1">
      <c r="G782" s="16"/>
    </row>
    <row r="783" ht="15.75" customHeight="1">
      <c r="G783" s="16"/>
    </row>
    <row r="784" ht="15.75" customHeight="1">
      <c r="G784" s="16"/>
    </row>
    <row r="785" ht="15.75" customHeight="1">
      <c r="G785" s="16"/>
    </row>
    <row r="786" ht="15.75" customHeight="1">
      <c r="G786" s="16"/>
    </row>
    <row r="787" ht="15.75" customHeight="1">
      <c r="G787" s="16"/>
    </row>
    <row r="788" ht="15.75" customHeight="1">
      <c r="G788" s="16"/>
    </row>
    <row r="789" ht="15.75" customHeight="1">
      <c r="G789" s="16"/>
    </row>
    <row r="790" ht="15.75" customHeight="1">
      <c r="G790" s="16"/>
    </row>
    <row r="791" ht="15.75" customHeight="1">
      <c r="G791" s="16"/>
    </row>
    <row r="792" ht="15.75" customHeight="1">
      <c r="G792" s="16"/>
    </row>
    <row r="793" ht="15.75" customHeight="1">
      <c r="G793" s="16"/>
    </row>
    <row r="794" ht="15.75" customHeight="1">
      <c r="G794" s="16"/>
    </row>
    <row r="795" ht="15.75" customHeight="1">
      <c r="G795" s="16"/>
    </row>
    <row r="796" ht="15.75" customHeight="1">
      <c r="G796" s="16"/>
    </row>
    <row r="797" ht="15.75" customHeight="1">
      <c r="G797" s="16"/>
    </row>
    <row r="798" ht="15.75" customHeight="1">
      <c r="G798" s="16"/>
    </row>
    <row r="799" ht="15.75" customHeight="1">
      <c r="G799" s="16"/>
    </row>
    <row r="800" ht="15.75" customHeight="1">
      <c r="G800" s="16"/>
    </row>
    <row r="801" ht="15.75" customHeight="1">
      <c r="G801" s="16"/>
    </row>
    <row r="802" ht="15.75" customHeight="1">
      <c r="G802" s="16"/>
    </row>
    <row r="803" ht="15.75" customHeight="1">
      <c r="G803" s="16"/>
    </row>
    <row r="804" ht="15.75" customHeight="1">
      <c r="G804" s="16"/>
    </row>
    <row r="805" ht="15.75" customHeight="1">
      <c r="G805" s="16"/>
    </row>
    <row r="806" ht="15.75" customHeight="1">
      <c r="G806" s="16"/>
    </row>
    <row r="807" ht="15.75" customHeight="1">
      <c r="G807" s="16"/>
    </row>
    <row r="808" ht="15.75" customHeight="1">
      <c r="G808" s="16"/>
    </row>
    <row r="809" ht="15.75" customHeight="1">
      <c r="G809" s="16"/>
    </row>
    <row r="810" ht="15.75" customHeight="1">
      <c r="G810" s="16"/>
    </row>
    <row r="811" ht="15.75" customHeight="1">
      <c r="G811" s="16"/>
    </row>
    <row r="812" ht="15.75" customHeight="1">
      <c r="G812" s="16"/>
    </row>
    <row r="813" ht="15.75" customHeight="1">
      <c r="G813" s="16"/>
    </row>
    <row r="814" ht="15.75" customHeight="1">
      <c r="G814" s="16"/>
    </row>
    <row r="815" ht="15.75" customHeight="1">
      <c r="G815" s="16"/>
    </row>
    <row r="816" ht="15.75" customHeight="1">
      <c r="G816" s="16"/>
    </row>
    <row r="817" ht="15.75" customHeight="1">
      <c r="G817" s="16"/>
    </row>
    <row r="818" ht="15.75" customHeight="1">
      <c r="G818" s="16"/>
    </row>
    <row r="819" ht="15.75" customHeight="1">
      <c r="G819" s="16"/>
    </row>
    <row r="820" ht="15.75" customHeight="1">
      <c r="G820" s="16"/>
    </row>
    <row r="821" ht="15.75" customHeight="1">
      <c r="G821" s="16"/>
    </row>
    <row r="822" ht="15.75" customHeight="1">
      <c r="G822" s="16"/>
    </row>
    <row r="823" ht="15.75" customHeight="1">
      <c r="G823" s="16"/>
    </row>
    <row r="824" ht="15.75" customHeight="1">
      <c r="G824" s="16"/>
    </row>
    <row r="825" ht="15.75" customHeight="1">
      <c r="G825" s="16"/>
    </row>
    <row r="826" ht="15.75" customHeight="1">
      <c r="G826" s="16"/>
    </row>
    <row r="827" ht="15.75" customHeight="1">
      <c r="G827" s="16"/>
    </row>
    <row r="828" ht="15.75" customHeight="1">
      <c r="G828" s="16"/>
    </row>
    <row r="829" ht="15.75" customHeight="1">
      <c r="G829" s="16"/>
    </row>
    <row r="830" ht="15.75" customHeight="1">
      <c r="G830" s="16"/>
    </row>
    <row r="831" ht="15.75" customHeight="1">
      <c r="G831" s="16"/>
    </row>
    <row r="832" ht="15.75" customHeight="1">
      <c r="G832" s="16"/>
    </row>
    <row r="833" ht="15.75" customHeight="1">
      <c r="G833" s="16"/>
    </row>
    <row r="834" ht="15.75" customHeight="1">
      <c r="G834" s="16"/>
    </row>
    <row r="835" ht="15.75" customHeight="1">
      <c r="G835" s="16"/>
    </row>
    <row r="836" ht="15.75" customHeight="1">
      <c r="G836" s="16"/>
    </row>
    <row r="837" ht="15.75" customHeight="1">
      <c r="G837" s="16"/>
    </row>
    <row r="838" ht="15.75" customHeight="1">
      <c r="G838" s="16"/>
    </row>
    <row r="839" ht="15.75" customHeight="1">
      <c r="G839" s="16"/>
    </row>
    <row r="840" ht="15.75" customHeight="1">
      <c r="G840" s="16"/>
    </row>
    <row r="841" ht="15.75" customHeight="1">
      <c r="G841" s="16"/>
    </row>
    <row r="842" ht="15.75" customHeight="1">
      <c r="G842" s="16"/>
    </row>
    <row r="843" ht="15.75" customHeight="1">
      <c r="G843" s="16"/>
    </row>
    <row r="844" ht="15.75" customHeight="1">
      <c r="G844" s="16"/>
    </row>
    <row r="845" ht="15.75" customHeight="1">
      <c r="G845" s="16"/>
    </row>
    <row r="846" ht="15.75" customHeight="1">
      <c r="G846" s="16"/>
    </row>
    <row r="847" ht="15.75" customHeight="1">
      <c r="G847" s="16"/>
    </row>
    <row r="848" ht="15.75" customHeight="1">
      <c r="G848" s="16"/>
    </row>
    <row r="849" ht="15.75" customHeight="1">
      <c r="G849" s="16"/>
    </row>
    <row r="850" ht="15.75" customHeight="1">
      <c r="G850" s="16"/>
    </row>
    <row r="851" ht="15.75" customHeight="1">
      <c r="G851" s="16"/>
    </row>
    <row r="852" ht="15.75" customHeight="1">
      <c r="G852" s="16"/>
    </row>
    <row r="853" ht="15.75" customHeight="1">
      <c r="G853" s="16"/>
    </row>
    <row r="854" ht="15.75" customHeight="1">
      <c r="G854" s="16"/>
    </row>
    <row r="855" ht="15.75" customHeight="1">
      <c r="G855" s="16"/>
    </row>
    <row r="856" ht="15.75" customHeight="1">
      <c r="G856" s="16"/>
    </row>
    <row r="857" ht="15.75" customHeight="1">
      <c r="G857" s="16"/>
    </row>
    <row r="858" ht="15.75" customHeight="1">
      <c r="G858" s="16"/>
    </row>
    <row r="859" ht="15.75" customHeight="1">
      <c r="G859" s="16"/>
    </row>
    <row r="860" ht="15.75" customHeight="1">
      <c r="G860" s="16"/>
    </row>
    <row r="861" ht="15.75" customHeight="1">
      <c r="G861" s="16"/>
    </row>
    <row r="862" ht="15.75" customHeight="1">
      <c r="G862" s="16"/>
    </row>
    <row r="863" ht="15.75" customHeight="1">
      <c r="G863" s="16"/>
    </row>
    <row r="864" ht="15.75" customHeight="1">
      <c r="G864" s="16"/>
    </row>
    <row r="865" ht="15.75" customHeight="1">
      <c r="G865" s="16"/>
    </row>
    <row r="866" ht="15.75" customHeight="1">
      <c r="G866" s="16"/>
    </row>
    <row r="867" ht="15.75" customHeight="1">
      <c r="G867" s="16"/>
    </row>
    <row r="868" ht="15.75" customHeight="1">
      <c r="G868" s="16"/>
    </row>
    <row r="869" ht="15.75" customHeight="1">
      <c r="G869" s="16"/>
    </row>
    <row r="870" ht="15.75" customHeight="1">
      <c r="G870" s="16"/>
    </row>
    <row r="871" ht="15.75" customHeight="1">
      <c r="G871" s="16"/>
    </row>
    <row r="872" ht="15.75" customHeight="1">
      <c r="G872" s="16"/>
    </row>
    <row r="873" ht="15.75" customHeight="1">
      <c r="G873" s="16"/>
    </row>
    <row r="874" ht="15.75" customHeight="1">
      <c r="G874" s="16"/>
    </row>
    <row r="875" ht="15.75" customHeight="1">
      <c r="G875" s="16"/>
    </row>
    <row r="876" ht="15.75" customHeight="1">
      <c r="G876" s="16"/>
    </row>
    <row r="877" ht="15.75" customHeight="1">
      <c r="G877" s="16"/>
    </row>
    <row r="878" ht="15.75" customHeight="1">
      <c r="G878" s="16"/>
    </row>
    <row r="879" ht="15.75" customHeight="1">
      <c r="G879" s="16"/>
    </row>
    <row r="880" ht="15.75" customHeight="1">
      <c r="G880" s="16"/>
    </row>
    <row r="881" ht="15.75" customHeight="1">
      <c r="G881" s="16"/>
    </row>
    <row r="882" ht="15.75" customHeight="1">
      <c r="G882" s="16"/>
    </row>
    <row r="883" ht="15.75" customHeight="1">
      <c r="G883" s="16"/>
    </row>
    <row r="884" ht="15.75" customHeight="1">
      <c r="G884" s="16"/>
    </row>
    <row r="885" ht="15.75" customHeight="1">
      <c r="G885" s="16"/>
    </row>
    <row r="886" ht="15.75" customHeight="1">
      <c r="G886" s="16"/>
    </row>
    <row r="887" ht="15.75" customHeight="1">
      <c r="G887" s="16"/>
    </row>
    <row r="888" ht="15.75" customHeight="1">
      <c r="G888" s="16"/>
    </row>
    <row r="889" ht="15.75" customHeight="1">
      <c r="G889" s="16"/>
    </row>
    <row r="890" ht="15.75" customHeight="1">
      <c r="G890" s="16"/>
    </row>
    <row r="891" ht="15.75" customHeight="1">
      <c r="G891" s="16"/>
    </row>
    <row r="892" ht="15.75" customHeight="1">
      <c r="G892" s="16"/>
    </row>
    <row r="893" ht="15.75" customHeight="1">
      <c r="G893" s="16"/>
    </row>
    <row r="894" ht="15.75" customHeight="1">
      <c r="G894" s="16"/>
    </row>
    <row r="895" ht="15.75" customHeight="1">
      <c r="G895" s="16"/>
    </row>
    <row r="896" ht="15.75" customHeight="1">
      <c r="G896" s="16"/>
    </row>
    <row r="897" ht="15.75" customHeight="1">
      <c r="G897" s="16"/>
    </row>
    <row r="898" ht="15.75" customHeight="1">
      <c r="G898" s="16"/>
    </row>
    <row r="899" ht="15.75" customHeight="1">
      <c r="G899" s="16"/>
    </row>
    <row r="900" ht="15.75" customHeight="1">
      <c r="G900" s="16"/>
    </row>
    <row r="901" ht="15.75" customHeight="1">
      <c r="G901" s="16"/>
    </row>
    <row r="902" ht="15.75" customHeight="1">
      <c r="G902" s="16"/>
    </row>
    <row r="903" ht="15.75" customHeight="1">
      <c r="G903" s="16"/>
    </row>
    <row r="904" ht="15.75" customHeight="1">
      <c r="G904" s="16"/>
    </row>
    <row r="905" ht="15.75" customHeight="1">
      <c r="G905" s="16"/>
    </row>
    <row r="906" ht="15.75" customHeight="1">
      <c r="G906" s="16"/>
    </row>
    <row r="907" ht="15.75" customHeight="1">
      <c r="G907" s="16"/>
    </row>
    <row r="908" ht="15.75" customHeight="1">
      <c r="G908" s="16"/>
    </row>
    <row r="909" ht="15.75" customHeight="1">
      <c r="G909" s="16"/>
    </row>
    <row r="910" ht="15.75" customHeight="1">
      <c r="G910" s="16"/>
    </row>
    <row r="911" ht="15.75" customHeight="1">
      <c r="G911" s="16"/>
    </row>
    <row r="912" ht="15.75" customHeight="1">
      <c r="G912" s="16"/>
    </row>
    <row r="913" ht="15.75" customHeight="1">
      <c r="G913" s="16"/>
    </row>
    <row r="914" ht="15.75" customHeight="1">
      <c r="G914" s="16"/>
    </row>
    <row r="915" ht="15.75" customHeight="1">
      <c r="G915" s="16"/>
    </row>
    <row r="916" ht="15.75" customHeight="1">
      <c r="G916" s="16"/>
    </row>
    <row r="917" ht="15.75" customHeight="1">
      <c r="G917" s="16"/>
    </row>
    <row r="918" ht="15.75" customHeight="1">
      <c r="G918" s="16"/>
    </row>
    <row r="919" ht="15.75" customHeight="1">
      <c r="G919" s="16"/>
    </row>
    <row r="920" ht="15.75" customHeight="1">
      <c r="G920" s="16"/>
    </row>
    <row r="921" ht="15.75" customHeight="1">
      <c r="G921" s="16"/>
    </row>
    <row r="922" ht="15.75" customHeight="1">
      <c r="G922" s="16"/>
    </row>
    <row r="923" ht="15.75" customHeight="1">
      <c r="G923" s="16"/>
    </row>
    <row r="924" ht="15.75" customHeight="1">
      <c r="G924" s="16"/>
    </row>
    <row r="925" ht="15.75" customHeight="1">
      <c r="G925" s="16"/>
    </row>
    <row r="926" ht="15.75" customHeight="1">
      <c r="G926" s="16"/>
    </row>
    <row r="927" ht="15.75" customHeight="1">
      <c r="G927" s="16"/>
    </row>
    <row r="928" ht="15.75" customHeight="1">
      <c r="G928" s="16"/>
    </row>
    <row r="929" ht="15.75" customHeight="1">
      <c r="G929" s="16"/>
    </row>
    <row r="930" ht="15.75" customHeight="1">
      <c r="G930" s="16"/>
    </row>
    <row r="931" ht="15.75" customHeight="1">
      <c r="G931" s="16"/>
    </row>
    <row r="932" ht="15.75" customHeight="1">
      <c r="G932" s="16"/>
    </row>
    <row r="933" ht="15.75" customHeight="1">
      <c r="G933" s="16"/>
    </row>
    <row r="934" ht="15.75" customHeight="1">
      <c r="G934" s="16"/>
    </row>
    <row r="935" ht="15.75" customHeight="1">
      <c r="G935" s="16"/>
    </row>
    <row r="936" ht="15.75" customHeight="1">
      <c r="G936" s="16"/>
    </row>
    <row r="937" ht="15.75" customHeight="1">
      <c r="G937" s="16"/>
    </row>
    <row r="938" ht="15.75" customHeight="1">
      <c r="G938" s="16"/>
    </row>
    <row r="939" ht="15.75" customHeight="1">
      <c r="G939" s="16"/>
    </row>
    <row r="940" ht="15.75" customHeight="1">
      <c r="G940" s="16"/>
    </row>
    <row r="941" ht="15.75" customHeight="1">
      <c r="G941" s="16"/>
    </row>
    <row r="942" ht="15.75" customHeight="1">
      <c r="G942" s="16"/>
    </row>
    <row r="943" ht="15.75" customHeight="1">
      <c r="G943" s="16"/>
    </row>
    <row r="944" ht="15.75" customHeight="1">
      <c r="G944" s="16"/>
    </row>
    <row r="945" ht="15.75" customHeight="1">
      <c r="G945" s="16"/>
    </row>
    <row r="946" ht="15.75" customHeight="1">
      <c r="G946" s="16"/>
    </row>
    <row r="947" ht="15.75" customHeight="1">
      <c r="G947" s="16"/>
    </row>
    <row r="948" ht="15.75" customHeight="1">
      <c r="G948" s="16"/>
    </row>
    <row r="949" ht="15.75" customHeight="1">
      <c r="G949" s="16"/>
    </row>
    <row r="950" ht="15.75" customHeight="1">
      <c r="G950" s="16"/>
    </row>
    <row r="951" ht="15.75" customHeight="1">
      <c r="G951" s="16"/>
    </row>
    <row r="952" ht="15.75" customHeight="1">
      <c r="G952" s="16"/>
    </row>
    <row r="953" ht="15.75" customHeight="1">
      <c r="G953" s="16"/>
    </row>
    <row r="954" ht="15.75" customHeight="1">
      <c r="G954" s="16"/>
    </row>
    <row r="955" ht="15.75" customHeight="1">
      <c r="G955" s="16"/>
    </row>
    <row r="956" ht="15.75" customHeight="1">
      <c r="G956" s="16"/>
    </row>
    <row r="957" ht="15.75" customHeight="1">
      <c r="G957" s="16"/>
    </row>
    <row r="958" ht="15.75" customHeight="1">
      <c r="G958" s="16"/>
    </row>
    <row r="959" ht="15.75" customHeight="1">
      <c r="G959" s="16"/>
    </row>
    <row r="960" ht="15.75" customHeight="1">
      <c r="G960" s="16"/>
    </row>
    <row r="961" ht="15.75" customHeight="1">
      <c r="G961" s="16"/>
    </row>
    <row r="962" ht="15.75" customHeight="1">
      <c r="G962" s="16"/>
    </row>
    <row r="963" ht="15.75" customHeight="1">
      <c r="G963" s="16"/>
    </row>
    <row r="964" ht="15.75" customHeight="1">
      <c r="G964" s="16"/>
    </row>
    <row r="965" ht="15.75" customHeight="1">
      <c r="G965" s="16"/>
    </row>
    <row r="966" ht="15.75" customHeight="1">
      <c r="G966" s="16"/>
    </row>
    <row r="967" ht="15.75" customHeight="1">
      <c r="G967" s="16"/>
    </row>
    <row r="968" ht="15.75" customHeight="1">
      <c r="G968" s="16"/>
    </row>
    <row r="969" ht="15.75" customHeight="1">
      <c r="G969" s="16"/>
    </row>
    <row r="970" ht="15.75" customHeight="1">
      <c r="G970" s="16"/>
    </row>
    <row r="971" ht="15.75" customHeight="1">
      <c r="G971" s="16"/>
    </row>
    <row r="972" ht="15.75" customHeight="1">
      <c r="G972" s="16"/>
    </row>
    <row r="973" ht="15.75" customHeight="1">
      <c r="G973" s="16"/>
    </row>
    <row r="974" ht="15.75" customHeight="1">
      <c r="G974" s="16"/>
    </row>
    <row r="975" ht="15.75" customHeight="1">
      <c r="G975" s="16"/>
    </row>
    <row r="976" ht="15.75" customHeight="1">
      <c r="G976" s="16"/>
    </row>
    <row r="977" ht="15.75" customHeight="1">
      <c r="G977" s="16"/>
    </row>
    <row r="978" ht="15.75" customHeight="1">
      <c r="G978" s="16"/>
    </row>
    <row r="979" ht="15.75" customHeight="1">
      <c r="G979" s="16"/>
    </row>
    <row r="980" ht="15.75" customHeight="1">
      <c r="G980" s="16"/>
    </row>
    <row r="981" ht="15.75" customHeight="1">
      <c r="G981" s="16"/>
    </row>
    <row r="982" ht="15.75" customHeight="1">
      <c r="G982" s="16"/>
    </row>
    <row r="983" ht="15.75" customHeight="1">
      <c r="G983" s="16"/>
    </row>
    <row r="984" ht="15.75" customHeight="1">
      <c r="G984" s="16"/>
    </row>
    <row r="985" ht="15.75" customHeight="1">
      <c r="G985" s="16"/>
    </row>
    <row r="986" ht="15.75" customHeight="1">
      <c r="G986" s="16"/>
    </row>
    <row r="987" ht="15.75" customHeight="1">
      <c r="G987" s="16"/>
    </row>
    <row r="988" ht="15.75" customHeight="1">
      <c r="G988" s="16"/>
    </row>
    <row r="989" ht="15.75" customHeight="1">
      <c r="G989" s="16"/>
    </row>
    <row r="990" ht="15.75" customHeight="1">
      <c r="G990" s="16"/>
    </row>
    <row r="991" ht="15.75" customHeight="1">
      <c r="G991" s="16"/>
    </row>
    <row r="992" ht="15.75" customHeight="1">
      <c r="G992" s="16"/>
    </row>
    <row r="993" ht="15.75" customHeight="1">
      <c r="G993" s="16"/>
    </row>
    <row r="994" ht="15.75" customHeight="1">
      <c r="G994" s="16"/>
    </row>
    <row r="995" ht="15.75" customHeight="1">
      <c r="G995" s="16"/>
    </row>
    <row r="996" ht="15.75" customHeight="1">
      <c r="G996" s="16"/>
    </row>
    <row r="997" ht="15.75" customHeight="1">
      <c r="G997" s="16"/>
    </row>
    <row r="998" ht="15.75" customHeight="1">
      <c r="G998" s="16"/>
    </row>
    <row r="999" ht="15.75" customHeight="1">
      <c r="G999" s="16"/>
    </row>
  </sheetData>
  <mergeCells count="12">
    <mergeCell ref="A3:A17"/>
    <mergeCell ref="A18:A32"/>
    <mergeCell ref="A33:A39"/>
    <mergeCell ref="A40:A51"/>
    <mergeCell ref="A52:A55"/>
    <mergeCell ref="G1:N1"/>
    <mergeCell ref="P1:U1"/>
    <mergeCell ref="W1:AC1"/>
    <mergeCell ref="AD1:AJ1"/>
    <mergeCell ref="AK1:AQ1"/>
    <mergeCell ref="AR1:AT1"/>
    <mergeCell ref="AU1:AW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