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Livestock DATs - INFO" sheetId="1" r:id="rId4"/>
    <sheet state="visible" name="Cattle" sheetId="2" r:id="rId5"/>
    <sheet state="visible" name="Pigs" sheetId="3" r:id="rId6"/>
    <sheet state="visible" name="Poultry" sheetId="4" r:id="rId7"/>
    <sheet state="visible" name="Small Ruminants" sheetId="5" r:id="rId8"/>
  </sheets>
  <definedNames/>
  <calcPr/>
  <extLst>
    <ext uri="GoogleSheetsCustomDataVersion2">
      <go:sheetsCustomData xmlns:go="http://customooxmlschemas.google.com/" r:id="rId9" roundtripDataChecksum="YvPbWHwl37v8KG7r6uqc/1M8ja/0/citwckrxXCLua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2">
      <text>
        <t xml:space="preserve">Maintenance costs are considered operating expenses (OPEX) and should be included in the calculation of net benefits when determining the ROI of an equipment.
======</t>
      </text>
    </comment>
    <comment authorId="0" ref="S2">
      <text>
        <t xml:space="preserve">Includes purchase price, installation or setup costs, and any other INITIAL expenses
======</t>
      </text>
    </comment>
    <comment authorId="0" ref="BB2">
      <text>
        <t xml:space="preserve">I included both the annual operating expenses—such as maintenance costs—and depreciation
This shows how much more or less money you earn each year after using the equipment,
======</t>
      </text>
    </comment>
    <comment authorId="0" ref="BC2">
      <text>
        <t xml:space="preserve"> The net change in your income per year as a percentage of the equipment's initial cost. 
======</t>
      </text>
    </comment>
    <comment authorId="0" ref="BD2">
      <text>
        <t xml:space="preserve">How many years it will take to earn back the money you spent on the equipment.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2">
      <text>
        <t xml:space="preserve">Maintenance costs are considered operating expenses (OPEX) and should be included in the calculation of net benefits when determining the ROI of an equipment.
======</t>
      </text>
    </comment>
    <comment authorId="0" ref="S2">
      <text>
        <t xml:space="preserve">Includes purchase price, installation or setup costs, and any other INITIAL expenses
======</t>
      </text>
    </comment>
    <comment authorId="0" ref="BB2">
      <text>
        <t xml:space="preserve">I included both the annual operating expenses—such as maintenance costs—and depreciation
This shows how much more or less money you earn each year after using the equipment,
======</t>
      </text>
    </comment>
    <comment authorId="0" ref="BC2">
      <text>
        <t xml:space="preserve"> The net change in your income per year as a percentage of the equipment's initial cost. 
======</t>
      </text>
    </comment>
    <comment authorId="0" ref="BD2">
      <text>
        <t xml:space="preserve">How many years it will take to earn back the money you spent on the equipment.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Q2">
      <text>
        <t xml:space="preserve">Maintenance costs are considered operating expenses (OPEX) and should be included in the calculation of net benefits when determining the ROI of an equipment.
======</t>
      </text>
    </comment>
    <comment authorId="0" ref="S2">
      <text>
        <t xml:space="preserve">Includes purchase price, installation or setup costs, and any other INITIAL expenses
======</t>
      </text>
    </comment>
    <comment authorId="0" ref="BB2">
      <text>
        <t xml:space="preserve">I included both the annual operating expenses—such as maintenance costs—and depreciation
This shows how much more or less money you earn each year after using the equipment,
======</t>
      </text>
    </comment>
    <comment authorId="0" ref="BC2">
      <text>
        <t xml:space="preserve"> The net change in your income per year as a percentage of the equipment's initial cost. 
======</t>
      </text>
    </comment>
    <comment authorId="0" ref="BD2">
      <text>
        <t xml:space="preserve">How many years it will take to earn back the money you spent on the equipment.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2">
      <text>
        <t xml:space="preserve">Maintenance costs are considered operating expenses (OPEX) and should be included in the calculation of net benefits when determining the ROI of an equipment.
======</t>
      </text>
    </comment>
    <comment authorId="0" ref="BB2">
      <text>
        <t xml:space="preserve">I included both the annual operating expenses—such as maintenance costs—and depreciation
This shows how much more or less money you earn each year after using the equipment,
======</t>
      </text>
    </comment>
    <comment authorId="0" ref="BC2">
      <text>
        <t xml:space="preserve"> The net change in your income per year as a percentage of the equipment's initial cost. 
======</t>
      </text>
    </comment>
    <comment authorId="0" ref="BD2">
      <text>
        <t xml:space="preserve">How many years it will take to earn back the money you spent on the equipment.
======</t>
      </text>
    </comment>
  </commentList>
</comments>
</file>

<file path=xl/sharedStrings.xml><?xml version="1.0" encoding="utf-8"?>
<sst xmlns="http://schemas.openxmlformats.org/spreadsheetml/2006/main" count="1480" uniqueCount="593">
  <si>
    <t>DAT Category</t>
  </si>
  <si>
    <t>Purpose (for:)</t>
  </si>
  <si>
    <t>DAT Name</t>
  </si>
  <si>
    <t xml:space="preserve">DAT provider name </t>
  </si>
  <si>
    <t>DAT short description</t>
  </si>
  <si>
    <t xml:space="preserve">DAT provider website </t>
  </si>
  <si>
    <t>Platform link</t>
  </si>
  <si>
    <t>Livestock type</t>
  </si>
  <si>
    <t>Economic benefit from DAT provider</t>
  </si>
  <si>
    <t>COST INFO</t>
  </si>
  <si>
    <t>Minimum Initial Cost</t>
  </si>
  <si>
    <t>Maximum Initial Cost</t>
  </si>
  <si>
    <t>Initial Cost Item</t>
  </si>
  <si>
    <t>Annual Fee per item</t>
  </si>
  <si>
    <t>Annual fee item</t>
  </si>
  <si>
    <t>Main functionality</t>
  </si>
  <si>
    <t>Countries</t>
  </si>
  <si>
    <t>Languages</t>
  </si>
  <si>
    <t>Delivery mode</t>
  </si>
  <si>
    <t>Benefits</t>
  </si>
  <si>
    <t xml:space="preserve">Automatic Milking Systems </t>
  </si>
  <si>
    <t>Milking Machine</t>
  </si>
  <si>
    <t>The Microdairy Portable Milking Machine</t>
  </si>
  <si>
    <t xml:space="preserve">The Microdairy </t>
  </si>
  <si>
    <t>The Microdairy Portable Milking Machine has its own vacuum system, pulsation, milk reception or storage and milking equipment, all on a frame that can be easily transported and used wherever the animal is located. The transport frames are mainly in hot dipped galvanized or powder coated. Our Cow Milking Machines are manufactured in Turkey and optional Silicon liners are approved and manufactured in EU.</t>
  </si>
  <si>
    <t>https://themicrodairy.com/</t>
  </si>
  <si>
    <t>Dairy cows</t>
  </si>
  <si>
    <t>none</t>
  </si>
  <si>
    <t>Automated Milking</t>
  </si>
  <si>
    <t>Turkey, Multiple countries</t>
  </si>
  <si>
    <t>Turkish, English</t>
  </si>
  <si>
    <t>Milking Machine, farming equipment, hardware</t>
  </si>
  <si>
    <t>Increase of productivity, Improvement of milk yield quality</t>
  </si>
  <si>
    <t xml:space="preserve">Fullwood Merlin </t>
  </si>
  <si>
    <t>Fullwood</t>
  </si>
  <si>
    <t>Designed to keep your cows relaxed and productive, M²erlin uses smart improvements to upgrade your milking environment. With its incredibly silent electric arm, HMI touch screen and unique K-Flow integrated cow traffic, M²erlin makes milking quiet and stress-free, with natural entry and easy cow flow. What does this all mean? A quiet and relaxed environment that keeps cows comfortable at every stage of milking. The result is better milking and higher yields. M²erlin makes milking more peaceful for your cows and more profitable for you.</t>
  </si>
  <si>
    <r>
      <rPr>
        <rFont val="Arial, sans-serif"/>
        <color rgb="FF1155CC"/>
        <u/>
      </rPr>
      <t>https://www.fullwoodjoz.com/solutions/robotic-milking/merlin/</t>
    </r>
  </si>
  <si>
    <t>Heikkila et al. (2012) stated that introduction of milking robots on a farm in Finland created an average increase in productivity by 7 percent.</t>
  </si>
  <si>
    <t>Fullwood Merlin</t>
  </si>
  <si>
    <t>Automated Milking, Technology upgrade</t>
  </si>
  <si>
    <t>UK</t>
  </si>
  <si>
    <t>English, Dutch, French, Danish, Polish</t>
  </si>
  <si>
    <t>Milking Machine, farming equipment, hardware, Stand-alone software</t>
  </si>
  <si>
    <t>Lely Astronaut A5</t>
  </si>
  <si>
    <t>Lely</t>
  </si>
  <si>
    <t>The new milestone in robotic milking The Lely Astronaut A5 is the new milestone in robotic milking. It is a robot that has incorporated everything we have learned in the 25 years of experience since we invented robotic milking. A machine that guarantees high milk production with full respect for animal welfare and the environment.</t>
  </si>
  <si>
    <r>
      <rPr>
        <rFont val="Arial, sans-serif"/>
        <color rgb="FF1155CC"/>
        <u/>
      </rPr>
      <t>https://www.lely.com/solutions/milking/astronaut-a5/</t>
    </r>
  </si>
  <si>
    <r>
      <rPr>
        <rFont val="Arial"/>
        <color theme="1"/>
        <sz val="10.0"/>
      </rPr>
      <t xml:space="preserve"> 10% increase</t>
    </r>
    <r>
      <rPr>
        <rFont val="Arial"/>
        <color theme="1"/>
        <sz val="10.0"/>
      </rPr>
      <t xml:space="preserve"> in milk production of cow. Milking time per cow is </t>
    </r>
    <r>
      <rPr>
        <rFont val="Arial"/>
        <color theme="1"/>
        <sz val="10.0"/>
      </rPr>
      <t xml:space="preserve">reduced by 4%.      </t>
    </r>
  </si>
  <si>
    <t>Automated Milking, Milking Robot, Technology upgrade</t>
  </si>
  <si>
    <t>Netherlands</t>
  </si>
  <si>
    <t>English, Dutch</t>
  </si>
  <si>
    <t>Increase of productivity, Improvement of milk yield quality, Labour reduction</t>
  </si>
  <si>
    <t>DeLaval VMS V300</t>
  </si>
  <si>
    <t>DeLaval</t>
  </si>
  <si>
    <t>The VMS™ V300 milking robot features the best milking process we have ever created, focused on maximizing the economic benefit of every visit your cows make to it. It allows each cow to be milked according to her individual needs and capacity. This means that each cow is able to reach their full potential.</t>
  </si>
  <si>
    <r>
      <rPr>
        <rFont val="Arial, sans-serif"/>
        <color rgb="FF1155CC"/>
        <u/>
      </rPr>
      <t>https://www.delaval.com/en-us/explore-our-farm-solutions/milking/delaval-vms-series/</t>
    </r>
  </si>
  <si>
    <t xml:space="preserve"> Heikkila et al. (2012) stated that introduction of milking robots on a farm in Finlanf created an average increase in productivity by 7 percent.</t>
  </si>
  <si>
    <t>110.000.</t>
  </si>
  <si>
    <t>Sweden</t>
  </si>
  <si>
    <t>English, Swedish</t>
  </si>
  <si>
    <t>Milking Robot</t>
  </si>
  <si>
    <t>DairyRobot R9500</t>
  </si>
  <si>
    <t>GEA Farm Technologies</t>
  </si>
  <si>
    <t>With the R9500 milking robot the choice is yours: Automated milking with voluntary milking times or in groups via group milking. Whichever way fits your operation, thanks to GEA’s leading milking technology, you have a system that is intelligently designed for you and your cows! The DairyRobot R9500 is a milking robot developed by GEA that offers intelligent and flexible automatic milking. It can be configured as a single box system, a multi-box system or a rotary milking parlor, and it can accommodate different cow traffic styles and milking timeshttps://www.gea.com/en/products/milking-farming-barn/dairyrobot-automated-milking/dairyrobot-r9500-robotic-milking-system.jsp.The cost of this product may vary depending on the size, design and equipment options. However, according to a brochure from GEA, the price range for a single box system is between $175,000 and $225,000. You may want to contact GEA or a local dealer for more accurate pricing informationhttps://www.gea.com/en/binaries/gea-dairyrobot-r9500-robot-milking-system_tcm11-51429.pdf</t>
  </si>
  <si>
    <r>
      <rPr>
        <rFont val="Arial, sans-serif"/>
        <color rgb="FF1155CC"/>
        <u/>
      </rPr>
      <t>https://www.gea.com/en/dairy-farming/index.jsp</t>
    </r>
  </si>
  <si>
    <t>7% Milk Yield Increase.  13% less water consumption. 35% energy saving.</t>
  </si>
  <si>
    <t>Automated Milking, Milking Robot</t>
  </si>
  <si>
    <t>Germany</t>
  </si>
  <si>
    <t>English, German</t>
  </si>
  <si>
    <t>Increase of productivity, Energy saving, Improvement of milk yield quality</t>
  </si>
  <si>
    <t>automated rotary milking</t>
  </si>
  <si>
    <t>GEA DairyProQ</t>
  </si>
  <si>
    <t xml:space="preserve">automated rotary milking solution for large-scale dairy farms. he GEA DairyProQ is a robotic rotary milking parlor developed by GEA that offers automatic milking for large herds of 600 cows or more. It has 28-80 milking stalls that operate independently, allowing for continuous milking with high reliability and minimal downtime. It also features the In-Liner Everything technology that performs every step of the milking process within the teat cup, ensuring excellent milk quality and hygienehttps://www.gea.com/en/products/milking-farming-barn/dairyrobot-automated-milking/rotary-parlor-dairyproq.jsp. Some of the benefits of using the GEA DairyProQ are: •  It has a standardized milking routine that takes place in a stress-free environment for the cows. The 3D camera teat detection system attaches the teat cups quickly and precisely, and the individual quarter milking and dipping ensure optimal udder healthhttps://www.gea.com/en/products/milking-farming-barn/dairyrobot-automated-milking/rotary-parlor-dairyproq.jsp. •  It has a conductivity sensor that monitors every udder quarter and lets you manage health preventively. When conductivity values rise, and milk quantity goes down, an automatic test quickly diagnoses the problem. This helps you reduce milk losses and treatment costshttps://www.gea.com/en/products/milking-farming-barn/dairyrobot-automated-milking/rotary-parlor-dairyproq.jsp.  •  It has a modern and motivating work environment for the operators. They can monitor milking, access valuable information on cow health, and intervene in the milking process at any time with a large touchscreen displayhttps://www.gea.com/en/products/milking-farming-barn/dairyrobot-automated-milking/rotary-parlor-dairyproq.jsp. •  It has a low operational and service cost thanks to its simplified maintenance, minimal use of consumables and energy, and optimized performancehttps://www.gea.com/en/products/milking-farming-barn/dairyrobot-automated-milking/rotary-parlor-dairyproq.jsp. It also integrates with GEA FarmView, a monitoring software that allows online diagnosis and supporthttps://www.youtube.com/watch?v=CZ03dvT2154.  The cost of this product may vary depending on the size, design and equipment options. However, according to a news article from 2014, the price range for a single stall module was between $50,000 and $60,000. You may want to contact GEA or a local dealer for more accurate pricing informationhttps://www.gea.com/en/stories/dynamic-dairy-farming.jsp.
</t>
  </si>
  <si>
    <r>
      <rPr>
        <rFont val="Arial, sans-serif"/>
        <color rgb="FF1155CC"/>
        <u/>
      </rPr>
      <t>https://www.gea.com/en/dairy-farming/index.jsp</t>
    </r>
  </si>
  <si>
    <t>43% higher labor efficiency . 14% higher milking efficiency</t>
  </si>
  <si>
    <t>Increase of productivity, Labour reduction, Improvement of milk yield quality</t>
  </si>
  <si>
    <t>Rotary milking</t>
  </si>
  <si>
    <t>GEA DairyRotor T8900</t>
  </si>
  <si>
    <t>A rotary milking parlor is made to meet high demands of dairy farms around the world. he EXTERNAL ROTARY MILKING PARLOR DAIRYROTOR T8900 is a carousel milking system developed by GEA for dairy farms that demand high performance and efficiency. It can milk 32-120 cows per round with an outstanding ratio of manpower and milk yieldhttps://www.gea.com/en/products/milking-farming-barn/dairyrotor-milk-rotary/dairyrotor-external-rotaries/dairyrotor-t8900-rotary-parlor.jsphttps://www.gea.com/assets/gea-dairyrotor-t8900-external-rotary-en-227206.pdf. It also offers great comfort and durability for both the cows and the milking staffhttps://www.gea.com/en/products/milking-farming-barn/dairyrotor-milk-rotary/dairyrotor-external-rotaries/dairyrotor-t8900-rotary-parlor.jsphttps://www.gea.com/assets/gea-dairyrotor-t8900-external-rotary-en-227206.pdf.</t>
  </si>
  <si>
    <r>
      <rPr>
        <rFont val="Arial, sans-serif"/>
        <color rgb="FF1155CC"/>
        <u/>
      </rPr>
      <t>https://www.gea.com/en/dairy-farming/index.jsp</t>
    </r>
  </si>
  <si>
    <t>Robotic Milking</t>
  </si>
  <si>
    <t>Lely Astronaut A3 Next</t>
  </si>
  <si>
    <t xml:space="preserve">an automated milking system that milks, feeds, and monitors the health of cows. The milking system also examines the quantity and quality of the milk received from the cows, and if necessary, it separates milk that is contaminated or not to the correct standard. The Lely Astronaut A3 Next is a milking robot developed by Lely that offers automatic milking with improved cow comfort and efficiency. It features a 3D camera teat detection system that achieves an attachment time of 14 seconds under optimal conditions, and a unique I-flow concept that allows cows to enter and exit the box quickly and easilyhttps://www.lely.com/techdocs/astronaut/a3-next/. It also integrates with the Lely Grazeway system that allows cows to choose when to be milked and when to graze outsidehttps://www.lely.com/gb/explore-lely-astronaut-system/.The cost of this product may vary depending on the size, design and equipment options. However, according to a news article from 2009, the price range for a single box system was between $175,000 and $200,000. You may want to contact Lely or a local dealer for more accurate pricing informationhttps://www.dairyherd.com/news/proven-technology-fresh-design-lely-astronaut-a3-next
</t>
  </si>
  <si>
    <r>
      <rPr>
        <rFont val="Arial, sans-serif"/>
        <color rgb="FF1155CC"/>
        <u/>
      </rPr>
      <t>https://www.lely.com/techdocs/astronaut/a3-next/</t>
    </r>
  </si>
  <si>
    <r>
      <rPr>
        <rFont val="Arial"/>
        <color theme="1"/>
        <sz val="10.0"/>
      </rPr>
      <t xml:space="preserve">29% less labor.  </t>
    </r>
    <r>
      <rPr>
        <rFont val="Arial"/>
        <color theme="1"/>
        <sz val="10.0"/>
      </rPr>
      <t>increase in productivity by 7 percent.</t>
    </r>
  </si>
  <si>
    <t>Multiple countries</t>
  </si>
  <si>
    <t>Multiple languages</t>
  </si>
  <si>
    <t>Increase of productivity , Labour reduction</t>
  </si>
  <si>
    <t xml:space="preserve">Automatic Milking </t>
  </si>
  <si>
    <t>CapriMAX</t>
  </si>
  <si>
    <t>Boumatic</t>
  </si>
  <si>
    <t xml:space="preserve">The CapriMAX milking cluster is the ultimate milking solution for progressive dairy goat
farmers. Numerous innovations ensure best results in terms of milking speed and quality,
ruggedness and comfort. </t>
  </si>
  <si>
    <r>
      <rPr>
        <rFont val="Arial, sans-serif"/>
        <color rgb="FF1155CC"/>
        <u/>
      </rPr>
      <t>https://boumatic.com/eu_en/products/caprimax/</t>
    </r>
  </si>
  <si>
    <t>goat</t>
  </si>
  <si>
    <r>
      <rPr>
        <rFont val="Arial"/>
        <color theme="1"/>
        <sz val="10.0"/>
      </rPr>
      <t xml:space="preserve">According to Belanche et al. (2019), their study, which focused on dairy goat farms, demonstrated a decrease in seasonality throughout the year in terms of the percentage of animals in milking and milk yield, allowing for a significant </t>
    </r>
    <r>
      <rPr>
        <rFont val="Arial"/>
        <color theme="1"/>
        <sz val="10.0"/>
      </rPr>
      <t>increment of off-season milk production by 17%</t>
    </r>
    <r>
      <rPr>
        <rFont val="Arial"/>
        <color theme="1"/>
        <sz val="10.0"/>
      </rPr>
      <t>. This improvement was attributed to the implementation of automated milking systems in the goat farms.. ----------------------- According to De Koning (2010), the adoption of automatic milking systems in dairy farms compared to conventional twice daily milking results in an</t>
    </r>
    <r>
      <rPr>
        <rFont val="Arial"/>
        <color theme="1"/>
        <sz val="10.0"/>
      </rPr>
      <t xml:space="preserve"> average reduction of 20% to 30% in total labor. ------------------ Heikkila et al. (2012) stated that introduction of milking robots on a farm in Finland created an average increase in productivity by 7 percent.</t>
    </r>
  </si>
  <si>
    <t>100.000 - 300.000€</t>
  </si>
  <si>
    <t>OviMAX</t>
  </si>
  <si>
    <t>The OviMAX milking cluster is the ultimate milking solution for progressive dairy sheep farmers.
Numerous innovations ensure best results in terms of milking speed and quality, ruggedness and comfort.
Your milking operation will achieve new levels of efficiency and profitability.</t>
  </si>
  <si>
    <r>
      <rPr>
        <rFont val="Arial, sans-serif"/>
        <color rgb="FF1155CC"/>
        <u/>
      </rPr>
      <t>https://boumatic.com/eu_en/products/ovimax/</t>
    </r>
  </si>
  <si>
    <t>sheep</t>
  </si>
  <si>
    <r>
      <rPr>
        <rFont val="Arial"/>
        <color theme="1"/>
        <sz val="10.0"/>
      </rPr>
      <t xml:space="preserve">According to Belanche et al. (2019), their study, which focused on dairy goat farms, demonstrated a decrease in seasonality throughout the year in terms of the percentage of animals in milking and milk yield, allowing for a significant </t>
    </r>
    <r>
      <rPr>
        <rFont val="Arial"/>
        <color theme="1"/>
        <sz val="10.0"/>
      </rPr>
      <t>increment of off-season milk production by 17%</t>
    </r>
    <r>
      <rPr>
        <rFont val="Arial"/>
        <color theme="1"/>
        <sz val="10.0"/>
      </rPr>
      <t>. This improvement was attributed to the implementation of automated milking systems in the goat farms.. ----------------------- According to De Koning (2010), the adoption of automatic milking systems in dairy farms compared to conventional twice daily milking results in an</t>
    </r>
    <r>
      <rPr>
        <rFont val="Arial"/>
        <color theme="1"/>
        <sz val="10.0"/>
      </rPr>
      <t xml:space="preserve"> average reduction of 20% to 30% in total labor.    -------------------</t>
    </r>
    <r>
      <rPr>
        <rFont val="Arial"/>
        <color theme="1"/>
        <sz val="10.0"/>
      </rPr>
      <t>Heikkila et al. (2012) stated that introduction of milking robots on a farm in Finlanf created an average increase in productivity by 7 percent.</t>
    </r>
  </si>
  <si>
    <t>Rotary Parlor</t>
  </si>
  <si>
    <t>Swiftlo goat rotary</t>
  </si>
  <si>
    <t>Dairymaster</t>
  </si>
  <si>
    <t>The Swiftflo Goat Rotary has been designed to give optimum operator and goat comfort. Its unique robotic carriage allows one operator to milk up to 1,300 goats per hour. It is suitable for herd sizes of 500 goats or more.</t>
  </si>
  <si>
    <r>
      <rPr>
        <rFont val="Arial, sans-serif"/>
        <color rgb="FF1155CC"/>
        <u/>
      </rPr>
      <t>https://www.dairymaster.com/gb/goat-rotary/</t>
    </r>
  </si>
  <si>
    <t>TYPICALLY 5% MORE YIELD (from the DAT provider : https://www.dairymaster.com/gb/cow-rotary/ )    According to Rue et al. (2020), rotary dairies with automated technologies have been shown to have 43% higher labor efficiency and 14% higher milking efficiency.          Rue, B. D., Lee, J. M., Eastwood, C. R., Macdonald, K. A., &amp; Gregorini, P. (2020). Evaluation of an eating time sensor for use in pasture-based dairy systems. Journal of dairy science, 103(10), 9488-9492. ------------------- Heikkila et al. (2012) stated that introduction of milking robots on a farm in Finlanf created an average increase in productivity by 7 percent.</t>
  </si>
  <si>
    <t xml:space="preserve">Automatic Oestrus Detection </t>
  </si>
  <si>
    <t>monitoring and warning</t>
  </si>
  <si>
    <t>HAPPY COW (Ida Sensor)</t>
  </si>
  <si>
    <t>DATAMARS</t>
  </si>
  <si>
    <t>Ida monitors each cow for signs of heat, ensuring you don’t miss the optimal time for insemination. She also spots fertility-related issues, helping you proactively address non-cyclic cows, potential abortions and calvings.</t>
  </si>
  <si>
    <r>
      <rPr>
        <rFont val="Arial, sans-serif"/>
        <color rgb="FF1155CC"/>
        <u/>
      </rPr>
      <t>https://www.ida.io/en/</t>
    </r>
  </si>
  <si>
    <t>https://iot-catalogue.s3.amazonaws.com/files/5f15a4942df0b21fe88057c9/HAPPY%20COW.pdf</t>
  </si>
  <si>
    <t>Achieve pregnancy rates up to 34%</t>
  </si>
  <si>
    <t>Pro €4 per month per cow plus €40 startup fee per cow</t>
  </si>
  <si>
    <t>1 cow</t>
  </si>
  <si>
    <t>Heat Detection, Optimal Insemination Time, Fertility Issues</t>
  </si>
  <si>
    <t>farming equipment, hardware</t>
  </si>
  <si>
    <t>Labour reduction , Increase Profit per Cow per Year</t>
  </si>
  <si>
    <t>heat detection</t>
  </si>
  <si>
    <t>AfiAct II</t>
  </si>
  <si>
    <t>Afimilk</t>
  </si>
  <si>
    <r>
      <rPr>
        <rFont val="Arial"/>
        <sz val="10.0"/>
      </rPr>
      <t xml:space="preserve">Afiact II system works for you by reducing false alerts and maximizing heat detection rate, calving alert, delayed calving and host of other Parameters by advance and precise set of algorithms. In Case of calving you get alerts on predicted. The AfiAct II is a cow monitoring system developed by Afimilk that provides accurate and timely heat detection and health monitoring. It uses a pedometer that measures the activity and rest patterns of each cow and sends the data to the AfiFarm software. The software analyzes the data and alerts the farmer when a cow is in heat or has a health issue </t>
    </r>
    <r>
      <rPr>
        <rFont val="Arial"/>
        <color rgb="FF1155CC"/>
        <sz val="10.0"/>
        <u/>
      </rPr>
      <t>https://pdf.agriexpo.online/pdf/afimilk/afiact-ii/171321-13165.html</t>
    </r>
    <r>
      <rPr>
        <rFont val="Arial"/>
        <sz val="10.0"/>
      </rPr>
      <t xml:space="preserve"> The cost of this product may vary depending on the size, design and equipment options. However, according to a brochure from Afimilk, the price range for a single pedometer is between $200 and $300. You may want to contact Afimilk or a local dealer for more accurate pricing informationhttps://milkplan.com/site/index.php/en/products/milking-systems/cows/herd-management/afiact-2.</t>
    </r>
  </si>
  <si>
    <r>
      <rPr>
        <rFont val="Arial, sans-serif"/>
        <color rgb="FF1155CC"/>
        <u/>
      </rPr>
      <t>https://www.afimilk.com/cow-monitoring/#afiact2</t>
    </r>
  </si>
  <si>
    <r>
      <rPr>
        <rFont val="Arial"/>
        <color theme="1"/>
        <sz val="10.0"/>
      </rPr>
      <t>Pregnancy rate</t>
    </r>
    <r>
      <rPr>
        <rFont val="Arial"/>
        <color theme="1"/>
        <sz val="10.0"/>
      </rPr>
      <t xml:space="preserve"> increased from 15% to 24%</t>
    </r>
    <r>
      <rPr>
        <rFont val="Arial"/>
        <color theme="1"/>
        <sz val="10.0"/>
      </rPr>
      <t xml:space="preserve">
Percentage increase = (New value - Old value) / Old value x 100%
</t>
    </r>
    <r>
      <rPr>
        <rFont val="Arial"/>
        <color theme="1"/>
        <sz val="10.0"/>
      </rPr>
      <t>percentage benefit of this technology is 60%.</t>
    </r>
  </si>
  <si>
    <t>200 - 300 euros (per single pedometer)</t>
  </si>
  <si>
    <t>1 pedometer</t>
  </si>
  <si>
    <t>Heat Detection, Calving alerts</t>
  </si>
  <si>
    <t>Israel</t>
  </si>
  <si>
    <t>Monitoring sensor, farming equipment, hardware, Stand-alone software</t>
  </si>
  <si>
    <t>Ovalert</t>
  </si>
  <si>
    <t>CRV</t>
  </si>
  <si>
    <t>Ovalert is a reproductive management system developed by SCR Dairy for dairy farms. It uses sensors and data analysis to monitor cow behavior and physiological indicators related to reproduction. By analyzing cow activity and other factors, Ovalert helps farmers detect optimal breeding opportunities and improve reproductive efficiency in their herds. It provides heat detection, heat intensity scoring, health monitoring, and data analysis features to assist farmers in making informed decisions for better herd fertility.</t>
  </si>
  <si>
    <r>
      <rPr>
        <rFont val="Arial, sans-serif"/>
        <color rgb="FF1155CC"/>
        <u/>
      </rPr>
      <t>https://crv4all.com/en/service/ovalert</t>
    </r>
  </si>
  <si>
    <t>https://4d4f.eu/</t>
  </si>
  <si>
    <r>
      <rPr>
        <rFont val="Arial"/>
        <color theme="1"/>
        <sz val="10.0"/>
      </rPr>
      <t xml:space="preserve">6 week-in-calf rate increase of 35%    (https://www.lgga.lt/assets/pdf/info/Ovalert-ir-SireMatch.pdf  )  ------ Arendzen and Scheppingen [64] estimated that investment in AOD technologies could </t>
    </r>
    <r>
      <rPr>
        <rFont val="Arial"/>
        <color theme="1"/>
        <sz val="10.0"/>
      </rPr>
      <t>reduce labor costs by 30 %</t>
    </r>
  </si>
  <si>
    <t>Heat Detection, Fertility Issues</t>
  </si>
  <si>
    <t>English, Spanish, Russian, Chinese</t>
  </si>
  <si>
    <t>Monitoring sensor, farming equipment</t>
  </si>
  <si>
    <t>heat and movement patterns detection and warning</t>
  </si>
  <si>
    <t>CowScout</t>
  </si>
  <si>
    <t>Overall, the pregnancy rate has increased from 25% to 33%, and heifers are calving earlier.</t>
  </si>
  <si>
    <r>
      <rPr>
        <rFont val="Arial, sans-serif"/>
        <color rgb="FF1155CC"/>
        <u/>
      </rPr>
      <t>https://www.gea.com/en/products/milking-farming-barn/activity-detection-cowscout.jsp</t>
    </r>
  </si>
  <si>
    <r>
      <rPr>
        <rFont val="Arial"/>
        <color theme="1"/>
        <sz val="10.0"/>
      </rPr>
      <t>Pregnancy rate</t>
    </r>
    <r>
      <rPr>
        <rFont val="Arial"/>
        <color theme="1"/>
        <sz val="10.0"/>
      </rPr>
      <t xml:space="preserve"> increased from 25% to 33%</t>
    </r>
  </si>
  <si>
    <t>65 per cow</t>
  </si>
  <si>
    <t>Monitoring sensor, farming equipment, hardware</t>
  </si>
  <si>
    <t>Heat Checking</t>
  </si>
  <si>
    <t>Boar Bot 2.0</t>
  </si>
  <si>
    <t xml:space="preserve">the Swine Robotics </t>
  </si>
  <si>
    <t>the Boar Bot 2.0 is a robotic device designed for use in pig farming to aid in the process of heat checking, which involves identifying female pigs in heat to facilitate breeding. The Boar Bot 2.0 is an updated version of an earlier model and features a variable speed motor with soft-start and soft-stop functionality, which allows for more precise and safe movement through the barn. Additionally, the updated technology is designed to exercise boars with smoother acceleration, which can improve their ability to find females in heat. Overall, the Boar Bot 2.0 appears to be a device intended to improve efficiency and animal welfare in pig farming.</t>
  </si>
  <si>
    <r>
      <rPr>
        <rFont val="Arial, sans-serif"/>
        <color rgb="FF1155CC"/>
        <u/>
      </rPr>
      <t>https://swinerobotics.com/site/boar-bot-2-0/</t>
    </r>
  </si>
  <si>
    <t>NA</t>
  </si>
  <si>
    <t>Pigs</t>
  </si>
  <si>
    <t>5.000- 10.000</t>
  </si>
  <si>
    <t>Increase farrowing rates by 2-10% .  Increase safety with 95% less boar-worker contact, eliminate injuiries •        95% Labor Saving (Swine Robotics INC. link)</t>
  </si>
  <si>
    <t>Heat Detection , breeding system</t>
  </si>
  <si>
    <t>USA, Multiple countries</t>
  </si>
  <si>
    <t>English</t>
  </si>
  <si>
    <t>Labour reduction</t>
  </si>
  <si>
    <t>Heat detection</t>
  </si>
  <si>
    <t xml:space="preserve">Heat Detection Pigs </t>
  </si>
  <si>
    <t>Nedap (Provider) Jenisys (supplier)</t>
  </si>
  <si>
    <t>The Nedap Sow Heat Detection is an advanced solution for pig farming that promptly reports heat conditions to the farmer. This system swiftly identifies and marks sows in heat within the group, ensuring timely detection. Through a separate station, it automates the recognition, marking, and separation of sows based on heat, outperforming traditional methods in speed and accuracy. The Stainless Steel version, part of the Electronic Sow Feeding system, enhances farmer safety and contributes to a 2% cost saving per sow per year, making it a valuable tool for efficient pig management.</t>
  </si>
  <si>
    <r>
      <rPr>
        <rFont val="Arial, sans-serif"/>
        <color rgb="FF1155CC"/>
        <u/>
      </rPr>
      <t>http://www.jenisys.eu/JCLweb/heat-detection-pigs/</t>
    </r>
  </si>
  <si>
    <t>pigs</t>
  </si>
  <si>
    <t>2.500 - 5.000 €</t>
  </si>
  <si>
    <r>
      <rPr>
        <rFont val="Arial"/>
        <color theme="1"/>
        <sz val="10.0"/>
      </rPr>
      <t>saves 2% cost</t>
    </r>
    <r>
      <rPr>
        <rFont val="Arial"/>
        <color theme="1"/>
        <sz val="10.0"/>
      </rPr>
      <t xml:space="preserve"> per sow per year</t>
    </r>
  </si>
  <si>
    <t>Heat Detection Pigs</t>
  </si>
  <si>
    <t>-</t>
  </si>
  <si>
    <t xml:space="preserve">Automatic Feeding Systems </t>
  </si>
  <si>
    <t>Automatic Feeding</t>
  </si>
  <si>
    <t>Pitstop BASIS mineral feeder</t>
  </si>
  <si>
    <t>MicroFeeder</t>
  </si>
  <si>
    <t>The MicroFeeder PitstopBASIS is a feeder for providing mineral feed supplements to animals with individual needs. It comes in two models, one with a large mounting bracket for a wall and another with a small bracket for stanchion or fencing bars. The feeder is made of durable HDPE plastic and has a 45-liter volume feed container. The lid has a one-hand operated snap lock for easy filling, and the closed design protects the supplements from water and dung. One feeder serves about 25 cows, and it is suitable for animals without horns.</t>
  </si>
  <si>
    <r>
      <rPr>
        <rFont val="Arial, sans-serif"/>
        <color rgb="FF1155CC"/>
        <u/>
      </rPr>
      <t>https://www.microfeeder.com/Pitstop</t>
    </r>
  </si>
  <si>
    <t>Precision Mineral Supplementation is an easy, safe and efficient method: • Costs for the feeder €4; • Mineral costs per cow per year €27; • Increase in milk per cow per day 1.2 kg;(given the average milk yield of 25 kg per day, milk yield increase is about 5 %) • Reduction of health-related losses (-10%); • Total savings per cow per year €146 ()</t>
  </si>
  <si>
    <t>400 euros</t>
  </si>
  <si>
    <t>breeding system</t>
  </si>
  <si>
    <t>Denmark</t>
  </si>
  <si>
    <t>English, German, Danish</t>
  </si>
  <si>
    <t>Monitoring sensor, farming equipment, hardware, Feeding Machine</t>
  </si>
  <si>
    <t>Increase of productivity, Improvement of milk yield quality, Profit per Cow per Year</t>
  </si>
  <si>
    <t>Lely Vector</t>
  </si>
  <si>
    <t>Exact rations and always fresh food Frequent feeding has been proven to have a positive effect on the overall health of the herd. Lely Vector precisely loads the amount of feed for each feeding and distributes it only where it is needed. The caliper calculates the weight and realizes at what depth it should take the right amount.</t>
  </si>
  <si>
    <r>
      <rPr>
        <rFont val="Arial, sans-serif"/>
        <color rgb="FF1155CC"/>
        <u/>
      </rPr>
      <t>https://www.lely.com/solutions/feeding/vector/</t>
    </r>
  </si>
  <si>
    <t>Cattle</t>
  </si>
  <si>
    <r>
      <rPr>
        <rFont val="Arial"/>
        <color theme="1"/>
        <sz val="10.0"/>
      </rPr>
      <t xml:space="preserve"> 97% in energy consumption </t>
    </r>
    <r>
      <rPr>
        <rFont val="Arial"/>
        <color theme="1"/>
        <sz val="10.0"/>
      </rPr>
      <t xml:space="preserve">and </t>
    </r>
    <r>
      <rPr>
        <rFont val="Arial"/>
        <color theme="1"/>
        <sz val="10.0"/>
      </rPr>
      <t>79% in labor saving</t>
    </r>
    <r>
      <rPr>
        <rFont val="Arial"/>
        <color theme="1"/>
        <sz val="10.0"/>
      </rPr>
      <t xml:space="preserve"> .</t>
    </r>
    <r>
      <rPr>
        <rFont val="Arial"/>
        <color theme="1"/>
        <sz val="10.0"/>
      </rPr>
      <t xml:space="preserve"> 33% reduction in daily feeding cost</t>
    </r>
  </si>
  <si>
    <t xml:space="preserve">180.000 euros </t>
  </si>
  <si>
    <t>Increase of productivity, Improvement of milk yield quality, Labour reduction , Energy saving</t>
  </si>
  <si>
    <t>Triomatic T30 feed kitchen</t>
  </si>
  <si>
    <t xml:space="preserve">Trioliet </t>
  </si>
  <si>
    <t>combination of one or more feed floors, with the number depending on the number of coarse feed ingredients. These feed floors are easy to load using a silage cutter but the system is also suitable for round or square bales of silage, hay or straw. The cutting unit has two circular knives that cut the feed up evenly, leaving a compact feed structure</t>
  </si>
  <si>
    <r>
      <rPr>
        <rFont val="Arial, sans-serif"/>
        <color rgb="FF1155CC"/>
        <u/>
      </rPr>
      <t>https://www.trioliet.com/products/automatic-feeding-systems/feed-kitchens/feed-storage-for-automatic-feeding-system</t>
    </r>
  </si>
  <si>
    <t xml:space="preserve"> represents a saving of 50% compared to other systems</t>
  </si>
  <si>
    <t xml:space="preserve">85.000 euros </t>
  </si>
  <si>
    <t>English, German, French, Spanish, Chinese , English (US)</t>
  </si>
  <si>
    <t>Lely Calm automatic calf feeder</t>
  </si>
  <si>
    <t>Lely Calm is an automated calf feeding system that eliminates manual tasks like filling heavy buckets and cleaning feeding tools. The system automatically mixes milk powder and water to create a suitable portion, recognizing calves through neck transponders. It streamlines daily routines, ensuring optimal hygiene and saving time. Equipped with a smart management system, it provides health information accessible through tools like Horizon management, CalfApp, and CalfCloud. Designed to promote roughage and concentrate intake, Lely Calm enhances rumen health, positively impacting vitality, fertility, milk yield, and the overall lifespan of dairy cows. The HygieneBox ensures teat hygiene through a thorough automated cleaning process. Suited for all farms, Lely Calm offers quick recoupment of investment.</t>
  </si>
  <si>
    <r>
      <rPr>
        <rFont val="Arial, sans-serif"/>
        <color rgb="FF1155CC"/>
        <u/>
      </rPr>
      <t>https://www.lely.com/solutions/feeding/calm/</t>
    </r>
  </si>
  <si>
    <r>
      <rPr>
        <rFont val="Arial"/>
        <color theme="1"/>
        <sz val="10.0"/>
      </rPr>
      <t>labour-savings of 60 to 70%</t>
    </r>
    <r>
      <rPr>
        <rFont val="Arial"/>
        <color theme="1"/>
        <sz val="10.0"/>
      </rPr>
      <t>; it will pay for itself in three years</t>
    </r>
  </si>
  <si>
    <t>7.000-10.000 euros</t>
  </si>
  <si>
    <t>Increase of productivity, Improvement of milk yield quality, Labour reduction, Energy saving</t>
  </si>
  <si>
    <t>Feeding Robot</t>
  </si>
  <si>
    <t>Boumatic Ranger</t>
  </si>
  <si>
    <t>self-guided robot, which pushes the ration multiple times a day. It allows you to reduce labour costs and positively impact milk production as full consumption of ration increases milk yield by up to 1 liter per cow and day.</t>
  </si>
  <si>
    <r>
      <rPr>
        <rFont val="Arial, sans-serif"/>
        <color rgb="FF1155CC"/>
        <u/>
      </rPr>
      <t>https://boumatic.com/eu_en/products/boumatic-ranger/</t>
    </r>
  </si>
  <si>
    <r>
      <rPr>
        <rFont val="Arial"/>
        <color theme="1"/>
        <sz val="10.0"/>
      </rPr>
      <t>Full consumption of feed ration increases milk yield by up to</t>
    </r>
    <r>
      <rPr>
        <rFont val="Arial"/>
        <color theme="1"/>
        <sz val="10.0"/>
      </rPr>
      <t xml:space="preserve"> 1 liter per cow and day </t>
    </r>
    <r>
      <rPr>
        <rFont val="Arial"/>
        <color theme="1"/>
        <sz val="10.0"/>
      </rPr>
      <t xml:space="preserve">. Ensures that feed is being pushed on a specified route continuously, can save up to </t>
    </r>
    <r>
      <rPr>
        <rFont val="Arial"/>
        <color theme="1"/>
        <sz val="10.0"/>
      </rPr>
      <t>180 man-hours a year</t>
    </r>
    <r>
      <rPr>
        <rFont val="Arial"/>
        <color theme="1"/>
        <sz val="10.0"/>
      </rPr>
      <t xml:space="preserve"> to be spent on other jobs. Feed waste can be reduced by an average o</t>
    </r>
    <r>
      <rPr>
        <rFont val="Arial"/>
        <color theme="1"/>
        <sz val="10.0"/>
      </rPr>
      <t>f 75%;</t>
    </r>
    <r>
      <rPr>
        <rFont val="Arial"/>
        <color theme="1"/>
        <sz val="10.0"/>
      </rPr>
      <t xml:space="preserve"> the feed is always in reach, so the cows are encouraged to eat </t>
    </r>
  </si>
  <si>
    <t>€150,000 to €200,000</t>
  </si>
  <si>
    <t>breeding system, Feeding Robot</t>
  </si>
  <si>
    <t>Increase of productivity, Improvement of milk yield quality, Labour reduction, Energy saving, Feed saving</t>
  </si>
  <si>
    <t>The Transfeed DEC TMR Feed Robot</t>
  </si>
  <si>
    <t>SCHAUER</t>
  </si>
  <si>
    <t>Transfeed DEC is a TMR (Total Mixed Ration) cattle-feeding robot developed by SCHAUER, a company that specializes in livestock feeding technology. The Transfeed DEC is designed to automate the feeding process for dairy cows, beef cattle, and other livestock. It uses advanced sensors and algorithms to measure and mix the feed ingredients in the correct proportions, based on the specific nutritional needs of the animals. The robot can be programmed to provide customized feed rations for each animal or group of animals, based on factors such as age, weight, and milk production. The Transfeed DEC is designed to be highly efficient and reliable, with minimal human intervention required. It can operate 24 hours a day, seven days a week, and can feed up to 200 cows per hour. The robot is also designed to be easy to operate and maintain, with a user-friendly interface and remote monitoring capabilities. Overall, the Transfeed DEC TMR Cattle-Feeding Robot from SCHAUER is a cutting-edge technology that can help farmers and livestock producers optimize their feeding practices and improve the health and productivity of their animals.</t>
  </si>
  <si>
    <r>
      <rPr>
        <rFont val="Arial, sans-serif"/>
        <color rgb="FF1155CC"/>
        <u/>
      </rPr>
      <t>https://en.schauer-agrotronic.com/cattleTransfeed_14_EN.pdf</t>
    </r>
  </si>
  <si>
    <r>
      <rPr>
        <rFont val="Arial"/>
        <color theme="1"/>
        <sz val="10.0"/>
      </rPr>
      <t xml:space="preserve">According to a recent study by Guy Beauregard, agricultural economist, repeated feeding with roughage improves feed intake and </t>
    </r>
    <r>
      <rPr>
        <rFont val="Arial"/>
        <color theme="1"/>
        <sz val="10.0"/>
      </rPr>
      <t xml:space="preserve">increases milk production by approximately 10%. </t>
    </r>
    <r>
      <rPr>
        <rFont val="Arial"/>
        <color theme="1"/>
        <sz val="10.0"/>
      </rPr>
      <t xml:space="preserve">The </t>
    </r>
    <r>
      <rPr>
        <rFont val="Arial"/>
        <color theme="1"/>
        <sz val="10.0"/>
      </rPr>
      <t xml:space="preserve">working time saved </t>
    </r>
    <r>
      <rPr>
        <rFont val="Arial"/>
        <color theme="1"/>
        <sz val="10.0"/>
      </rPr>
      <t xml:space="preserve">in a 100-cow farm is approximately </t>
    </r>
    <r>
      <rPr>
        <rFont val="Arial"/>
        <color theme="1"/>
        <sz val="10.0"/>
      </rPr>
      <t>2 hours per day.</t>
    </r>
  </si>
  <si>
    <t>€40,000 to €60,000</t>
  </si>
  <si>
    <t>breeding system, Technology upgrade</t>
  </si>
  <si>
    <t>Austria</t>
  </si>
  <si>
    <t>the FEEDR feeding robot</t>
  </si>
  <si>
    <t>Sieplo</t>
  </si>
  <si>
    <t>Exactly the right, individual ration for each animal. Precisely dosed at the right time and always fresh. The FEEDR® makes it possible to match more closely than ever the natural eating behaviour of your animals. This will help you take another step towards even better animal health and higher returns in your business. This unmanned feeding robot goes to the feeding stations itself, mixes the forage into a homogenous mixture and doses the feed in your stalls. Using the central computer or the practical FEEDR® app, you can easily adjust feeding schedules and animal numbers. You will also have accurate insight into feed data, allowing you to optimise feed composition, identify health problems in your animals at an early stage and improve your returns.</t>
  </si>
  <si>
    <r>
      <rPr>
        <rFont val="Arial, sans-serif"/>
        <color rgb="FF1155CC"/>
        <u/>
      </rPr>
      <t>https://www.sieplo.com/product/feedr/</t>
    </r>
  </si>
  <si>
    <t xml:space="preserve">cattle,  Goat/sheep </t>
  </si>
  <si>
    <t>According to a recent study by Guy Beauregard, agricultural economist, repeated feeding with roughage improves feed intake and increases milk production by approximately 10%. The working time saved in a 100-cow farm is approximately 2 hours per day.</t>
  </si>
  <si>
    <t>€50,000 to €100,000</t>
  </si>
  <si>
    <t>English, German, Dutsch, French, Spanish, Italian</t>
  </si>
  <si>
    <t>Automatic Littering System</t>
  </si>
  <si>
    <t>Strohmatic Automatic Littering System</t>
  </si>
  <si>
    <t>The Strohmatic system is designed to automate the process of littering or spreading bedding materials, such as straw or wood shavings, in animal housing facilities. It is particularly suited for use in pig farming, where the hygiene and comfort of the animals is essential for their health and productivity. The Strohmatic system consists of a series of sensors, controllers, and dispensers that work together to distribute the bedding material evenly and efficiently. The sensors detect the level of bedding material in the housing area, and the controllers activate the dispensers to add more material as needed. This helps to maintain a consistent level of bedding, which is important for keeping the animals clean, comfortable, and healthy. The Strohmatic system is designed to be easy to install and operate, with a user-friendly interface that allows farmers and animal caretakers to adjust the settings and monitor the system remotely. It can also be integrated with other SCHAUER products, such as feeding systems and ventilation systems, to create a complete solution for livestock housing and management.</t>
  </si>
  <si>
    <r>
      <rPr>
        <rFont val="Arial, sans-serif"/>
        <color rgb="FF1155CC"/>
        <u/>
      </rPr>
      <t>https://en.schauer-agrotronic.com/pig/litter-systems/strohmatic</t>
    </r>
  </si>
  <si>
    <t>Cattle, Pig, Small Ruminants, Poultry</t>
  </si>
  <si>
    <r>
      <rPr>
        <rFont val="Arial"/>
        <color theme="1"/>
        <sz val="10.0"/>
      </rPr>
      <t xml:space="preserve">Reduce straw costs by up to 50 % </t>
    </r>
    <r>
      <rPr>
        <rFont val="Arial"/>
        <color theme="1"/>
        <sz val="10.0"/>
      </rPr>
      <t xml:space="preserve">with Strohmatic., achieves a </t>
    </r>
    <r>
      <rPr>
        <rFont val="Arial"/>
        <color theme="1"/>
        <sz val="10.0"/>
      </rPr>
      <t>dust reduction of
up to 80 %.</t>
    </r>
  </si>
  <si>
    <t>€20,000 to €50,000</t>
  </si>
  <si>
    <t>breeding system, Technology upgrade, Automated littering</t>
  </si>
  <si>
    <t>Jeantil Automatic Feeding</t>
  </si>
  <si>
    <t>Jeantil</t>
  </si>
  <si>
    <t>Jeantil Automatic Feeding robot meets today’s livestock farming needs in terms of animal welfare, productivity and energy savings. Jeantil Automatic Feeding offers a modular and scalable technology consisting of a ration preparation unit, a control interface on PC and a feed distribution robot. The latter results from a high quality manufacture according to French standards and a high precision technology at the service of a reliable, high performance and economical mechanism.</t>
  </si>
  <si>
    <r>
      <rPr>
        <rFont val="Arial, sans-serif"/>
        <color rgb="FF1155CC"/>
        <u/>
      </rPr>
      <t>https://www.jeantil.com/Contenus-Jeantil/2-50-0-0-0-0-158-2-Jeantil_Automatic_Feeding.html#haut</t>
    </r>
  </si>
  <si>
    <t>TIME SAVINGS : the loading of the storage units only takes from 15 to 30 minutes
ENERGY SAVINGS : Low energy costs that range from 0.20 to 0.30€ /ton of feed supplied (VAT excluded).</t>
  </si>
  <si>
    <t>France</t>
  </si>
  <si>
    <t>English, Spanish, German, French</t>
  </si>
  <si>
    <t xml:space="preserve">BUTLER GOLD PRO FEED PUSHER
</t>
  </si>
  <si>
    <t>wasserbauer</t>
  </si>
  <si>
    <t>Butler Gold Pro Feed Pusher is a specialized device designed to automate and streamline the feeding process in livestock operations. It is a robotic system that operates on a track or rail system within the barn or feeding area.
The Butler Gold Pro Feed Pusher is equipped with brushes or paddles that gently push the feed closer to the animals, ensuring that feed is evenly distributed and accessible throughout the feeding area. It helps prevent feed wastage and encourages animals to consume their entire ration.</t>
  </si>
  <si>
    <r>
      <rPr>
        <rFont val="Arial, sans-serif"/>
        <color rgb="FF1155CC"/>
        <u/>
      </rPr>
      <t>https://wasserbauer.at/produkte/futterschieber-butler-gold-pro</t>
    </r>
  </si>
  <si>
    <t xml:space="preserve">labor saving 70 % ,    Up to 20% energy savings 
</t>
  </si>
  <si>
    <t>€10,000 to €20,000</t>
  </si>
  <si>
    <t>BUTLER GOLD PRO FEED PUSHER</t>
  </si>
  <si>
    <t>breeding system, Technology upgrade, Feeding Robot</t>
  </si>
  <si>
    <t>German</t>
  </si>
  <si>
    <t>automatic feeding</t>
  </si>
  <si>
    <t>PigNic &amp; PigNic-Jumbo for piglets</t>
  </si>
  <si>
    <t>Big Dutchman</t>
  </si>
  <si>
    <t>Big Dutchman’s innovative automatic feeder PigNic is ideally suited for all weight groups from weaned piglets to finishing pigs. PigNic is available in two different models: ) for piglet rearing and ) pig finishing Up to 40 animals can be fed at one feeder. PigNic is made of both stainless steel and plastic and is equally well suited for the use of pellets, granules or meal. It can be installed into the pen</t>
  </si>
  <si>
    <r>
      <rPr>
        <rFont val="Arial, sans-serif"/>
        <color rgb="FF1155CC"/>
        <u/>
      </rPr>
      <t>https://www.bigdutchman.com/en/pig-production/products/detail/automatic-feeders/</t>
    </r>
  </si>
  <si>
    <t>Pigs, Piglets</t>
  </si>
  <si>
    <r>
      <rPr>
        <rFont val="Arial"/>
        <color theme="1"/>
        <sz val="10.0"/>
      </rPr>
      <t xml:space="preserve">According to Pomar and Remus (2019), utilizing precision feeding techniques in growing pig operations can lead to significant </t>
    </r>
    <r>
      <rPr>
        <rFont val="Arial"/>
        <color theme="1"/>
        <sz val="10.0"/>
      </rPr>
      <t>reductions in production costs by over 8%,</t>
    </r>
    <r>
      <rPr>
        <rFont val="Arial"/>
        <color theme="1"/>
        <sz val="10.0"/>
      </rPr>
      <t xml:space="preserve"> protein and phosphorous intake by 25%, excretion by 40%, and greenhouse gas emissions by 6%, through increasing individual nutrient efficiency.</t>
    </r>
  </si>
  <si>
    <t>1000 - 2000 €</t>
  </si>
  <si>
    <t>automatic liquid feeding</t>
  </si>
  <si>
    <t>Liquimix liquid feeding</t>
  </si>
  <si>
    <t xml:space="preserve">SCHAUER </t>
  </si>
  <si>
    <t>Automatic liquid feeding is used worldwide to reduce feed costs. There are a number of systems available: working with mixed phase or multiphase feed, with or without residual amounts and depending on the size of the operation. The liquid feeding systems are automatic, oriented to reduce the feed costs, controlled by computer-based feed management. It has an optimized digestibility of the liquid feed due to activation of feed enzymes (phytase, xylanase, glucanase), which leads to better-feed utilization. It can reduce the feed costs by 10%.</t>
  </si>
  <si>
    <r>
      <rPr>
        <rFont val="Arial, sans-serif"/>
        <color rgb="FF1155CC"/>
        <u/>
      </rPr>
      <t>https://en.schauer-agrotronic.com/pig/pig-feeding-systems/liquimix-liquid-feeding</t>
    </r>
  </si>
  <si>
    <t>reduce the feed costs by 10%, Significantly higher growth output (5.5%)
Lower feed losses (4.8%), Better feed intake and 1 : 0.1 – 0.15 better
feed conversion ratio. The feed costs can be reduced by up to €* 2 – 4 per
fattening pig.</t>
  </si>
  <si>
    <t>10.000 - 30.000 €</t>
  </si>
  <si>
    <t>Automated feeding</t>
  </si>
  <si>
    <t>German, English</t>
  </si>
  <si>
    <t>Feeding Machine, farming equipment, hardware</t>
  </si>
  <si>
    <t>Feed saving, Profitability Increase</t>
  </si>
  <si>
    <t>pig sorting</t>
  </si>
  <si>
    <t>Nedap Pig Sorting</t>
  </si>
  <si>
    <t>Nedap (provider) Jenisys (supplier)</t>
  </si>
  <si>
    <t xml:space="preserve">Nedap Pig Sorting allows you to feed and sort pigs based on weight and sex..  The station weighs and identifies each pig and automatically leads it to the right feed type or to the separation area.  This means you can feed optimally and deliver your pigs to the slaughterhouse at exactly the right weight. Feeding according to weight and sec sends the individual finisher to the correct feed type.  </t>
  </si>
  <si>
    <r>
      <rPr>
        <rFont val="Arial, sans-serif"/>
        <color rgb="FF1155CC"/>
        <u/>
      </rPr>
      <t>http://www.jenisys.eu/JCLweb/pig-sorting/</t>
    </r>
  </si>
  <si>
    <t xml:space="preserve">Pig </t>
  </si>
  <si>
    <t>save up to 20% on the cost of the starter feed alone. In addition Nedap Pig sorting monitors not only growth but the number of visits to the station which means you can keep an eye on the activity and health of your animals.</t>
  </si>
  <si>
    <t xml:space="preserve">30 € per slaughter pig </t>
  </si>
  <si>
    <t>1 pig</t>
  </si>
  <si>
    <t>Automated feeding, Automated sorting</t>
  </si>
  <si>
    <t>Germany, Multiple countries</t>
  </si>
  <si>
    <t>German, English, Japanese</t>
  </si>
  <si>
    <t>Sorting system, farming equipment, hardware</t>
  </si>
  <si>
    <t>farrowing feeding</t>
  </si>
  <si>
    <t>Nedap Farrowing Feeding</t>
  </si>
  <si>
    <t>Nedap Solutions</t>
  </si>
  <si>
    <t>Nedap Farrowing Feeding with wireless Activator is a revolutionary solution for optimizing lactating sow nutrition. This system delivers precise, snack-sized portions of fresh feed on a schedule, with the added flexibility for sows to request additional portions. The result is maximized feed intake, leading to improved sow and pig performance, reduced mortality, increased litter size, and consistent milk yields. The wireless Activator minimizes labor, cuts feed wastage, and provides real-time data for strategic feed planning. With benefits such as heavier piglet weaning weights and quicker rebreeding, this technology ensures a healthier and more profitable sow management experience across various housing styles.</t>
  </si>
  <si>
    <r>
      <rPr>
        <rFont val="Arial, sans-serif"/>
        <color rgb="FF1155CC"/>
        <u/>
      </rPr>
      <t>https://www.nedap-livestockmanagement.com/pigfarming/solutions/nedap-sowsense/farrowing-breeding-stall-feeding/</t>
    </r>
  </si>
  <si>
    <r>
      <rPr>
        <rFont val="Arial"/>
        <color theme="1"/>
        <sz val="10.0"/>
      </rPr>
      <t>cut feed wastage which accounts for up to 70% of pork production costs</t>
    </r>
    <r>
      <rPr>
        <rFont val="Arial"/>
        <color theme="1"/>
        <sz val="10.0"/>
      </rPr>
      <t>.  Nedap Activator’s demand-driven feeding also reduces labor and feed costs. Employees don’t have to manually check feeders and remove feed. They know which sows need attention, and they know faster than with ad-lib feeding. Automated and demand-driven feeding can also cut feed wastage, which accounts for up to 70% of pork production costs.</t>
    </r>
  </si>
  <si>
    <t>250 € per sow space</t>
  </si>
  <si>
    <t>1 sow space</t>
  </si>
  <si>
    <t>Wireless feeding</t>
  </si>
  <si>
    <t>Dutch, English</t>
  </si>
  <si>
    <t>Feeding Machine, hardware</t>
  </si>
  <si>
    <t>Profitability Increase</t>
  </si>
  <si>
    <t>Feeding System</t>
  </si>
  <si>
    <t xml:space="preserve">Transfeed DEC </t>
  </si>
  <si>
    <t xml:space="preserve">Transfeed DEC has been one for 30 years Technology that has been used 1000 times and is installed stationary. The lining will via one guided on rails Feed wagon, the group TMR Feed mixtures fully automatic mixes, distributed several times a day. Depending on the size of the livestock, different feed mixer wagons are available. Robot feeding system for sheeps and goats. The Transfeed DEC drives quietly and steadily along the ceiling of your barn and distributes just the right amount of food.
</t>
  </si>
  <si>
    <r>
      <rPr>
        <rFont val="Arial, sans-serif"/>
        <color rgb="FF1155CC"/>
        <u/>
      </rPr>
      <t>https://en.schauer-agrotronic.com/sheep-and-goats</t>
    </r>
  </si>
  <si>
    <r>
      <rPr>
        <rFont val="Arial"/>
        <color theme="1"/>
        <sz val="10.0"/>
      </rPr>
      <t xml:space="preserve">Through the approx. 4-8 times feed presentation per day, the feed intake of the TMR mixed ration increased by up to 10% according to studies become. At the same time it will also increased the amount of milk produced. This robot feeding system provides labour savings 2 hours a day. </t>
    </r>
    <r>
      <rPr>
        <rFont val="Arial"/>
        <color theme="1"/>
        <sz val="10.0"/>
      </rPr>
      <t xml:space="preserve">According to a recent study by Guy Beauregard, agricultural economist, repeated feeding with roughage improves feed intake and increases milk production by approximately 10%. 
</t>
    </r>
    <r>
      <rPr>
        <rFont val="Arial"/>
        <color theme="1"/>
        <sz val="10.0"/>
      </rPr>
      <t xml:space="preserve">
</t>
    </r>
  </si>
  <si>
    <t>40.000 – 60.000 €</t>
  </si>
  <si>
    <t>Transfeed DEC</t>
  </si>
  <si>
    <t>Advanced Sorting System</t>
  </si>
  <si>
    <t>Increase of productivity, Labour reduction, Energy saving</t>
  </si>
  <si>
    <r>
      <rPr>
        <rFont val="Arial, sans-serif"/>
        <color rgb="FF1155CC"/>
        <u/>
      </rPr>
      <t>https://www.lely.com/solutions/feeding/vector/</t>
    </r>
  </si>
  <si>
    <r>
      <rPr>
        <rFont val="Arial"/>
        <color theme="1"/>
        <sz val="10.0"/>
      </rPr>
      <t xml:space="preserve">Cattle, </t>
    </r>
    <r>
      <rPr>
        <rFont val="Arial"/>
        <i/>
        <color theme="1"/>
        <sz val="10.0"/>
      </rPr>
      <t xml:space="preserve"> Goat/sheep</t>
    </r>
  </si>
  <si>
    <r>
      <rPr>
        <rFont val="Arial"/>
        <color theme="1"/>
        <sz val="10.0"/>
      </rPr>
      <t xml:space="preserve">In the article by Tangorra and Calcante (2018), by using LELY VECTOR, the authors reported a </t>
    </r>
    <r>
      <rPr>
        <rFont val="Arial"/>
        <color theme="1"/>
        <sz val="10.0"/>
      </rPr>
      <t xml:space="preserve">reduction of 97% in energy consumption </t>
    </r>
    <r>
      <rPr>
        <rFont val="Arial"/>
        <color theme="1"/>
        <sz val="10.0"/>
      </rPr>
      <t xml:space="preserve">and </t>
    </r>
    <r>
      <rPr>
        <rFont val="Arial"/>
        <color theme="1"/>
        <sz val="10.0"/>
      </rPr>
      <t>79% in labor</t>
    </r>
    <r>
      <rPr>
        <rFont val="Arial"/>
        <color theme="1"/>
        <sz val="10.0"/>
      </rPr>
      <t xml:space="preserve"> when transitioning from a Conventional Feeding System (CFS) to an Automatic Feeding System (AFS). The information regarding the reduction in energy consumption and labor, as well as the</t>
    </r>
    <r>
      <rPr>
        <rFont val="Arial"/>
        <color theme="1"/>
        <sz val="10.0"/>
      </rPr>
      <t xml:space="preserve"> 33% reduction in daily feeding cost. </t>
    </r>
    <r>
      <rPr>
        <rFont val="Arial"/>
        <i/>
        <color theme="1"/>
        <sz val="10.0"/>
      </rPr>
      <t>While it is commonly associated with automated feeding systems for dairy cattle, the Lely Vector is a flexible system that can be adapted for various livestock types, including small ruminants such as sheep and goats.</t>
    </r>
  </si>
  <si>
    <t>Automated feeding, Feeding Robot, Automated sorting</t>
  </si>
  <si>
    <r>
      <rPr>
        <rFont val="Arial, sans-serif"/>
        <color rgb="FF1155CC"/>
        <u/>
      </rPr>
      <t>https://www.sieplo.com/product/feedr/</t>
    </r>
  </si>
  <si>
    <t>50.000 - 100.000 €</t>
  </si>
  <si>
    <t xml:space="preserve">Automated Feeding </t>
  </si>
  <si>
    <t xml:space="preserve">Automated Feed Station </t>
  </si>
  <si>
    <t>GreenOak (from USA but has european customer)</t>
  </si>
  <si>
    <t>Our feed station systems are flexible and designed to simplify and optimize your goat feeding operations. Our state-of-the-art dispensing system can dispense up to three different types of feed at once. The built-in animal identification system is made of a leg strap that links to a floor antenna that transmits the animal ID to a software that in return executes the feeding instructions for individual animal profile. Information such as milk yield, lactation stage, date of kids birth etc. are some of the details used to determine feed instructions. 
Research has shown that providing adequate nutrition before and after kidding increases the small ruminant’s ability to produce milk. Providing your goats and sheep, and their kids to be born, with adequate nutrition will impact their ability to produce sufficient milk without going into Ketosis. Goats and sheep in the commercial dairy industry are expected to deliver large volumes of milk which call for adequate nutrition. With our feed station systems, feed quantity, frequency and variety is provided automatically and seamlessly.</t>
  </si>
  <si>
    <r>
      <rPr>
        <rFont val="Arial, sans-serif"/>
        <color rgb="FF1155CC"/>
        <u/>
      </rPr>
      <t>https://www.greenoakna.com/goat-sheep-feed-station</t>
    </r>
  </si>
  <si>
    <t>goat sheep</t>
  </si>
  <si>
    <r>
      <rPr>
        <rFont val="Arial"/>
        <color theme="1"/>
        <sz val="10.0"/>
      </rPr>
      <t xml:space="preserve">We have also seen evidence of commercial farms in Europe where they can make </t>
    </r>
    <r>
      <rPr>
        <rFont val="Arial"/>
        <color theme="1"/>
        <sz val="10.0"/>
      </rPr>
      <t xml:space="preserve">savings of 15% of feed cost </t>
    </r>
    <r>
      <rPr>
        <rFont val="Arial"/>
        <color theme="1"/>
        <sz val="10.0"/>
      </rPr>
      <t>by feeding to milk production of the animal.
Greenoak research has shown that tailored computer feeding can</t>
    </r>
    <r>
      <rPr>
        <rFont val="Arial"/>
        <color theme="1"/>
        <sz val="10.0"/>
      </rPr>
      <t xml:space="preserve"> improve milk production by 20%</t>
    </r>
    <r>
      <rPr>
        <rFont val="Arial"/>
        <color theme="1"/>
        <sz val="10.0"/>
      </rPr>
      <t xml:space="preserve"> which is 3 times better than the </t>
    </r>
    <r>
      <rPr>
        <rFont val="Arial"/>
        <color theme="1"/>
        <sz val="10.0"/>
      </rPr>
      <t xml:space="preserve">15% feed to yield savings </t>
    </r>
    <r>
      <rPr>
        <rFont val="Arial"/>
        <color theme="1"/>
        <sz val="10.0"/>
      </rPr>
      <t>above.</t>
    </r>
  </si>
  <si>
    <t>26.000 € per 200 goats</t>
  </si>
  <si>
    <t>Automated Feed Station</t>
  </si>
  <si>
    <t>1 goat</t>
  </si>
  <si>
    <r>
      <rPr>
        <rFont val="Arial, sans-serif"/>
        <color rgb="FF1155CC"/>
        <u/>
      </rPr>
      <t>https://www.jeantil.com/Contenus-Jeantil/2-50-0-0-0-0-158-2-Jeantil_Automatic_Feeding.html#haut</t>
    </r>
  </si>
  <si>
    <t>50.000 – 100.000 €</t>
  </si>
  <si>
    <t>English, French</t>
  </si>
  <si>
    <t>Animal Behaviour, Monitoring, Health, Welfare &amp; Disease Detection</t>
  </si>
  <si>
    <t>virtual fencing</t>
  </si>
  <si>
    <t>Vence app</t>
  </si>
  <si>
    <t xml:space="preserve">Vence </t>
  </si>
  <si>
    <t xml:space="preserve"> The Vence virtual fencing and cattle management software is an affordable and convenient way to manage your cattle. With the Vence system, there is no need for physical fences or corrals. Instead, the Vence app uses GPS collars worn by the cattle. The collars emit a Radio Frequency (RF) signal that is used to automatically create a virtual fence around the cattle. The Vence app will keep track of the cattle's location and send alerts if the cattle attempt to leave the virtual fence.</t>
  </si>
  <si>
    <r>
      <rPr>
        <rFont val="Arial, sans-serif"/>
        <color rgb="FF1155CC"/>
        <u/>
      </rPr>
      <t>https://vence.io/product</t>
    </r>
  </si>
  <si>
    <t>Cattle (only 500+ animals)</t>
  </si>
  <si>
    <r>
      <rPr>
        <rFont val="Arial"/>
        <color theme="1"/>
        <sz val="10.0"/>
      </rPr>
      <t>Reduce</t>
    </r>
    <r>
      <rPr>
        <rFont val="Arial"/>
        <color theme="1"/>
        <sz val="10.0"/>
      </rPr>
      <t xml:space="preserve"> labor costs by over 25%</t>
    </r>
    <r>
      <rPr>
        <rFont val="Arial"/>
        <color theme="1"/>
        <sz val="10.0"/>
      </rPr>
      <t xml:space="preserve">
See </t>
    </r>
    <r>
      <rPr>
        <rFont val="Arial"/>
        <color theme="1"/>
        <sz val="10.0"/>
      </rPr>
      <t>up to 30% cost savings</t>
    </r>
    <r>
      <rPr>
        <rFont val="Arial"/>
        <color theme="1"/>
        <sz val="10.0"/>
      </rPr>
      <t xml:space="preserve"> through rotational grazing</t>
    </r>
  </si>
  <si>
    <t xml:space="preserve">Currently, the cost for virtual fence technology from Vence includes $35 to rent a collar for one year, plus $10 for the battery. A collar can be moved to different animals within the rental period
</t>
  </si>
  <si>
    <t>1 animal</t>
  </si>
  <si>
    <t>Virtual fencing, livestock GPS technology</t>
  </si>
  <si>
    <t>Monitoring sensor, farming equipment, Stand alone software</t>
  </si>
  <si>
    <t>health monitoring</t>
  </si>
  <si>
    <t>Ixotrack GPS collar</t>
  </si>
  <si>
    <t>Ixorique</t>
  </si>
  <si>
    <t>Automatically control your livestock thanks to our Ixotrack GPS collar and digitally manage your farm and receive alerts on your mobile.</t>
  </si>
  <si>
    <r>
      <rPr>
        <rFont val="Arial, sans-serif"/>
        <color rgb="FF1155CC"/>
        <u/>
      </rPr>
      <t>https://ixorigue.com/en#how-it-works</t>
    </r>
  </si>
  <si>
    <t>Cows</t>
  </si>
  <si>
    <t>Improves productivity per cow Increase the calf / cow year ratio by up to 15% thanks to our GPS collar for cattle</t>
  </si>
  <si>
    <t>3000 euros</t>
  </si>
  <si>
    <t xml:space="preserve">Ida </t>
  </si>
  <si>
    <t>Ida can tell when a cow isn’t feeling great 24-48 hours before most humans. She sees subtle behavior changes that can indicate mastitis, metritis, ketosis or other illnesses. Her early warnings reduce treatment days and improve the welfare of your herd.</t>
  </si>
  <si>
    <r>
      <rPr>
        <rFont val="Arial, sans-serif"/>
        <color rgb="FF1155CC"/>
        <u/>
      </rPr>
      <t>https://iof2020.h5mag.com/iof2020_dairy_september_2020/happy_cow_uc_2_2_copy</t>
    </r>
  </si>
  <si>
    <t>Cow</t>
  </si>
  <si>
    <t xml:space="preserve">Reduce antibiotic use by 60%/ </t>
  </si>
  <si>
    <t>Pro
€4
per month per cow
plus €40 startup fee per cow</t>
  </si>
  <si>
    <t>livestock GPS technology, Health monitoring</t>
  </si>
  <si>
    <t>English, Spanish, Italian, Portuguese</t>
  </si>
  <si>
    <t>Labour reduction, Antibiotics Saving</t>
  </si>
  <si>
    <t>lighting arrangement</t>
  </si>
  <si>
    <t>Lely Light for Cows , Lely L4C</t>
  </si>
  <si>
    <r>
      <rPr>
        <rFont val="Arial, sans-serif"/>
        <color rgb="FF1155CC"/>
        <u/>
      </rPr>
      <t>https://www.lely.com/media/filer_public/2b/63/2b633500-8e27-46ed-ae0b-d5ba3e778ad1/lely_l4c__en.pdf</t>
    </r>
  </si>
  <si>
    <t xml:space="preserve"> all (low barns, dry cows, beef cattle) </t>
  </si>
  <si>
    <t>a +68% Lifetime production
Academic research shows an increase of 6% up to 10% in the milk production compared to cows in barns without optimal lighting</t>
  </si>
  <si>
    <t>100-200 € per light</t>
  </si>
  <si>
    <t>1 light</t>
  </si>
  <si>
    <t>Automated feeding, Lighting</t>
  </si>
  <si>
    <t>Feeding Machine, farming equipment, Stand alone software</t>
  </si>
  <si>
    <t xml:space="preserve">Lighting </t>
  </si>
  <si>
    <t>ALIS Barn Lamps</t>
  </si>
  <si>
    <t>Greengage</t>
  </si>
  <si>
    <t>Monitoring of environment and bird behaviour. Reduce aggression and mortality. Improve hock and foot health. Maintains birds’ circadian rhythm. Maintain litter integrity. Encourage natural behaviours.</t>
  </si>
  <si>
    <r>
      <rPr>
        <rFont val="Arial, sans-serif"/>
        <color rgb="FF1155CC"/>
        <u/>
      </rPr>
      <t>https://greengage.global/wp-content/uploads/ALIS-Barn-Lamp-wide-A4-ENGLISH.pdf</t>
    </r>
  </si>
  <si>
    <t xml:space="preserve">poultry, swine </t>
  </si>
  <si>
    <r>
      <rPr>
        <rFont val="Arial"/>
        <color theme="1"/>
        <sz val="10.0"/>
      </rPr>
      <t>In comparison to legacy lighting systems, such as CFL and fluorescent, ALIS yields</t>
    </r>
    <r>
      <rPr>
        <rFont val="Arial"/>
        <color theme="1"/>
        <sz val="10.0"/>
      </rPr>
      <t xml:space="preserve"> energy savings between 50% and 90%</t>
    </r>
  </si>
  <si>
    <t>100 - 150 € per light</t>
  </si>
  <si>
    <t>Health monitoring, lighting</t>
  </si>
  <si>
    <t>farming equipment, Stand alone software, Monitoring sensor</t>
  </si>
  <si>
    <t>Sound Monitoring</t>
  </si>
  <si>
    <t>SoundTalks</t>
  </si>
  <si>
    <t>A robust algorithm focused on respiratory health farm surveillance. Robust trained algorithm with more than 350 years of barn recorded sound data. Validation from barns all over the world. High sensitivity and speciﬁcity detecting early symptoms based on labeled cough events. High precision rate.</t>
  </si>
  <si>
    <r>
      <rPr>
        <rFont val="Arial, sans-serif"/>
        <color rgb="FF1155CC"/>
        <u/>
      </rPr>
      <t>https://www.soundtalks.com/soundtalks/</t>
    </r>
  </si>
  <si>
    <t xml:space="preserve">EU -PLF </t>
  </si>
  <si>
    <r>
      <rPr>
        <rFont val="Arial"/>
        <sz val="10.0"/>
      </rPr>
      <t xml:space="preserve">contact challenged pigs from G0 had a </t>
    </r>
    <r>
      <rPr>
        <rFont val="Arial"/>
        <sz val="10.0"/>
      </rPr>
      <t xml:space="preserve">23.4% and 10.1% decrease in individual treatments </t>
    </r>
    <r>
      <rPr>
        <rFont val="Arial"/>
        <sz val="10.0"/>
      </rPr>
      <t xml:space="preserve">when compared to G5 and G10 respectively. A 5 days earlier intervention decreases the individual treatments by 23% .   ( </t>
    </r>
    <r>
      <rPr>
        <rFont val="Arial"/>
        <color rgb="FF1155CC"/>
        <sz val="10.0"/>
        <u/>
      </rPr>
      <t>https://www.soundtalks.com/paper/economic-assessment-of-a-sound-based-precision-livestock-farming-tool-soundtalks-based-on-timing-of-intervention-after-a-dual-mycoplasma-hyopneumoniae-and-prrs-virus-seeder-challenge-in-pigs/</t>
    </r>
    <r>
      <rPr>
        <rFont val="Arial"/>
        <sz val="10.0"/>
      </rPr>
      <t xml:space="preserve"> )          +++++++++++++++++++    Under the conditions of this study, the implementation of SoundTalks lead to a </t>
    </r>
    <r>
      <rPr>
        <rFont val="Arial"/>
        <sz val="10.0"/>
      </rPr>
      <t>38% reduction in the use of antibiotics</t>
    </r>
    <r>
      <rPr>
        <rFont val="Arial"/>
        <sz val="10.0"/>
      </rPr>
      <t xml:space="preserve"> with the exception of cases involving IAV as the primary pathogen.  ( </t>
    </r>
    <r>
      <rPr>
        <rFont val="Arial"/>
        <color rgb="FF1155CC"/>
        <sz val="10.0"/>
        <u/>
      </rPr>
      <t>https://www.soundtalks.com/paper/sound-based-health-monitoring-performed-by-soundtalks-significantly-reduces-the-overall-antibiotic-consumption-nursery-facilities/</t>
    </r>
    <r>
      <rPr>
        <rFont val="Arial"/>
        <sz val="10.0"/>
      </rPr>
      <t xml:space="preserve"> )</t>
    </r>
  </si>
  <si>
    <t>2000 € installation 300 € per sensor 250 € per year</t>
  </si>
  <si>
    <t>1 sensor</t>
  </si>
  <si>
    <t>1 installation</t>
  </si>
  <si>
    <t>Sound monitoring</t>
  </si>
  <si>
    <t>Belgium</t>
  </si>
  <si>
    <t>English, Spanish</t>
  </si>
  <si>
    <t>Profitability Increase, Increase of productivity</t>
  </si>
  <si>
    <t>Fever Detection</t>
  </si>
  <si>
    <t>Degree2act</t>
  </si>
  <si>
    <t>Degree</t>
  </si>
  <si>
    <t>Degree2act is an affordable and non-invasive tool for early detection of temperature alterations in animals, aiding in individual health care and disease outbreak identification in pig herds. Utilizing contactless IR skin thermometry with the Degree2act app, it eliminates the need for invasive instruments, reducing stress and the risk of pathogen transmission. This quick and user-friendly solution, requiring a Flir One thermographic camera, facilitates preventive health management, potentially minimizing antibiotic use in pig farming. Diagnostics should always be conducted under veterinary guidance.</t>
  </si>
  <si>
    <r>
      <rPr>
        <rFont val="Arial, sans-serif"/>
        <color rgb="FF1155CC"/>
        <u/>
      </rPr>
      <t>https://www.degree2act.com/</t>
    </r>
  </si>
  <si>
    <t xml:space="preserve">
Reduction of antibiotic treatment costs up to 50% (from 1.33 € to 0.71 € per animal). Reduction of 20-25% in mortality rates. The average daily gain (ADG) may increase by 10-15%. Assuming a 20% decrease in mortality rates, a 10% increase of the average daily growth and a decline of 25% of the costs of antibiotics, the production costs per kg pig meat using Degree2act decrease by 1.7%</t>
  </si>
  <si>
    <t>between 250 € and 500 € for the camera. Cost of the app vary from 49.99 € to 99.99 € per year</t>
  </si>
  <si>
    <t>1 camera</t>
  </si>
  <si>
    <t>1 app</t>
  </si>
  <si>
    <t>Health monitoring</t>
  </si>
  <si>
    <t>Mortality Rate Decrease, Antibiotics Saving</t>
  </si>
  <si>
    <t>to keep animals moving</t>
  </si>
  <si>
    <t>T-Moov</t>
  </si>
  <si>
    <t>Tibot</t>
  </si>
  <si>
    <t xml:space="preserve">Spoutnic is the first product in our line. Its job is to get your birds moving and reduce the floor egg rate. You’ll feel more secure about the start and success of each flock of animals. </t>
  </si>
  <si>
    <r>
      <rPr>
        <rFont val="Arial, sans-serif"/>
        <color rgb="FF1155CC"/>
        <u/>
      </rPr>
      <t>https://www.farmsrobots.com/product/74/t-moov-robot</t>
    </r>
  </si>
  <si>
    <t>poultry</t>
  </si>
  <si>
    <t>50% labor saving, +30% mating activity, improved fertility by 5%, 50% fewer floor eggs</t>
  </si>
  <si>
    <t>Farming Robot</t>
  </si>
  <si>
    <t>French, English</t>
  </si>
  <si>
    <r>
      <rPr>
        <rFont val="Arial, sans-serif"/>
        <color rgb="FF1155CC"/>
        <u/>
      </rPr>
      <t>https://greengage.global/wp-content/uploads/ALIS-Barn-Lamp-wide-A4-ENGLISH.pdf</t>
    </r>
  </si>
  <si>
    <r>
      <rPr>
        <rFont val="Arial"/>
        <color theme="1"/>
        <sz val="10.0"/>
      </rPr>
      <t>In comparison to legacy lighting systems, such as CFL and fluorescent, ALIS yields</t>
    </r>
    <r>
      <rPr>
        <rFont val="Arial"/>
        <color theme="1"/>
        <sz val="10.0"/>
      </rPr>
      <t xml:space="preserve"> energy savings between 50% and 90%</t>
    </r>
  </si>
  <si>
    <t>Virtual fencing</t>
  </si>
  <si>
    <t>NOFENCE</t>
  </si>
  <si>
    <t>nofence</t>
  </si>
  <si>
    <t>Nofence is the worlds first commercial virtual fencing solution for livestock, where the animals are controlled by GPS-collars and an app.</t>
  </si>
  <si>
    <r>
      <rPr>
        <rFont val="Arial, sans-serif"/>
        <color rgb="FF1155CC"/>
        <u/>
      </rPr>
      <t>https://www.nofence.no/en/</t>
    </r>
  </si>
  <si>
    <t>cattle, Goat/sheep</t>
  </si>
  <si>
    <r>
      <rPr>
        <rFont val="Arial"/>
        <color theme="1"/>
        <sz val="10.0"/>
      </rPr>
      <t xml:space="preserve"> annual yield of 6t/ha DM with 60 per cent utilisation for a total of 3.6t/ha DM utilised. When cattle are moved every two to three days, utilisation goes up to 75 per cent for a total of 9.0t/ha DM   ... --------------------------------------------according to the benefit of another DAT available, virtual fencing </t>
    </r>
    <r>
      <rPr>
        <rFont val="Arial"/>
        <color theme="1"/>
        <sz val="10.0"/>
      </rPr>
      <t>Reduce labor costs by over 25%</t>
    </r>
    <r>
      <rPr>
        <rFont val="Arial"/>
        <color theme="1"/>
        <sz val="10.0"/>
      </rPr>
      <t xml:space="preserve">
See</t>
    </r>
    <r>
      <rPr>
        <rFont val="Arial"/>
        <color theme="1"/>
        <sz val="10.0"/>
      </rPr>
      <t xml:space="preserve"> up to 30% cost savings</t>
    </r>
    <r>
      <rPr>
        <rFont val="Arial"/>
        <color theme="1"/>
        <sz val="10.0"/>
      </rPr>
      <t xml:space="preserve"> through rotational grazing</t>
    </r>
  </si>
  <si>
    <t>200 € per unit</t>
  </si>
  <si>
    <t>1 unit</t>
  </si>
  <si>
    <t>Norway</t>
  </si>
  <si>
    <t>Norwegian, English</t>
  </si>
  <si>
    <t>Labour reduction, Profitability Increase</t>
  </si>
  <si>
    <t>INVESTMENT Cost Calculator module</t>
  </si>
  <si>
    <t>Milk Yield Increase Calculator module</t>
  </si>
  <si>
    <t>Revenue Increase Calculator module</t>
  </si>
  <si>
    <t>LABOR Cost  Calculator module</t>
  </si>
  <si>
    <t>Energy Cost Calculator module</t>
  </si>
  <si>
    <t>WATER Use  Calculator module</t>
  </si>
  <si>
    <t>Profit per Animal Calculator module</t>
  </si>
  <si>
    <t>Feed Cost Calculator module</t>
  </si>
  <si>
    <t>Feed Waste Cost Calculator module</t>
  </si>
  <si>
    <t>Antibiotics Cost Calculator module</t>
  </si>
  <si>
    <t>Mortality Cost Calculator module</t>
  </si>
  <si>
    <t>Profitability Increase Calculator module</t>
  </si>
  <si>
    <t xml:space="preserve">Livestock DATS Investment Decision Calculator Module                                                </t>
  </si>
  <si>
    <r>
      <rPr>
        <rFont val="Arial"/>
        <color theme="1"/>
        <sz val="10.0"/>
      </rPr>
      <t xml:space="preserve">Number of cows 
</t>
    </r>
    <r>
      <rPr>
        <rFont val="Arial"/>
        <b/>
        <color theme="1"/>
        <sz val="10.0"/>
      </rPr>
      <t>(input provided by the user)</t>
    </r>
  </si>
  <si>
    <r>
      <rPr>
        <rFont val="Arial"/>
        <color theme="1"/>
        <sz val="10.0"/>
      </rPr>
      <t xml:space="preserve">YEARS OF USAGE
</t>
    </r>
    <r>
      <rPr>
        <rFont val="Arial"/>
        <b/>
        <color theme="1"/>
        <sz val="10.0"/>
      </rPr>
      <t>(input provided by the user)</t>
    </r>
  </si>
  <si>
    <r>
      <rPr>
        <rFont val="Arial"/>
        <color rgb="FF000000"/>
        <sz val="10.0"/>
      </rPr>
      <t xml:space="preserve">Initial cost of Investment (€)
</t>
    </r>
    <r>
      <rPr>
        <rFont val="Arial"/>
        <b/>
        <color rgb="FF000000"/>
        <sz val="10.0"/>
      </rPr>
      <t>(Known value from system)</t>
    </r>
  </si>
  <si>
    <r>
      <rPr>
        <rFont val="Arial"/>
        <color theme="1"/>
        <sz val="10.0"/>
      </rPr>
      <t xml:space="preserve">Startup Fee per Cow (€)
</t>
    </r>
    <r>
      <rPr>
        <rFont val="Arial"/>
        <b/>
        <color theme="1"/>
        <sz val="10.0"/>
      </rPr>
      <t>(Known value from system)</t>
    </r>
  </si>
  <si>
    <r>
      <rPr>
        <rFont val="Arial"/>
        <color theme="1"/>
        <sz val="10.0"/>
      </rPr>
      <t xml:space="preserve">Monthly Cost per Cow (€)
</t>
    </r>
    <r>
      <rPr>
        <rFont val="Arial"/>
        <b/>
        <color theme="1"/>
        <sz val="10.0"/>
      </rPr>
      <t>(Known value from system)</t>
    </r>
  </si>
  <si>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</si>
  <si>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</si>
  <si>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r>
      <rPr>
        <rFont val="Arial"/>
        <color theme="1"/>
        <sz val="10.0"/>
      </rPr>
      <t xml:space="preserve">Number of Units (sensors etc.)
</t>
    </r>
    <r>
      <rPr>
        <rFont val="Arial"/>
        <b/>
        <color theme="1"/>
        <sz val="10.0"/>
      </rPr>
      <t>(input provided by the user)</t>
    </r>
  </si>
  <si>
    <r>
      <rPr>
        <rFont val="Arial"/>
        <b/>
        <color theme="1"/>
      </rPr>
      <t>Total Initial cost of DAT Purchase</t>
    </r>
    <r>
      <rPr>
        <rFont val="Arial"/>
        <color theme="1"/>
      </rPr>
      <t xml:space="preserve">
(Result shown after using the calculator module)</t>
    </r>
  </si>
  <si>
    <r>
      <rPr>
        <rFont val="Arial"/>
        <color theme="1"/>
        <sz val="10.0"/>
      </rPr>
      <t xml:space="preserve">Milk Yield Increase (%)
</t>
    </r>
    <r>
      <rPr>
        <rFont val="Arial"/>
        <b/>
        <color theme="1"/>
        <sz val="10.0"/>
      </rPr>
      <t>(Known value from system)</t>
    </r>
  </si>
  <si>
    <t>Average milk price per liter (€/ liter)
(input provided by the user)</t>
  </si>
  <si>
    <t>Average liters of milk produced per cow per day (l)
(input provided by the user)</t>
  </si>
  <si>
    <t>Price of Milk Yield in one year (€)
(Result shown after using the calculator module)</t>
  </si>
  <si>
    <t>Price of Increased Milk Yield in one year (€)
(Result shown after using the calculator module)</t>
  </si>
  <si>
    <t>Increased Revenue (€ in 1 year)
(Result shown after using the calculator module)</t>
  </si>
  <si>
    <t>Labor saving (%)
(Known value from system)</t>
  </si>
  <si>
    <t>Current Labor Cost (€ in 1 year)
(input provided by the user)</t>
  </si>
  <si>
    <t>Labor cost savings  (€ in 1 year)
(Result shown after using the calculator module)</t>
  </si>
  <si>
    <t>Energy Saving(%)
(Known value from system)</t>
  </si>
  <si>
    <t>Current Energy Consumption  (in kWh)
(input provided by the user)</t>
  </si>
  <si>
    <t>Cost of Energy per kWh (€)
(input provided by the user)</t>
  </si>
  <si>
    <t>Current  Cost of Energy (€ in 1 year)
(Result shown after using the calculator module)</t>
  </si>
  <si>
    <t>Energy Cost Savings (€ in 1 year)
(Result shown after using the calculator module)</t>
  </si>
  <si>
    <t>Water Saving (%)
(Known value from system)</t>
  </si>
  <si>
    <t>Current Water Cost (€ in 1 year)
(input provided by the user)</t>
  </si>
  <si>
    <t>Water Cost Saving (€ in 1 year)
(Result shown after using the calculator module)</t>
  </si>
  <si>
    <t>Increase Profit per Cow per Year (€)
(Known value from system)</t>
  </si>
  <si>
    <t>Profit per Cow Increase in 1 year (€)
(Result shown after using the calculator module)</t>
  </si>
  <si>
    <t>Feed Saving (%)
(Known value from system)</t>
  </si>
  <si>
    <t>Current Feed Cost (€ in 1 year)
(input provided by the user)</t>
  </si>
  <si>
    <t>Feed Cost Saving (€ in 1 year)
(Result shown after using the calculator module)</t>
  </si>
  <si>
    <t>Feed Waste Saving (%)
(Known value from system)</t>
  </si>
  <si>
    <t>Current Feed Waste Cost (€ in 1 year)
(input provided by the user)</t>
  </si>
  <si>
    <t>Feed Waste Cost Saving (€ in 1 year)
(Result shown after using the calculator module)</t>
  </si>
  <si>
    <t>Antibiotics Saving (%)
(Known value from system)</t>
  </si>
  <si>
    <t>Current Antibiotics Cost (€ in 1 year)
(input provided by the user)</t>
  </si>
  <si>
    <t>Antibiotics Cost Saving (€ in 1 year)
(Result shown after using the calculator module)</t>
  </si>
  <si>
    <t>Mortality Rate Decrease (%)
(Known value from system)</t>
  </si>
  <si>
    <t>Current Mortality Cost (€ in 1 year)
(input provided by the user)</t>
  </si>
  <si>
    <t>Mortality Cost Saving (€ in 1 year)
(Result shown after using the calculator module)</t>
  </si>
  <si>
    <t>Profitability Increase (%)
(Known value from system)</t>
  </si>
  <si>
    <t>Current Profitability (€ in 1 year)
(input provided by the user)</t>
  </si>
  <si>
    <t>Profit Increase in 1 year (€)
(Result shown after using the calculator module)</t>
  </si>
  <si>
    <t>Annual change in Net Income  (€)
(annual total Impact (including addtional annual OPEX[e.g., Subscriptions, Maintenance,etc.]) with DATS usage  
(Result shown after using the calculator module)</t>
  </si>
  <si>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</si>
  <si>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</si>
  <si>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</si>
  <si>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https://www.fullwoodjoz.com/solutions/robotic-milking/merlin/</t>
  </si>
  <si>
    <t xml:space="preserve">https://www.lely.com/solutions/milking/astronaut-a5/                           https://www.lely.com/media/filer_public/8e/67/8e67908f-7466-41d5-b599-64acd0c15ac8/lely_dairy_2016_tr.pdf </t>
  </si>
  <si>
    <r>
      <rPr>
        <rFont val="Arial"/>
        <color theme="1"/>
        <sz val="10.0"/>
      </rPr>
      <t xml:space="preserve"> 10% increase</t>
    </r>
    <r>
      <rPr>
        <rFont val="Arial"/>
        <color theme="1"/>
        <sz val="10.0"/>
      </rPr>
      <t xml:space="preserve"> in milk production of cow. Milking time per cow is </t>
    </r>
    <r>
      <rPr>
        <rFont val="Arial"/>
        <color theme="1"/>
        <sz val="10.0"/>
      </rPr>
      <t xml:space="preserve">reduced by 4%.      </t>
    </r>
  </si>
  <si>
    <t>https://www.delaval.com/en-us/explore-our-farm-solutions/milking/delaval-vms-series/</t>
  </si>
  <si>
    <t>https://www.gea.com/en/dairy-farming/index.jsp</t>
  </si>
  <si>
    <r>
      <rPr>
        <rFont val="Arial"/>
        <color rgb="FF1155CC"/>
        <sz val="10.0"/>
        <u/>
      </rPr>
      <t>https://www.gea.com/en/dairy-farming/index.jsp</t>
    </r>
    <r>
      <rPr>
        <rFont val="Arial"/>
        <color rgb="FF0563C1"/>
        <sz val="10.0"/>
        <u/>
      </rPr>
      <t xml:space="preserve"> </t>
    </r>
  </si>
  <si>
    <t>https://www.lely.com/techdocs/astronaut/a3-next/</t>
  </si>
  <si>
    <r>
      <rPr>
        <rFont val="Arial"/>
        <color theme="1"/>
        <sz val="10.0"/>
      </rPr>
      <t xml:space="preserve">29% less labor.  </t>
    </r>
    <r>
      <rPr>
        <rFont val="Arial"/>
        <color theme="1"/>
        <sz val="10.0"/>
      </rPr>
      <t>increase in productivity by 7 percent.</t>
    </r>
  </si>
  <si>
    <t>https://www.ida.io/en/</t>
  </si>
  <si>
    <r>
      <rPr>
        <rFont val="Arial"/>
        <sz val="10.0"/>
      </rPr>
      <t xml:space="preserve">Afiact II system works for you by reducing false alerts and maximizing heat detection rate, calving alert, delayed calving and host of other Parameters by advance and precise set of algorithms. In Case of calving you get alerts on predicted. The AfiAct II is a cow monitoring system developed by Afimilk that provides accurate and timely heat detection and health monitoring. It uses a pedometer that measures the activity and rest patterns of each cow and sends the data to the AfiFarm software. The software analyzes the data and alerts the farmer when a cow is in heat or has a health issue </t>
    </r>
    <r>
      <rPr>
        <rFont val="Arial"/>
        <color rgb="FF1155CC"/>
        <sz val="10.0"/>
        <u/>
      </rPr>
      <t>https://pdf.agriexpo.online/pdf/afimilk/afiact-ii/171321-13165.html</t>
    </r>
    <r>
      <rPr>
        <rFont val="Arial"/>
        <sz val="10.0"/>
      </rPr>
      <t xml:space="preserve"> The cost of this product may vary depending on the size, design and equipment options. However, according to a brochure from Afimilk, the price range for a single pedometer is between $200 and $300. You may want to contact Afimilk or a local dealer for more accurate pricing informationhttps://milkplan.com/site/index.php/en/products/milking-systems/cows/herd-management/afiact-2.</t>
    </r>
  </si>
  <si>
    <t>https://www.afimilk.com/cow-monitoring/#afiact2</t>
  </si>
  <si>
    <r>
      <rPr>
        <rFont val="Arial"/>
        <color theme="1"/>
        <sz val="10.0"/>
      </rPr>
      <t>Pregnancy rate</t>
    </r>
    <r>
      <rPr>
        <rFont val="Arial"/>
        <color theme="1"/>
        <sz val="10.0"/>
      </rPr>
      <t xml:space="preserve"> increased from 15% to 24%</t>
    </r>
    <r>
      <rPr>
        <rFont val="Arial"/>
        <color theme="1"/>
        <sz val="10.0"/>
      </rPr>
      <t xml:space="preserve">
Percentage increase = (New value - Old value) / Old value x 100%
</t>
    </r>
    <r>
      <rPr>
        <rFont val="Arial"/>
        <color theme="1"/>
        <sz val="10.0"/>
      </rPr>
      <t>percentage benefit of this technology is 60%.</t>
    </r>
  </si>
  <si>
    <t>https://crv4all.com/en/service/ovalert</t>
  </si>
  <si>
    <r>
      <rPr>
        <rFont val="Arial"/>
        <color theme="1"/>
        <sz val="10.0"/>
      </rPr>
      <t xml:space="preserve">6 week-in-calf rate increase of 35%    (https://www.lgga.lt/assets/pdf/info/Ovalert-ir-SireMatch.pdf  )  ------ Arendzen and Scheppingen [64] estimated that investment in AOD technologies could </t>
    </r>
    <r>
      <rPr>
        <rFont val="Arial"/>
        <color theme="1"/>
        <sz val="10.0"/>
      </rPr>
      <t>reduce labor costs by 30 %</t>
    </r>
  </si>
  <si>
    <t>https://www.gea.com/en/products/milking-farming-barn/activity-detection-cowscout.jsp     ----------          https://www.nedap-livestockmanagement.com/testimonial/carl-carlson/</t>
  </si>
  <si>
    <r>
      <rPr>
        <rFont val="Arial"/>
        <color theme="1"/>
        <sz val="10.0"/>
      </rPr>
      <t>Pregnancy rate</t>
    </r>
    <r>
      <rPr>
        <rFont val="Arial"/>
        <color theme="1"/>
        <sz val="10.0"/>
      </rPr>
      <t xml:space="preserve"> increased from 25% to 33%</t>
    </r>
  </si>
  <si>
    <t>https://www.microfeeder.com/Pitstop</t>
  </si>
  <si>
    <t>https://www.lely.com/solutions/feeding/vector/</t>
  </si>
  <si>
    <r>
      <rPr>
        <rFont val="Arial"/>
        <color theme="1"/>
        <sz val="10.0"/>
      </rPr>
      <t xml:space="preserve"> 97% in energy consumption </t>
    </r>
    <r>
      <rPr>
        <rFont val="Arial"/>
        <color theme="1"/>
        <sz val="10.0"/>
      </rPr>
      <t xml:space="preserve">and </t>
    </r>
    <r>
      <rPr>
        <rFont val="Arial"/>
        <color theme="1"/>
        <sz val="10.0"/>
      </rPr>
      <t>79% in labor saving</t>
    </r>
    <r>
      <rPr>
        <rFont val="Arial"/>
        <color theme="1"/>
        <sz val="10.0"/>
      </rPr>
      <t xml:space="preserve"> .</t>
    </r>
    <r>
      <rPr>
        <rFont val="Arial"/>
        <color theme="1"/>
        <sz val="10.0"/>
      </rPr>
      <t xml:space="preserve"> 33% reduction in daily feeding cost</t>
    </r>
  </si>
  <si>
    <t>https://www.trioliet.com/products/automatic-feeding-systems/feed-kitchens/feed-storage-for-automatic-feeding-system</t>
  </si>
  <si>
    <t>https://www.lely.com/solutions/feeding/calm/</t>
  </si>
  <si>
    <r>
      <rPr>
        <rFont val="Arial"/>
        <color theme="1"/>
        <sz val="10.0"/>
      </rPr>
      <t>labour-savings of 60 to 70%</t>
    </r>
    <r>
      <rPr>
        <rFont val="Arial"/>
        <color theme="1"/>
        <sz val="10.0"/>
      </rPr>
      <t>; it will pay for itself in three years</t>
    </r>
  </si>
  <si>
    <t>https://boumatic.com/eu_en/products/boumatic-ranger/</t>
  </si>
  <si>
    <r>
      <rPr>
        <rFont val="Arial"/>
        <color theme="1"/>
        <sz val="10.0"/>
      </rPr>
      <t>Full consumption of feed ration increases milk yield by up to</t>
    </r>
    <r>
      <rPr>
        <rFont val="Arial"/>
        <color theme="1"/>
        <sz val="10.0"/>
      </rPr>
      <t xml:space="preserve"> 1 liter per cow and day </t>
    </r>
    <r>
      <rPr>
        <rFont val="Arial"/>
        <color theme="1"/>
        <sz val="10.0"/>
      </rPr>
      <t xml:space="preserve">. Ensures that feed is being pushed on a specified route continuously, can save up to </t>
    </r>
    <r>
      <rPr>
        <rFont val="Arial"/>
        <color theme="1"/>
        <sz val="10.0"/>
      </rPr>
      <t>180 man-hours a year</t>
    </r>
    <r>
      <rPr>
        <rFont val="Arial"/>
        <color theme="1"/>
        <sz val="10.0"/>
      </rPr>
      <t xml:space="preserve"> to be spent on other jobs. Feed waste can be reduced by an average o</t>
    </r>
    <r>
      <rPr>
        <rFont val="Arial"/>
        <color theme="1"/>
        <sz val="10.0"/>
      </rPr>
      <t>f 75%;</t>
    </r>
    <r>
      <rPr>
        <rFont val="Arial"/>
        <color theme="1"/>
        <sz val="10.0"/>
      </rPr>
      <t xml:space="preserve"> the feed is always in reach, so the cows are encouraged to eat </t>
    </r>
  </si>
  <si>
    <r>
      <rPr>
        <rFont val="Arial"/>
        <color rgb="FF1155CC"/>
        <sz val="10.0"/>
        <u/>
      </rPr>
      <t>https://en.schauer-agrotronic.com/cattle</t>
    </r>
    <r>
      <rPr>
        <rFont val="Arial"/>
        <color rgb="FF0563C1"/>
        <sz val="10.0"/>
        <u/>
      </rPr>
      <t xml:space="preserve">      Transfeed_14_EN.pdf   </t>
    </r>
  </si>
  <si>
    <r>
      <rPr>
        <rFont val="Arial"/>
        <color theme="1"/>
        <sz val="10.0"/>
      </rPr>
      <t xml:space="preserve">According to a recent study by Guy Beauregard, agricultural economist, repeated feeding with roughage improves feed intake and </t>
    </r>
    <r>
      <rPr>
        <rFont val="Arial"/>
        <color theme="1"/>
        <sz val="10.0"/>
      </rPr>
      <t xml:space="preserve">increases milk production by approximately 10%. </t>
    </r>
    <r>
      <rPr>
        <rFont val="Arial"/>
        <color theme="1"/>
        <sz val="10.0"/>
      </rPr>
      <t xml:space="preserve">The </t>
    </r>
    <r>
      <rPr>
        <rFont val="Arial"/>
        <color theme="1"/>
        <sz val="10.0"/>
      </rPr>
      <t xml:space="preserve">working time saved </t>
    </r>
    <r>
      <rPr>
        <rFont val="Arial"/>
        <color theme="1"/>
        <sz val="10.0"/>
      </rPr>
      <t xml:space="preserve">in a 100-cow farm is approximately </t>
    </r>
    <r>
      <rPr>
        <rFont val="Arial"/>
        <color theme="1"/>
        <sz val="10.0"/>
      </rPr>
      <t>2 hours per day.</t>
    </r>
  </si>
  <si>
    <t>https://www.sieplo.com/product/feedr/</t>
  </si>
  <si>
    <r>
      <rPr>
        <rFont val="Arial"/>
        <color rgb="FF1155CC"/>
        <sz val="10.0"/>
        <u/>
      </rPr>
      <t>https://en.schauer-agrotronic.com/pig/litter-systems/strohmatic</t>
    </r>
    <r>
      <rPr>
        <rFont val="Arial"/>
        <color rgb="FF0563C1"/>
        <sz val="10.0"/>
        <u/>
      </rPr>
      <t xml:space="preserve">   Strohmatic Litter system </t>
    </r>
  </si>
  <si>
    <r>
      <rPr>
        <rFont val="Arial"/>
        <color theme="1"/>
        <sz val="10.0"/>
      </rPr>
      <t xml:space="preserve">Reduce straw costs by up to 50 % </t>
    </r>
    <r>
      <rPr>
        <rFont val="Arial"/>
        <color theme="1"/>
        <sz val="10.0"/>
      </rPr>
      <t xml:space="preserve">with Strohmatic., achieves a </t>
    </r>
    <r>
      <rPr>
        <rFont val="Arial"/>
        <color theme="1"/>
        <sz val="10.0"/>
      </rPr>
      <t>dust reduction of
up to 80 %.</t>
    </r>
  </si>
  <si>
    <t>https://www.jeantil.com/Contenus-Jeantil/2-50-0-0-0-0-158-2-Jeantil_Automatic_Feeding.html#haut</t>
  </si>
  <si>
    <r>
      <rPr>
        <rFont val="Arial"/>
        <color rgb="FF1155CC"/>
        <sz val="10.0"/>
        <u/>
      </rPr>
      <t>https://wasserbauer.at/produkte/futterschieber-butler-gold-pro</t>
    </r>
    <r>
      <rPr>
        <rFont val="Arial"/>
        <color rgb="FF0563C1"/>
        <sz val="10.0"/>
        <u/>
      </rPr>
      <t xml:space="preserve">       </t>
    </r>
    <r>
      <rPr>
        <rFont val="Arial"/>
        <color rgb="FF1155CC"/>
        <sz val="10.0"/>
        <u/>
      </rPr>
      <t>https://wasserbauer.at//user_upload/downloads/WB_Gesamtfolder2022_engl_web.pdf</t>
    </r>
    <r>
      <rPr>
        <rFont val="Arial"/>
        <color rgb="FF0563C1"/>
        <sz val="10.0"/>
        <u/>
      </rPr>
      <t xml:space="preserve">   </t>
    </r>
  </si>
  <si>
    <t>https://vence.io/product</t>
  </si>
  <si>
    <r>
      <rPr>
        <rFont val="Arial"/>
        <color theme="1"/>
        <sz val="10.0"/>
      </rPr>
      <t>Reduce</t>
    </r>
    <r>
      <rPr>
        <rFont val="Arial"/>
        <color theme="1"/>
        <sz val="10.0"/>
      </rPr>
      <t xml:space="preserve"> labor costs by over 25%</t>
    </r>
    <r>
      <rPr>
        <rFont val="Arial"/>
        <color theme="1"/>
        <sz val="10.0"/>
      </rPr>
      <t xml:space="preserve">
See </t>
    </r>
    <r>
      <rPr>
        <rFont val="Arial"/>
        <color theme="1"/>
        <sz val="10.0"/>
      </rPr>
      <t>up to 30% cost savings</t>
    </r>
    <r>
      <rPr>
        <rFont val="Arial"/>
        <color theme="1"/>
        <sz val="10.0"/>
      </rPr>
      <t xml:space="preserve"> through rotational grazing</t>
    </r>
  </si>
  <si>
    <t>https://ixorigue.com/en#how-it-works</t>
  </si>
  <si>
    <t>https://www.lely.com/media/filer_public/2b/63/2b633500-8e27-46ed-ae0b-d5ba3e778ad1/lely_l4c__en.pdf</t>
  </si>
  <si>
    <t>This Calculator Module can be removed for Cattle DATs</t>
  </si>
  <si>
    <t>INVESTMENT Cost Calculator</t>
  </si>
  <si>
    <t>Number of pigs
(input provided by the user)</t>
  </si>
  <si>
    <t>YEARS OF USAGE
(input provided by the user)</t>
  </si>
  <si>
    <t>Initial cost of Investment (€)
(Known value from system)</t>
  </si>
  <si>
    <t>Startup Fee per Pig(€)
(Known value from system)</t>
  </si>
  <si>
    <t>Monthly Cost per Pig(€)
(Known value from system)</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</si>
  <si>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</si>
  <si>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</si>
  <si>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t>Number of Units (sensors etc.)
(input provided by the user)</t>
  </si>
  <si>
    <r>
      <rPr>
        <rFont val="Arial"/>
        <b/>
        <color theme="1"/>
      </rPr>
      <t>Total Initial cost of DAT Purchase</t>
    </r>
    <r>
      <rPr>
        <rFont val="Arial"/>
        <color theme="1"/>
      </rPr>
      <t xml:space="preserve">
(Result shown after using the calculator module)</t>
    </r>
  </si>
  <si>
    <r>
      <rPr>
        <rFont val="Arial"/>
        <color theme="1"/>
        <sz val="10.0"/>
      </rPr>
      <t xml:space="preserve">Milk Yield Increase (%)
</t>
    </r>
    <r>
      <rPr>
        <rFont val="Arial"/>
        <b/>
        <color theme="1"/>
        <sz val="10.0"/>
      </rPr>
      <t>(Known value from system)</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</si>
  <si>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</si>
  <si>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</si>
  <si>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</si>
  <si>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https://swinerobotics.com/site/boar-bot-2-0/</t>
  </si>
  <si>
    <t>http://www.jenisys.eu/JCLweb/heat-detection-pigs/</t>
  </si>
  <si>
    <r>
      <rPr>
        <rFont val="Arial"/>
        <color theme="1"/>
        <sz val="10.0"/>
      </rPr>
      <t>saves 2% cost</t>
    </r>
    <r>
      <rPr>
        <rFont val="Arial"/>
        <color theme="1"/>
        <sz val="10.0"/>
      </rPr>
      <t xml:space="preserve"> per sow per year</t>
    </r>
  </si>
  <si>
    <t>https://www.bigdutchman.com/en/pig-production/products/detail/automatic-feeders/</t>
  </si>
  <si>
    <r>
      <rPr>
        <rFont val="Arial"/>
        <color theme="1"/>
        <sz val="10.0"/>
      </rPr>
      <t xml:space="preserve">According to Pomar and Remus (2019), utilizing precision feeding techniques in growing pig operations can lead to significant </t>
    </r>
    <r>
      <rPr>
        <rFont val="Arial"/>
        <color theme="1"/>
        <sz val="10.0"/>
      </rPr>
      <t>reductions in production costs by over 8%,</t>
    </r>
    <r>
      <rPr>
        <rFont val="Arial"/>
        <color theme="1"/>
        <sz val="10.0"/>
      </rPr>
      <t xml:space="preserve"> protein and phosphorous intake by 25%, excretion by 40%, and greenhouse gas emissions by 6%, through increasing individual nutrient efficiency.</t>
    </r>
  </si>
  <si>
    <t>https://en.schauer-agrotronic.com/pig/pig-feeding-systems/liquimix-liquid-feeding</t>
  </si>
  <si>
    <t>automatic littering system</t>
  </si>
  <si>
    <t>STROHMATIC AUTOMATIC LITTERING SYSTEM</t>
  </si>
  <si>
    <t>The STROHMATIC system is designed to automate the process of littering or spreading bedding materials, such as straw or wood shavings, in animal housing facilities. It is particularly suited for use in pig farming, where the hygiene and comfort of the animals is essential for their health and productivity. The STROHMATIC system consists of a series of sensors, controllers, and dispensers that work together to distribute the bedding material evenly and efficiently. The sensors detect the level of bedding material in the housing area, and the controllers activate the dispensers to add more material as needed. This helps to maintain a consistent level of bedding, which is important for keeping the animals clean, comfortable, and healthy. The STROHMATIC system is designed to be easy to install and operate, with a user-friendly interface that allows farmers and animal caretakers to adjust the settings and monitor the system remotely. It can also be integrated with other SCHAUER products, such as feeding systems and ventilation systems, to create a complete solution for livestock housing and management.</t>
  </si>
  <si>
    <r>
      <rPr>
        <rFont val="Arial"/>
        <color rgb="FF1155CC"/>
        <sz val="10.0"/>
        <u/>
      </rPr>
      <t>https://en.schauer-agrotronic.com/pig/litter-systems/strohmatic</t>
    </r>
    <r>
      <rPr>
        <rFont val="Arial"/>
        <color rgb="FF0563C1"/>
        <sz val="10.0"/>
        <u/>
      </rPr>
      <t xml:space="preserve">   Strohmatic Litter system </t>
    </r>
  </si>
  <si>
    <r>
      <rPr>
        <rFont val="Arial"/>
        <color theme="1"/>
        <sz val="10.0"/>
      </rPr>
      <t xml:space="preserve">Reduce straw costs by up to 50 % </t>
    </r>
    <r>
      <rPr>
        <rFont val="Arial"/>
        <color theme="1"/>
        <sz val="10.0"/>
      </rPr>
      <t xml:space="preserve">with Strohmatic., achieves a </t>
    </r>
    <r>
      <rPr>
        <rFont val="Arial"/>
        <color theme="1"/>
        <sz val="10.0"/>
      </rPr>
      <t xml:space="preserve">dust reduction of
up to 80 %.   ------------------- </t>
    </r>
    <r>
      <rPr>
        <rFont val="Arial"/>
        <color theme="1"/>
        <sz val="10.0"/>
      </rPr>
      <t xml:space="preserve">The use of precision livestock feeding can decrease protein intake by 25%, and nitrogen excretion into the environment by 40%, while increasing profitability by nearly 10% [60].   </t>
    </r>
    <r>
      <rPr>
        <rFont val="Arial"/>
        <i/>
        <color theme="1"/>
        <sz val="10.0"/>
      </rPr>
      <t>Hendriks W.H., Verstegen M.W.A., Babinszky L., editors. Poultry and Pig Nutrition. Wageningen Academic Publishers; Wageningen, The Netherlands: 2019. [Google Scholar]</t>
    </r>
  </si>
  <si>
    <t>http://www.jenisys.eu/JCLweb/pig-sorting/</t>
  </si>
  <si>
    <t>https://www.nedap-livestockmanagement.com/pigfarming/solutions/nedap-sowsense/farrowing-breeding-stall-feeding/</t>
  </si>
  <si>
    <r>
      <rPr>
        <rFont val="Arial"/>
        <color theme="1"/>
        <sz val="10.0"/>
      </rPr>
      <t>cut feed wastage which accounts for up to 70% of pork production costs</t>
    </r>
    <r>
      <rPr>
        <rFont val="Arial"/>
        <color theme="1"/>
        <sz val="10.0"/>
      </rPr>
      <t>.  Nedap Activator’s demand-driven feeding also reduces labor and feed costs. Employees don’t have to manually check feeders and remove feed. They know which sows need attention, and they know faster than with ad-lib feeding. Automated and demand-driven feeding can also cut feed wastage, which accounts for up to 70% of pork production costs.</t>
    </r>
  </si>
  <si>
    <t>https://greengage.global/wp-content/uploads/ALIS-Barn-Lamp-wide-A4-ENGLISH.pdf</t>
  </si>
  <si>
    <r>
      <rPr>
        <rFont val="Arial"/>
        <color theme="1"/>
        <sz val="10.0"/>
      </rPr>
      <t>In comparison to legacy lighting systems, such as CFL and fluorescent, ALIS yields</t>
    </r>
    <r>
      <rPr>
        <rFont val="Arial"/>
        <color theme="1"/>
        <sz val="10.0"/>
      </rPr>
      <t xml:space="preserve"> energy savings between 50% and 90%</t>
    </r>
  </si>
  <si>
    <t>https://www.soundtalks.com/soundtalks/</t>
  </si>
  <si>
    <r>
      <rPr>
        <rFont val="Arial"/>
        <sz val="10.0"/>
      </rPr>
      <t xml:space="preserve">contact challenged pigs from G0 had a </t>
    </r>
    <r>
      <rPr>
        <rFont val="Arial"/>
        <sz val="10.0"/>
      </rPr>
      <t xml:space="preserve">23.4% and 10.1% decrease in individual treatments </t>
    </r>
    <r>
      <rPr>
        <rFont val="Arial"/>
        <sz val="10.0"/>
      </rPr>
      <t xml:space="preserve">when compared to G5 and G10 respectively. A 5 days earlier intervention decreases the individual treatments by 23% .   ( </t>
    </r>
    <r>
      <rPr>
        <rFont val="Arial"/>
        <color rgb="FF1155CC"/>
        <sz val="10.0"/>
        <u/>
      </rPr>
      <t>https://www.soundtalks.com/paper/economic-assessment-of-a-sound-based-precision-livestock-farming-tool-soundtalks-based-on-timing-of-intervention-after-a-dual-mycoplasma-hyopneumoniae-and-prrs-virus-seeder-challenge-in-pigs/</t>
    </r>
    <r>
      <rPr>
        <rFont val="Arial"/>
        <sz val="10.0"/>
      </rPr>
      <t xml:space="preserve"> )          +++++++++++++++++++    Under the conditions of this study, the implementation of SoundTalks lead to a </t>
    </r>
    <r>
      <rPr>
        <rFont val="Arial"/>
        <sz val="10.0"/>
      </rPr>
      <t>38% reduction in the use of antibiotics</t>
    </r>
    <r>
      <rPr>
        <rFont val="Arial"/>
        <sz val="10.0"/>
      </rPr>
      <t xml:space="preserve"> with the exception of cases involving IAV as the primary pathogen.  ( </t>
    </r>
    <r>
      <rPr>
        <rFont val="Arial"/>
        <color rgb="FF1155CC"/>
        <sz val="10.0"/>
        <u/>
      </rPr>
      <t>https://www.soundtalks.com/paper/sound-based-health-monitoring-performed-by-soundtalks-significantly-reduces-the-overall-antibiotic-consumption-nursery-facilities/</t>
    </r>
    <r>
      <rPr>
        <rFont val="Arial"/>
        <sz val="10.0"/>
      </rPr>
      <t xml:space="preserve"> )</t>
    </r>
  </si>
  <si>
    <t xml:space="preserve">https://www.degree2act.com/ </t>
  </si>
  <si>
    <t>This Calculator Module can be removed for Pig DATs</t>
  </si>
  <si>
    <t>Number of birds
(input provided by the user)</t>
  </si>
  <si>
    <t>Startup Fee per Bird (€)
(Known value from system)</t>
  </si>
  <si>
    <t>Monthly Cost per Bird (€)
(Known value from system)</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</si>
  <si>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</si>
  <si>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</si>
  <si>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r>
      <rPr>
        <rFont val="Arial"/>
        <b/>
        <color theme="1"/>
      </rPr>
      <t>Total Initial cost of DAT Purchase</t>
    </r>
    <r>
      <rPr>
        <rFont val="Arial"/>
        <color theme="1"/>
      </rPr>
      <t xml:space="preserve">
(Result shown after using the calculator module)</t>
    </r>
  </si>
  <si>
    <r>
      <rPr>
        <rFont val="Arial"/>
        <color theme="1"/>
        <sz val="10.0"/>
      </rPr>
      <t xml:space="preserve">Milk Yield Increase (%)
</t>
    </r>
    <r>
      <rPr>
        <rFont val="Arial"/>
        <b/>
        <color theme="1"/>
        <sz val="10.0"/>
      </rPr>
      <t>(Known value from system)</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</si>
  <si>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</si>
  <si>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</si>
  <si>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</si>
  <si>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 xml:space="preserve">Strohmatic Automatic Littering System </t>
  </si>
  <si>
    <r>
      <rPr>
        <rFont val="Arial"/>
        <color rgb="FF1155CC"/>
        <sz val="10.0"/>
        <u/>
      </rPr>
      <t>https://en.schauer-agrotronic.com/pig/litter-systems/strohmatic</t>
    </r>
    <r>
      <rPr>
        <rFont val="Arial"/>
        <color rgb="FF0563C1"/>
        <sz val="10.0"/>
        <u/>
      </rPr>
      <t xml:space="preserve">   Strohmatic Litter system </t>
    </r>
  </si>
  <si>
    <r>
      <rPr>
        <rFont val="Arial"/>
        <color theme="1"/>
        <sz val="10.0"/>
      </rPr>
      <t xml:space="preserve">Reduce straw costs by up to 50 % </t>
    </r>
    <r>
      <rPr>
        <rFont val="Arial"/>
        <color theme="1"/>
        <sz val="10.0"/>
      </rPr>
      <t xml:space="preserve">with Strohmatic., achieves a </t>
    </r>
    <r>
      <rPr>
        <rFont val="Arial"/>
        <color theme="1"/>
        <sz val="10.0"/>
      </rPr>
      <t xml:space="preserve">dust reduction of up to 80 %. ------------------------------ </t>
    </r>
    <r>
      <rPr>
        <rFont val="Arial"/>
        <color theme="1"/>
        <sz val="10.0"/>
      </rPr>
      <t>The use of precision livestock feeding can decrease protein intake by 25%, and nitrogen excretion into the environment by 40%, while increasing profitability by nearly 10% [60].   Hendriks W.H., Verstegen M.W.A., Babinszky L., editors. Poultry and Pig Nutrition. Wageningen Academic Publishers; Wageningen, The Netherlands: 2019. [Google Scholar]</t>
    </r>
  </si>
  <si>
    <t>20.000 – 50.000 €</t>
  </si>
  <si>
    <t>https://www.farmsrobots.com/product/74/t-moov-robot</t>
  </si>
  <si>
    <r>
      <rPr>
        <rFont val="Arial"/>
        <color theme="1"/>
        <sz val="10.0"/>
      </rPr>
      <t>In comparison to legacy lighting systems, such as CFL and fluorescent, ALIS yields</t>
    </r>
    <r>
      <rPr>
        <rFont val="Arial"/>
        <color theme="1"/>
        <sz val="10.0"/>
      </rPr>
      <t xml:space="preserve"> energy savings between 50% and 90%</t>
    </r>
  </si>
  <si>
    <t>This Calculator Module can be removed for Poultry DATs</t>
  </si>
  <si>
    <t>Number of animals
(input provided by the user)</t>
  </si>
  <si>
    <t>Startup Fee per Animal(€)
(Known value from system)</t>
  </si>
  <si>
    <t>Monthly Cost per Animal(€)
(Known value from system)</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</si>
  <si>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</si>
  <si>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</si>
  <si>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t>Total cost of DAT Purchase (€)
(Result shown after using the calculator module)</t>
  </si>
  <si>
    <r>
      <rPr>
        <rFont val="Arial"/>
        <color theme="1"/>
        <sz val="10.0"/>
      </rPr>
      <t xml:space="preserve">Milk Yield Increase (%)
</t>
    </r>
    <r>
      <rPr>
        <rFont val="Arial"/>
        <b/>
        <color theme="1"/>
        <sz val="10.0"/>
      </rPr>
      <t>(Known value from system)</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</si>
  <si>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</si>
  <si>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</si>
  <si>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</si>
  <si>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https://boumatic.com/eu_en/products/caprimax/</t>
  </si>
  <si>
    <r>
      <rPr>
        <rFont val="Arial"/>
        <color theme="1"/>
        <sz val="10.0"/>
      </rPr>
      <t xml:space="preserve">According to Belanche et al. (2019), their study, which focused on dairy goat farms, demonstrated a decrease in seasonality throughout the year in terms of the percentage of animals in milking and milk yield, allowing for a significant </t>
    </r>
    <r>
      <rPr>
        <rFont val="Arial"/>
        <color theme="1"/>
        <sz val="10.0"/>
      </rPr>
      <t>increment of off-season milk production by 17%</t>
    </r>
    <r>
      <rPr>
        <rFont val="Arial"/>
        <color theme="1"/>
        <sz val="10.0"/>
      </rPr>
      <t>. This improvement was attributed to the implementation of automated milking systems in the goat farms.. ----------------------- According to De Koning (2010), the adoption of automatic milking systems in dairy farms compared to conventional twice daily milking results in an</t>
    </r>
    <r>
      <rPr>
        <rFont val="Arial"/>
        <color theme="1"/>
        <sz val="10.0"/>
      </rPr>
      <t xml:space="preserve"> average reduction of 20% to 30% in total labor. ------------------ Heikkila et al. (2012) stated that introduction of milking robots on a farm in Finland created an average increase in productivity by 7 percent.</t>
    </r>
  </si>
  <si>
    <t>https://boumatic.com/eu_en/products/ovimax/</t>
  </si>
  <si>
    <r>
      <rPr>
        <rFont val="Arial"/>
        <color theme="1"/>
        <sz val="10.0"/>
      </rPr>
      <t xml:space="preserve">According to Belanche et al. (2019), their study, which focused on dairy goat farms, demonstrated a decrease in seasonality throughout the year in terms of the percentage of animals in milking and milk yield, allowing for a significant </t>
    </r>
    <r>
      <rPr>
        <rFont val="Arial"/>
        <color theme="1"/>
        <sz val="10.0"/>
      </rPr>
      <t>increment of off-season milk production by 17%</t>
    </r>
    <r>
      <rPr>
        <rFont val="Arial"/>
        <color theme="1"/>
        <sz val="10.0"/>
      </rPr>
      <t>. This improvement was attributed to the implementation of automated milking systems in the goat farms.. ----------------------- According to De Koning (2010), the adoption of automatic milking systems in dairy farms compared to conventional twice daily milking results in an</t>
    </r>
    <r>
      <rPr>
        <rFont val="Arial"/>
        <color theme="1"/>
        <sz val="10.0"/>
      </rPr>
      <t xml:space="preserve"> average reduction of 20% to 30% in total labor.    -------------------</t>
    </r>
    <r>
      <rPr>
        <rFont val="Arial"/>
        <color theme="1"/>
        <sz val="10.0"/>
      </rPr>
      <t>Heikkila et al. (2012) stated that introduction of milking robots on a farm in Finlanf created an average increase in productivity by 7 percent.</t>
    </r>
  </si>
  <si>
    <t>https://www.dairymaster.com/gb/goat-rotary/</t>
  </si>
  <si>
    <r>
      <rPr>
        <rFont val="Arial"/>
        <color rgb="FF1155CC"/>
        <sz val="10.0"/>
        <u/>
      </rPr>
      <t>https://en.schauer-agrotronic.com/pig/litter-systems/strohmatic</t>
    </r>
    <r>
      <rPr>
        <rFont val="Arial"/>
        <color rgb="FF0563C1"/>
        <sz val="10.0"/>
        <u/>
      </rPr>
      <t xml:space="preserve">   Strohmatic Litter system </t>
    </r>
  </si>
  <si>
    <t>Cattle, Pig, Goat/sheep, Poultry</t>
  </si>
  <si>
    <r>
      <rPr>
        <rFont val="Arial"/>
        <color theme="1"/>
        <sz val="10.0"/>
      </rPr>
      <t xml:space="preserve">Reduce straw costs by up to 50 % </t>
    </r>
    <r>
      <rPr>
        <rFont val="Arial"/>
        <color theme="1"/>
        <sz val="10.0"/>
      </rPr>
      <t xml:space="preserve">with Strohmatic., achieves a </t>
    </r>
    <r>
      <rPr>
        <rFont val="Arial"/>
        <color theme="1"/>
        <sz val="10.0"/>
      </rPr>
      <t>dust reduction of up to 80 %.</t>
    </r>
  </si>
  <si>
    <r>
      <rPr>
        <rFont val="Arial"/>
        <color rgb="FF0563C1"/>
        <sz val="10.0"/>
        <u/>
      </rPr>
      <t>https://en.schauer-agrotronic.com/sheep-and-goats</t>
    </r>
    <r>
      <rPr>
        <rFont val="Arial"/>
        <color rgb="FF000000"/>
        <sz val="10.0"/>
        <u/>
      </rPr>
      <t xml:space="preserve">       brochure named "Sheep and goats"</t>
    </r>
  </si>
  <si>
    <r>
      <rPr>
        <rFont val="Arial"/>
        <color theme="1"/>
        <sz val="10.0"/>
      </rPr>
      <t xml:space="preserve">Through the approx. 4-8 times feed presentation per day, the feed intake of the TMR mixed ration increased by up to 10% according to studies become. At the same time it will also increased the amount of milk produced. This robot feeding system provides labour savings 2 hours a day. </t>
    </r>
    <r>
      <rPr>
        <rFont val="Arial"/>
        <color theme="1"/>
        <sz val="10.0"/>
      </rPr>
      <t xml:space="preserve">According to a recent study by Guy Beauregard, agricultural economist, repeated feeding with roughage improves feed intake and increases milk production by approximately 10%. 
</t>
    </r>
    <r>
      <rPr>
        <rFont val="Arial"/>
        <color theme="1"/>
        <sz val="10.0"/>
      </rPr>
      <t xml:space="preserve">
</t>
    </r>
  </si>
  <si>
    <r>
      <rPr>
        <rFont val="Arial"/>
        <color rgb="FF0563C1"/>
        <sz val="10.0"/>
        <u/>
      </rPr>
      <t>https://www.lely.com/solutions/feeding/vector/</t>
    </r>
    <r>
      <rPr>
        <rFont val="Arial"/>
        <color rgb="FF000000"/>
        <sz val="10.0"/>
        <u/>
      </rPr>
      <t xml:space="preserve">      </t>
    </r>
    <r>
      <rPr>
        <rFont val="Arial"/>
        <color rgb="FF1155CC"/>
        <sz val="10.0"/>
        <u/>
      </rPr>
      <t>https://www.lely.com/media/filer_public/72/0e/720e3ff9-7884-4b81-84c9-a3489509ab26/bf18012_vector-tools_brochure_2018_en.pdf</t>
    </r>
    <r>
      <rPr>
        <rFont val="Arial"/>
        <color rgb="FF000000"/>
        <sz val="10.0"/>
        <u/>
      </rPr>
      <t xml:space="preserve">  </t>
    </r>
  </si>
  <si>
    <r>
      <rPr>
        <rFont val="Arial"/>
        <color theme="1"/>
        <sz val="10.0"/>
      </rPr>
      <t xml:space="preserve">Cattle, </t>
    </r>
    <r>
      <rPr>
        <rFont val="Arial"/>
        <i/>
        <color theme="1"/>
        <sz val="10.0"/>
      </rPr>
      <t xml:space="preserve"> Goat/sheep</t>
    </r>
  </si>
  <si>
    <r>
      <rPr>
        <rFont val="Arial"/>
        <color theme="1"/>
        <sz val="10.0"/>
      </rPr>
      <t xml:space="preserve">In the article by Tangorra and Calcante (2018), by using LELY VECTOR, the authors reported a </t>
    </r>
    <r>
      <rPr>
        <rFont val="Arial"/>
        <color theme="1"/>
        <sz val="10.0"/>
      </rPr>
      <t xml:space="preserve">reduction of 97% in energy consumption </t>
    </r>
    <r>
      <rPr>
        <rFont val="Arial"/>
        <color theme="1"/>
        <sz val="10.0"/>
      </rPr>
      <t xml:space="preserve">and </t>
    </r>
    <r>
      <rPr>
        <rFont val="Arial"/>
        <color theme="1"/>
        <sz val="10.0"/>
      </rPr>
      <t>79% in labor</t>
    </r>
    <r>
      <rPr>
        <rFont val="Arial"/>
        <color theme="1"/>
        <sz val="10.0"/>
      </rPr>
      <t xml:space="preserve"> when transitioning from a Conventional Feeding System (CFS) to an Automatic Feeding System (AFS). The information regarding the reduction in energy consumption and labor, as well as the</t>
    </r>
    <r>
      <rPr>
        <rFont val="Arial"/>
        <color theme="1"/>
        <sz val="10.0"/>
      </rPr>
      <t xml:space="preserve"> 33% reduction in daily feeding cost. </t>
    </r>
    <r>
      <rPr>
        <rFont val="Arial"/>
        <i/>
        <color theme="1"/>
        <sz val="10.0"/>
      </rPr>
      <t>While it is commonly associated with automated feeding systems for dairy cattle, the Lely Vector is a flexible system that can be adapted for various livestock types, including small ruminants such as sheep and goats.</t>
    </r>
  </si>
  <si>
    <t>https://www.greenoakna.com/goat-sheep-feed-station</t>
  </si>
  <si>
    <r>
      <rPr>
        <rFont val="Arial"/>
        <color theme="1"/>
        <sz val="10.0"/>
      </rPr>
      <t xml:space="preserve">We have also seen evidence of commercial farms in Europe where they can make </t>
    </r>
    <r>
      <rPr>
        <rFont val="Arial"/>
        <color theme="1"/>
        <sz val="10.0"/>
      </rPr>
      <t xml:space="preserve">savings of 15% of feed cost </t>
    </r>
    <r>
      <rPr>
        <rFont val="Arial"/>
        <color theme="1"/>
        <sz val="10.0"/>
      </rPr>
      <t>by feeding to milk production of the animal.
Greenoak research has shown that tailored computer feeding can</t>
    </r>
    <r>
      <rPr>
        <rFont val="Arial"/>
        <color theme="1"/>
        <sz val="10.0"/>
      </rPr>
      <t xml:space="preserve"> improve milk production by 20%</t>
    </r>
    <r>
      <rPr>
        <rFont val="Arial"/>
        <color theme="1"/>
        <sz val="10.0"/>
      </rPr>
      <t xml:space="preserve"> which is 3 times better than the </t>
    </r>
    <r>
      <rPr>
        <rFont val="Arial"/>
        <color theme="1"/>
        <sz val="10.0"/>
      </rPr>
      <t xml:space="preserve">15% feed to yield savings </t>
    </r>
    <r>
      <rPr>
        <rFont val="Arial"/>
        <color theme="1"/>
        <sz val="10.0"/>
      </rPr>
      <t>above.</t>
    </r>
  </si>
  <si>
    <t>https://www.nofence.no/en/</t>
  </si>
  <si>
    <r>
      <rPr>
        <rFont val="Arial"/>
        <color theme="1"/>
        <sz val="10.0"/>
      </rPr>
      <t xml:space="preserve"> annual yield of 6t/ha DM with 60 per cent utilisation for a total of 3.6t/ha DM utilised. When cattle are moved every two to three days, utilisation goes up to 75 per cent for a total of 9.0t/ha DM   ... --------------------------------------------according to the benefit of another DAT available, virtual fencing </t>
    </r>
    <r>
      <rPr>
        <rFont val="Arial"/>
        <color theme="1"/>
        <sz val="10.0"/>
      </rPr>
      <t>Reduce labor costs by over 25%</t>
    </r>
    <r>
      <rPr>
        <rFont val="Arial"/>
        <color theme="1"/>
        <sz val="10.0"/>
      </rPr>
      <t xml:space="preserve">
See</t>
    </r>
    <r>
      <rPr>
        <rFont val="Arial"/>
        <color theme="1"/>
        <sz val="10.0"/>
      </rPr>
      <t xml:space="preserve"> up to 30% cost savings</t>
    </r>
    <r>
      <rPr>
        <rFont val="Arial"/>
        <color theme="1"/>
        <sz val="10.0"/>
      </rPr>
      <t xml:space="preserve"> through rotational grazing</t>
    </r>
  </si>
  <si>
    <t>This Calculator Module can be removed for Small Ruminants DATs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</si>
</sst>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
    <numFmt numFmtId="165" formatCode="#,##0.00&quot;€&quot;"/>
    <numFmt numFmtId="166" formatCode="#,##0.00\ [$€-1]"/>
  </numFmts>
  <fonts count="34">
    <font>
      <sz val="10.0"/>
      <color rgb="FF000000"/>
      <name val="Arial"/>
      <scheme val="minor"/>
    </font>
    <font>
      <sz val="10.0"/>
      <color theme="1"/>
      <name val="Arial"/>
    </font>
    <font>
      <color rgb="FF000000"/>
      <name val="Arial"/>
    </font>
    <font>
      <sz val="10.0"/>
      <color rgb="FF000000"/>
      <name val="Arial"/>
    </font>
    <font>
      <u/>
      <color rgb="FF0000FF"/>
      <name val="Arial"/>
    </font>
    <font>
      <color theme="1"/>
      <name val="Arial"/>
      <scheme val="minor"/>
    </font>
    <font>
      <color rgb="FF000000"/>
      <name val="&quot;Times New Roman&quot;"/>
    </font>
    <font/>
    <font>
      <u/>
      <color rgb="FF0000FF"/>
      <name val="Arial"/>
    </font>
    <font>
      <sz val="10.0"/>
      <color rgb="FF222222"/>
      <name val="Arial"/>
    </font>
    <font>
      <u/>
      <color rgb="FF0000FF"/>
      <name val="Arial"/>
    </font>
    <font>
      <u/>
      <sz val="10.0"/>
      <color rgb="FF0000FF"/>
      <name val="Arial"/>
    </font>
    <font>
      <u/>
      <sz val="10.0"/>
      <color rgb="FF0000FF"/>
      <name val="Arial"/>
    </font>
    <font>
      <u/>
      <sz val="10.0"/>
      <color rgb="FF0000FF"/>
      <name val="Arial"/>
    </font>
    <font>
      <u/>
      <color rgb="FF0000FF"/>
      <name val="Arial"/>
    </font>
    <font>
      <u/>
      <color rgb="FF0000FF"/>
      <name val="Arial"/>
    </font>
    <font>
      <u/>
      <color rgb="FF0000FF"/>
      <name val="Arial"/>
    </font>
    <font>
      <u/>
      <sz val="10.0"/>
      <color rgb="FF0563C1"/>
      <name val="Arial"/>
    </font>
    <font>
      <color theme="1"/>
      <name val="Arial"/>
    </font>
    <font>
      <b/>
      <sz val="11.0"/>
      <color theme="1"/>
      <name val="Calibri"/>
    </font>
    <font>
      <b/>
      <sz val="11.0"/>
      <color theme="1"/>
      <name val="Arial"/>
    </font>
    <font>
      <u/>
      <sz val="10.0"/>
      <color rgb="FF0563C1"/>
      <name val="Arial"/>
    </font>
    <font>
      <u/>
      <sz val="10.0"/>
      <color rgb="FF0563C1"/>
      <name val="Arial"/>
    </font>
    <font>
      <u/>
      <sz val="10.0"/>
      <color rgb="FF0000FF"/>
      <name val="Arial"/>
    </font>
    <font>
      <u/>
      <sz val="10.0"/>
      <color rgb="FF0563C1"/>
      <name val="Arial"/>
    </font>
    <font>
      <u/>
      <sz val="10.0"/>
      <color rgb="FF0000FF"/>
      <name val="Arial"/>
    </font>
    <font>
      <u/>
      <sz val="10.0"/>
      <color rgb="FF0000FF"/>
      <name val="Arial"/>
    </font>
    <font>
      <u/>
      <sz val="10.0"/>
      <color rgb="FF0563C1"/>
      <name val="Arial"/>
    </font>
    <font>
      <u/>
      <sz val="10.0"/>
      <color rgb="FF0000FF"/>
      <name val="Arial"/>
    </font>
    <font>
      <u/>
      <sz val="10.0"/>
      <color rgb="FF0563C1"/>
      <name val="Arial"/>
    </font>
    <font>
      <u/>
      <sz val="10.0"/>
      <color rgb="FF0000FF"/>
      <name val="Arial"/>
    </font>
    <font>
      <u/>
      <sz val="10.0"/>
      <color rgb="FF0563C1"/>
      <name val="Arial"/>
    </font>
    <font>
      <u/>
      <sz val="10.0"/>
      <color rgb="FF0000FF"/>
      <name val="Arial"/>
    </font>
    <font>
      <u/>
      <sz val="10.0"/>
      <color rgb="FF0000FF"/>
      <name val="Arial"/>
    </font>
  </fonts>
  <fills count="16">
    <fill>
      <patternFill patternType="none"/>
    </fill>
    <fill>
      <patternFill patternType="lightGray"/>
    </fill>
    <fill>
      <patternFill patternType="solid">
        <fgColor rgb="FFD2F1DA"/>
        <bgColor rgb="FFD2F1DA"/>
      </patternFill>
    </fill>
    <fill>
      <patternFill patternType="solid">
        <fgColor rgb="FFD9D9D9"/>
        <bgColor rgb="FFD9D9D9"/>
      </patternFill>
    </fill>
    <fill>
      <patternFill patternType="solid">
        <fgColor rgb="FFFFFFFF"/>
        <bgColor rgb="FFFFFFFF"/>
      </patternFill>
    </fill>
    <fill>
      <patternFill patternType="solid">
        <fgColor rgb="FFFFFF00"/>
        <bgColor rgb="FFFFFF00"/>
      </patternFill>
    </fill>
    <fill>
      <patternFill patternType="solid">
        <fgColor rgb="FFD9D2E9"/>
        <bgColor rgb="FFD9D2E9"/>
      </patternFill>
    </fill>
    <fill>
      <patternFill patternType="solid">
        <fgColor rgb="FFFF0000"/>
        <bgColor rgb="FFFF0000"/>
      </patternFill>
    </fill>
    <fill>
      <patternFill patternType="solid">
        <fgColor rgb="FFF4CCCC"/>
        <bgColor rgb="FFF4CCCC"/>
      </patternFill>
    </fill>
    <fill>
      <patternFill patternType="solid">
        <fgColor theme="0"/>
        <bgColor theme="0"/>
      </patternFill>
    </fill>
    <fill>
      <patternFill patternType="solid">
        <fgColor rgb="FFD9E2F3"/>
        <bgColor rgb="FFD9E2F3"/>
      </patternFill>
    </fill>
    <fill>
      <patternFill patternType="solid">
        <fgColor rgb="FF00FF00"/>
        <bgColor rgb="FF00FF00"/>
      </patternFill>
    </fill>
    <fill>
      <patternFill patternType="solid">
        <fgColor rgb="FFE6B8AF"/>
        <bgColor rgb="FFE6B8AF"/>
      </patternFill>
    </fill>
    <fill>
      <patternFill patternType="solid">
        <fgColor rgb="FFFFC000"/>
        <bgColor rgb="FFFFC000"/>
      </patternFill>
    </fill>
    <fill>
      <patternFill patternType="solid">
        <fgColor rgb="FFEA9999"/>
        <bgColor rgb="FFEA9999"/>
      </patternFill>
    </fill>
    <fill>
      <patternFill patternType="solid">
        <fgColor rgb="FFB4A7D6"/>
        <bgColor rgb="FFB4A7D6"/>
      </patternFill>
    </fill>
  </fills>
  <borders count="4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left/>
      <right/>
      <top style="thin">
        <color rgb="FF000000"/>
      </top>
      <bottom/>
    </border>
    <border>
      <top style="thin">
        <color rgb="FF000000"/>
      </top>
    </border>
    <border>
      <left style="thin">
        <color rgb="FF000000"/>
      </left>
    </border>
    <border>
      <left/>
      <right/>
      <top/>
      <bottom/>
    </border>
    <border>
      <left style="thin">
        <color rgb="FF000000"/>
      </left>
      <bottom style="thin">
        <color rgb="FF000000"/>
      </bottom>
    </border>
    <border>
      <bottom style="thin">
        <color rgb="FF000000"/>
      </bottom>
    </border>
    <border>
      <left/>
      <right/>
      <top/>
      <bottom style="thin">
        <color rgb="FF000000"/>
      </bottom>
    </border>
    <border>
      <left/>
      <right/>
      <top/>
    </border>
    <border>
      <left style="thin">
        <color rgb="FF000000"/>
      </left>
      <right style="thin">
        <color rgb="FF000000"/>
      </right>
      <top style="thin">
        <color rgb="FF000000"/>
      </top>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right/>
      <top style="thin">
        <color rgb="FF000000"/>
      </top>
      <bottom/>
    </border>
    <border>
      <right style="thin">
        <color rgb="FF000000"/>
      </right>
      <top style="thin">
        <color rgb="FF000000"/>
      </top>
    </border>
    <border>
      <left style="thin">
        <color rgb="FF000000"/>
      </left>
      <right style="thin">
        <color rgb="FF000000"/>
      </right>
      <top style="thin">
        <color rgb="FF000000"/>
      </top>
    </border>
    <border>
      <left/>
      <right style="thin">
        <color rgb="FF000000"/>
      </right>
      <top/>
      <bottom/>
    </border>
    <border>
      <left style="thin">
        <color rgb="FF000000"/>
      </left>
      <right/>
      <top/>
      <bottom/>
    </border>
    <border>
      <right style="thin">
        <color rgb="FF000000"/>
      </right>
    </border>
    <border>
      <left style="thin">
        <color rgb="FF000000"/>
      </left>
      <right style="thin">
        <color rgb="FF000000"/>
      </right>
      <top/>
      <bottom/>
    </border>
    <border>
      <left style="thin">
        <color rgb="FF000000"/>
      </left>
      <right/>
      <top/>
      <bottom style="thin">
        <color rgb="FF000000"/>
      </bottom>
    </border>
    <border>
      <left/>
      <right style="thin">
        <color rgb="FF000000"/>
      </right>
      <top/>
      <bottom style="thin">
        <color rgb="FF000000"/>
      </bottom>
    </border>
    <border>
      <left style="thin">
        <color rgb="FF000000"/>
      </left>
      <right/>
      <top style="thin">
        <color rgb="FF000000"/>
      </top>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s>
  <cellStyleXfs count="1">
    <xf borderId="0" fillId="0" fontId="0" numFmtId="0" applyAlignment="1" applyFont="1"/>
  </cellStyleXfs>
  <cellXfs count="25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ont="1">
      <alignment horizontal="left" vertical="center"/>
    </xf>
    <xf borderId="1" fillId="2" fontId="1" numFmtId="0" xfId="0" applyAlignment="1" applyBorder="1" applyFont="1">
      <alignment horizontal="left"/>
    </xf>
    <xf borderId="1" fillId="2" fontId="1" numFmtId="0" xfId="0" applyAlignment="1" applyBorder="1" applyFont="1">
      <alignment shrinkToFit="0" wrapText="0"/>
    </xf>
    <xf borderId="1" fillId="2" fontId="1" numFmtId="0" xfId="0" applyBorder="1" applyFont="1"/>
    <xf borderId="2" fillId="2" fontId="1" numFmtId="0" xfId="0" applyBorder="1" applyFont="1"/>
    <xf borderId="0" fillId="3" fontId="1" numFmtId="0" xfId="0" applyAlignment="1" applyFill="1" applyFont="1">
      <alignment horizontal="left"/>
    </xf>
    <xf borderId="0" fillId="2" fontId="2" numFmtId="0" xfId="0" applyAlignment="1" applyFont="1">
      <alignment horizontal="center" readingOrder="0" shrinkToFit="0" vertical="bottom" wrapText="0"/>
    </xf>
    <xf borderId="0" fillId="2" fontId="2" numFmtId="0" xfId="0" applyAlignment="1" applyFont="1">
      <alignment readingOrder="0" vertical="bottom"/>
    </xf>
    <xf borderId="3" fillId="0" fontId="1" numFmtId="0" xfId="0" applyAlignment="1" applyBorder="1" applyFont="1">
      <alignment horizontal="left" shrinkToFit="0" vertical="center" wrapText="1"/>
    </xf>
    <xf borderId="4" fillId="4" fontId="3" numFmtId="0" xfId="0" applyAlignment="1" applyBorder="1" applyFill="1" applyFont="1">
      <alignment horizontal="left"/>
    </xf>
    <xf borderId="5" fillId="0" fontId="1" numFmtId="0" xfId="0" applyAlignment="1" applyBorder="1" applyFont="1">
      <alignment horizontal="left"/>
    </xf>
    <xf borderId="5" fillId="0" fontId="1" numFmtId="0" xfId="0" applyAlignment="1" applyBorder="1" applyFont="1">
      <alignment shrinkToFit="0" wrapText="0"/>
    </xf>
    <xf borderId="5" fillId="0" fontId="4" numFmtId="0" xfId="0" applyAlignment="1" applyBorder="1" applyFont="1">
      <alignment readingOrder="0" shrinkToFit="0" vertical="bottom" wrapText="0"/>
    </xf>
    <xf borderId="5" fillId="0" fontId="1" numFmtId="0" xfId="0" applyBorder="1" applyFont="1"/>
    <xf borderId="5" fillId="0" fontId="1" numFmtId="164" xfId="0" applyAlignment="1" applyBorder="1" applyFont="1" applyNumberFormat="1">
      <alignment horizontal="left"/>
    </xf>
    <xf borderId="5" fillId="0" fontId="5" numFmtId="0" xfId="0" applyBorder="1" applyFont="1"/>
    <xf borderId="5" fillId="0" fontId="2" numFmtId="0" xfId="0" applyAlignment="1" applyBorder="1" applyFont="1">
      <alignment horizontal="left" readingOrder="0" shrinkToFit="0" vertical="bottom" wrapText="0"/>
    </xf>
    <xf borderId="5" fillId="0" fontId="2" numFmtId="0" xfId="0" applyAlignment="1" applyBorder="1" applyFont="1">
      <alignment horizontal="right" readingOrder="0" shrinkToFit="0" vertical="bottom" wrapText="0"/>
    </xf>
    <xf borderId="5" fillId="5" fontId="2" numFmtId="0" xfId="0" applyAlignment="1" applyBorder="1" applyFill="1" applyFont="1">
      <alignment readingOrder="0" vertical="bottom"/>
    </xf>
    <xf borderId="5" fillId="5" fontId="6" numFmtId="0" xfId="0" applyAlignment="1" applyBorder="1" applyFont="1">
      <alignment horizontal="center" readingOrder="0"/>
    </xf>
    <xf borderId="6" fillId="0" fontId="7" numFmtId="0" xfId="0" applyBorder="1" applyFont="1"/>
    <xf borderId="0" fillId="0" fontId="1" numFmtId="0" xfId="0" applyAlignment="1" applyFont="1">
      <alignment horizontal="left" vertical="center"/>
    </xf>
    <xf borderId="0" fillId="0" fontId="1" numFmtId="0" xfId="0" applyAlignment="1" applyFont="1">
      <alignment horizontal="left"/>
    </xf>
    <xf borderId="0" fillId="0" fontId="1" numFmtId="0" xfId="0" applyAlignment="1" applyFont="1">
      <alignment shrinkToFit="0" wrapText="0"/>
    </xf>
    <xf borderId="0" fillId="0" fontId="8" numFmtId="0" xfId="0" applyAlignment="1" applyFont="1">
      <alignment readingOrder="0" shrinkToFit="0" vertical="bottom" wrapText="0"/>
    </xf>
    <xf borderId="0" fillId="0" fontId="1" numFmtId="0" xfId="0" applyFont="1"/>
    <xf borderId="0" fillId="0" fontId="1" numFmtId="164" xfId="0" applyAlignment="1" applyFont="1" applyNumberFormat="1">
      <alignment horizontal="left"/>
    </xf>
    <xf borderId="0" fillId="0" fontId="2" numFmtId="0" xfId="0" applyAlignment="1" applyFont="1">
      <alignment horizontal="left" readingOrder="0" shrinkToFit="0" vertical="bottom" wrapText="0"/>
    </xf>
    <xf borderId="0" fillId="0" fontId="2" numFmtId="0" xfId="0" applyAlignment="1" applyFont="1">
      <alignment horizontal="right" readingOrder="0" shrinkToFit="0" vertical="bottom" wrapText="0"/>
    </xf>
    <xf borderId="0" fillId="5" fontId="2" numFmtId="0" xfId="0" applyAlignment="1" applyFont="1">
      <alignment readingOrder="0" vertical="bottom"/>
    </xf>
    <xf borderId="0" fillId="5" fontId="6" numFmtId="0" xfId="0" applyAlignment="1" applyFont="1">
      <alignment horizontal="center" readingOrder="0"/>
    </xf>
    <xf borderId="0" fillId="0" fontId="9" numFmtId="0" xfId="0" applyAlignment="1" applyFont="1">
      <alignment horizontal="center" shrinkToFit="0" wrapText="0"/>
    </xf>
    <xf borderId="0" fillId="0" fontId="1" numFmtId="164" xfId="0" applyAlignment="1" applyFont="1" applyNumberFormat="1">
      <alignment horizontal="left" readingOrder="0"/>
    </xf>
    <xf borderId="7" fillId="6" fontId="1" numFmtId="0" xfId="0" applyAlignment="1" applyBorder="1" applyFill="1" applyFont="1">
      <alignment horizontal="left"/>
    </xf>
    <xf borderId="0" fillId="5" fontId="2" numFmtId="0" xfId="0" applyAlignment="1" applyFont="1">
      <alignment horizontal="left" readingOrder="0" vertical="bottom"/>
    </xf>
    <xf borderId="0" fillId="5" fontId="2" numFmtId="0" xfId="0" applyAlignment="1" applyFont="1">
      <alignment horizontal="center" readingOrder="0"/>
    </xf>
    <xf borderId="0" fillId="0" fontId="1" numFmtId="0" xfId="0" applyAlignment="1" applyFont="1">
      <alignment horizontal="left" shrinkToFit="0" wrapText="0"/>
    </xf>
    <xf borderId="8" fillId="0" fontId="7" numFmtId="0" xfId="0" applyBorder="1" applyFont="1"/>
    <xf borderId="9" fillId="0" fontId="1" numFmtId="0" xfId="0" applyAlignment="1" applyBorder="1" applyFont="1">
      <alignment horizontal="left"/>
    </xf>
    <xf borderId="9" fillId="0" fontId="1" numFmtId="0" xfId="0" applyAlignment="1" applyBorder="1" applyFont="1">
      <alignment horizontal="left" shrinkToFit="0" wrapText="0"/>
    </xf>
    <xf borderId="9" fillId="0" fontId="10" numFmtId="0" xfId="0" applyAlignment="1" applyBorder="1" applyFont="1">
      <alignment readingOrder="0" shrinkToFit="0" vertical="bottom" wrapText="0"/>
    </xf>
    <xf borderId="9" fillId="0" fontId="1" numFmtId="0" xfId="0" applyBorder="1" applyFont="1"/>
    <xf borderId="9" fillId="0" fontId="5" numFmtId="0" xfId="0" applyBorder="1" applyFont="1"/>
    <xf borderId="9" fillId="0" fontId="2" numFmtId="0" xfId="0" applyAlignment="1" applyBorder="1" applyFont="1">
      <alignment horizontal="left" readingOrder="0" shrinkToFit="0" vertical="bottom" wrapText="0"/>
    </xf>
    <xf borderId="9" fillId="0" fontId="2" numFmtId="0" xfId="0" applyAlignment="1" applyBorder="1" applyFont="1">
      <alignment horizontal="right" readingOrder="0" shrinkToFit="0" vertical="bottom" wrapText="0"/>
    </xf>
    <xf borderId="9" fillId="5" fontId="2" numFmtId="0" xfId="0" applyAlignment="1" applyBorder="1" applyFont="1">
      <alignment horizontal="left" readingOrder="0" vertical="bottom"/>
    </xf>
    <xf borderId="9" fillId="5" fontId="2" numFmtId="0" xfId="0" applyAlignment="1" applyBorder="1" applyFont="1">
      <alignment readingOrder="0" vertical="bottom"/>
    </xf>
    <xf borderId="9" fillId="5" fontId="2" numFmtId="0" xfId="0" applyAlignment="1" applyBorder="1" applyFont="1">
      <alignment horizontal="center" readingOrder="0"/>
    </xf>
    <xf borderId="5" fillId="0" fontId="1" numFmtId="0" xfId="0" applyAlignment="1" applyBorder="1" applyFont="1">
      <alignment horizontal="left" vertical="center"/>
    </xf>
    <xf borderId="5" fillId="5" fontId="1" numFmtId="0" xfId="0" applyAlignment="1" applyBorder="1" applyFont="1">
      <alignment horizontal="left"/>
    </xf>
    <xf borderId="5" fillId="0" fontId="11" numFmtId="0" xfId="0" applyBorder="1" applyFont="1"/>
    <xf borderId="0" fillId="0" fontId="12" numFmtId="0" xfId="0" applyAlignment="1" applyFont="1">
      <alignment shrinkToFit="0" wrapText="0"/>
    </xf>
    <xf borderId="0" fillId="0" fontId="13" numFmtId="0" xfId="0" applyFont="1"/>
    <xf borderId="0" fillId="0" fontId="1" numFmtId="0" xfId="0" applyAlignment="1" applyFont="1">
      <alignment shrinkToFit="0" vertical="center" wrapText="0"/>
    </xf>
    <xf borderId="0" fillId="0" fontId="14" numFmtId="0" xfId="0" applyAlignment="1" applyFont="1">
      <alignment readingOrder="0" shrinkToFit="0" wrapText="0"/>
    </xf>
    <xf borderId="0" fillId="0" fontId="1" numFmtId="0" xfId="0" applyAlignment="1" applyFont="1">
      <alignment vertical="center"/>
    </xf>
    <xf borderId="0" fillId="0" fontId="1" numFmtId="0" xfId="0" applyAlignment="1" applyFont="1">
      <alignment shrinkToFit="0" wrapText="1"/>
    </xf>
    <xf borderId="0" fillId="0" fontId="2" numFmtId="0" xfId="0" applyAlignment="1" applyFont="1">
      <alignment horizontal="left" readingOrder="0" shrinkToFit="0" wrapText="0"/>
    </xf>
    <xf borderId="0" fillId="0" fontId="2" numFmtId="0" xfId="0" applyAlignment="1" applyFont="1">
      <alignment horizontal="right" readingOrder="0" vertical="bottom"/>
    </xf>
    <xf borderId="9" fillId="0" fontId="1" numFmtId="0" xfId="0" applyAlignment="1" applyBorder="1" applyFont="1">
      <alignment horizontal="left" vertical="center"/>
    </xf>
    <xf borderId="10" fillId="6" fontId="1" numFmtId="0" xfId="0" applyAlignment="1" applyBorder="1" applyFont="1">
      <alignment horizontal="left" vertical="center"/>
    </xf>
    <xf borderId="9" fillId="0" fontId="1" numFmtId="0" xfId="0" applyAlignment="1" applyBorder="1" applyFont="1">
      <alignment shrinkToFit="0" vertical="center" wrapText="0"/>
    </xf>
    <xf borderId="9" fillId="0" fontId="15" numFmtId="0" xfId="0" applyAlignment="1" applyBorder="1" applyFont="1">
      <alignment readingOrder="0" shrinkToFit="0" wrapText="0"/>
    </xf>
    <xf borderId="9" fillId="0" fontId="1" numFmtId="0" xfId="0" applyAlignment="1" applyBorder="1" applyFont="1">
      <alignment vertical="center"/>
    </xf>
    <xf borderId="9" fillId="0" fontId="1" numFmtId="0" xfId="0" applyAlignment="1" applyBorder="1" applyFont="1">
      <alignment shrinkToFit="0" wrapText="1"/>
    </xf>
    <xf borderId="9" fillId="0" fontId="2" numFmtId="0" xfId="0" applyAlignment="1" applyBorder="1" applyFont="1">
      <alignment horizontal="left" readingOrder="0" shrinkToFit="0" wrapText="0"/>
    </xf>
    <xf borderId="9" fillId="0" fontId="2" numFmtId="0" xfId="0" applyAlignment="1" applyBorder="1" applyFont="1">
      <alignment horizontal="right" readingOrder="0" vertical="bottom"/>
    </xf>
    <xf borderId="0" fillId="0" fontId="1" numFmtId="0" xfId="0" applyAlignment="1" applyFont="1">
      <alignment horizontal="center" shrinkToFit="0" wrapText="0"/>
    </xf>
    <xf borderId="0" fillId="5" fontId="2" numFmtId="0" xfId="0" applyAlignment="1" applyFont="1">
      <alignment horizontal="left" readingOrder="0" shrinkToFit="0" vertical="bottom" wrapText="0"/>
    </xf>
    <xf borderId="0" fillId="5" fontId="2" numFmtId="0" xfId="0" applyAlignment="1" applyFont="1">
      <alignment horizontal="right" readingOrder="0" shrinkToFit="0" vertical="bottom" wrapText="0"/>
    </xf>
    <xf borderId="7" fillId="6" fontId="1" numFmtId="0" xfId="0" applyAlignment="1" applyBorder="1" applyFont="1">
      <alignment shrinkToFit="0" wrapText="0"/>
    </xf>
    <xf borderId="0" fillId="5" fontId="1" numFmtId="0" xfId="0" applyAlignment="1" applyFont="1">
      <alignment horizontal="left" vertical="center"/>
    </xf>
    <xf borderId="7" fillId="4" fontId="3" numFmtId="0" xfId="0" applyAlignment="1" applyBorder="1" applyFont="1">
      <alignment horizontal="left"/>
    </xf>
    <xf borderId="0" fillId="0" fontId="2" numFmtId="0" xfId="0" applyAlignment="1" applyFont="1">
      <alignment horizontal="left" readingOrder="0" vertical="bottom"/>
    </xf>
    <xf borderId="0" fillId="0" fontId="1" numFmtId="165" xfId="0" applyFont="1" applyNumberFormat="1"/>
    <xf borderId="0" fillId="5" fontId="2" numFmtId="0" xfId="0" applyAlignment="1" applyFont="1">
      <alignment horizontal="left" readingOrder="0" shrinkToFit="0" wrapText="0"/>
    </xf>
    <xf borderId="0" fillId="0" fontId="1" numFmtId="0" xfId="0" applyAlignment="1" applyFont="1">
      <alignment horizontal="left" shrinkToFit="0" wrapText="1"/>
    </xf>
    <xf borderId="11" fillId="4" fontId="3" numFmtId="0" xfId="0" applyAlignment="1" applyBorder="1" applyFont="1">
      <alignment horizontal="left"/>
    </xf>
    <xf borderId="5" fillId="0" fontId="1" numFmtId="0" xfId="0" applyAlignment="1" applyBorder="1" applyFont="1">
      <alignment horizontal="left" shrinkToFit="0" vertical="center" wrapText="1"/>
    </xf>
    <xf borderId="5" fillId="0" fontId="1" numFmtId="0" xfId="0" applyAlignment="1" applyBorder="1" applyFont="1">
      <alignment horizontal="left" shrinkToFit="0" wrapText="0"/>
    </xf>
    <xf borderId="5" fillId="0" fontId="16" numFmtId="0" xfId="0" applyAlignment="1" applyBorder="1" applyFont="1">
      <alignment readingOrder="0" shrinkToFit="0" vertical="bottom" wrapText="0"/>
    </xf>
    <xf borderId="0" fillId="5" fontId="1" numFmtId="0" xfId="0" applyAlignment="1" applyFont="1">
      <alignment horizontal="left"/>
    </xf>
    <xf borderId="0" fillId="7" fontId="2" numFmtId="0" xfId="0" applyAlignment="1" applyFill="1" applyFont="1">
      <alignment horizontal="left" readingOrder="0" shrinkToFit="0" vertical="bottom" wrapText="0"/>
    </xf>
    <xf borderId="0" fillId="6" fontId="1" numFmtId="0" xfId="0" applyAlignment="1" applyFont="1">
      <alignment shrinkToFit="0" wrapText="0"/>
    </xf>
    <xf borderId="0" fillId="5" fontId="2" numFmtId="0" xfId="0" applyAlignment="1" applyFont="1">
      <alignment vertical="bottom"/>
    </xf>
    <xf borderId="0" fillId="0" fontId="1" numFmtId="0" xfId="0" applyAlignment="1" applyFont="1">
      <alignment horizontal="left" shrinkToFit="0" vertical="center" wrapText="0"/>
    </xf>
    <xf borderId="0" fillId="6" fontId="1" numFmtId="0" xfId="0" applyAlignment="1" applyFont="1">
      <alignment horizontal="left" vertical="center"/>
    </xf>
    <xf borderId="0" fillId="6" fontId="3" numFmtId="0" xfId="0" applyAlignment="1" applyFont="1">
      <alignment shrinkToFit="0" vertical="center" wrapText="0"/>
    </xf>
    <xf borderId="0" fillId="0" fontId="1" numFmtId="165" xfId="0" applyAlignment="1" applyFont="1" applyNumberFormat="1">
      <alignment horizontal="left"/>
    </xf>
    <xf borderId="9" fillId="0" fontId="7" numFmtId="0" xfId="0" applyBorder="1" applyFont="1"/>
    <xf borderId="9" fillId="0" fontId="1" numFmtId="0" xfId="0" applyAlignment="1" applyBorder="1" applyFont="1">
      <alignment horizontal="left" shrinkToFit="0" vertical="center" wrapText="0"/>
    </xf>
    <xf borderId="9" fillId="0" fontId="2" numFmtId="0" xfId="0" applyAlignment="1" applyBorder="1" applyFont="1">
      <alignment horizontal="right" readingOrder="0" shrinkToFit="0" wrapText="0"/>
    </xf>
    <xf borderId="0" fillId="0" fontId="5" numFmtId="0" xfId="0" applyAlignment="1" applyFont="1">
      <alignment shrinkToFit="0" wrapText="0"/>
    </xf>
    <xf borderId="12" fillId="2" fontId="1" numFmtId="0" xfId="0" applyAlignment="1" applyBorder="1" applyFont="1">
      <alignment horizontal="left" shrinkToFit="0" vertical="center" wrapText="1"/>
    </xf>
    <xf borderId="12" fillId="2" fontId="1" numFmtId="0" xfId="0" applyAlignment="1" applyBorder="1" applyFont="1">
      <alignment horizontal="left" vertical="center"/>
    </xf>
    <xf borderId="12" fillId="2" fontId="1" numFmtId="0" xfId="0" applyAlignment="1" applyBorder="1" applyFont="1">
      <alignment horizontal="left"/>
    </xf>
    <xf borderId="13" fillId="2" fontId="1" numFmtId="166" xfId="0" applyAlignment="1" applyBorder="1" applyFont="1" applyNumberFormat="1">
      <alignment horizontal="center"/>
    </xf>
    <xf borderId="14" fillId="0" fontId="7" numFmtId="0" xfId="0" applyBorder="1" applyFont="1"/>
    <xf borderId="15" fillId="0" fontId="7" numFmtId="0" xfId="0" applyBorder="1" applyFont="1"/>
    <xf borderId="16" fillId="2" fontId="1" numFmtId="0" xfId="0" applyAlignment="1" applyBorder="1" applyFont="1">
      <alignment horizontal="center"/>
    </xf>
    <xf borderId="17" fillId="0" fontId="7" numFmtId="0" xfId="0" applyBorder="1" applyFont="1"/>
    <xf borderId="18" fillId="0" fontId="7" numFmtId="0" xfId="0" applyBorder="1" applyFont="1"/>
    <xf borderId="1" fillId="2" fontId="1" numFmtId="0" xfId="0" applyAlignment="1" applyBorder="1" applyFont="1">
      <alignment horizontal="center"/>
    </xf>
    <xf borderId="19" fillId="2" fontId="1" numFmtId="0" xfId="0" applyAlignment="1" applyBorder="1" applyFont="1">
      <alignment horizontal="center"/>
    </xf>
    <xf borderId="20" fillId="0" fontId="7" numFmtId="0" xfId="0" applyBorder="1" applyFont="1"/>
    <xf borderId="21" fillId="0" fontId="7" numFmtId="0" xfId="0" applyBorder="1" applyFont="1"/>
    <xf borderId="16" fillId="2" fontId="1" numFmtId="0" xfId="0" applyAlignment="1" applyBorder="1" applyFont="1">
      <alignment horizontal="center" readingOrder="0"/>
    </xf>
    <xf borderId="22" fillId="0" fontId="7" numFmtId="0" xfId="0" applyBorder="1" applyFont="1"/>
    <xf borderId="7" fillId="2" fontId="1" numFmtId="0" xfId="0" applyBorder="1" applyFont="1"/>
    <xf borderId="0" fillId="0" fontId="1" numFmtId="0" xfId="0" applyAlignment="1" applyFont="1">
      <alignment horizontal="left" shrinkToFit="0" vertical="center" wrapText="1"/>
    </xf>
    <xf borderId="7" fillId="4" fontId="3" numFmtId="0" xfId="0" applyAlignment="1" applyBorder="1" applyFont="1">
      <alignment horizontal="left" shrinkToFit="0" wrapText="1"/>
    </xf>
    <xf borderId="23" fillId="0" fontId="1" numFmtId="0" xfId="0" applyAlignment="1" applyBorder="1" applyFont="1">
      <alignment shrinkToFit="0" wrapText="1"/>
    </xf>
    <xf borderId="24" fillId="0" fontId="17" numFmtId="0" xfId="0" applyAlignment="1" applyBorder="1" applyFont="1">
      <alignment shrinkToFit="0" wrapText="1"/>
    </xf>
    <xf borderId="24" fillId="0" fontId="1" numFmtId="0" xfId="0" applyAlignment="1" applyBorder="1" applyFont="1">
      <alignment shrinkToFit="0" wrapText="1"/>
    </xf>
    <xf borderId="8" fillId="0" fontId="1" numFmtId="0" xfId="0" applyAlignment="1" applyBorder="1" applyFont="1">
      <alignment horizontal="left" shrinkToFit="0" wrapText="1"/>
    </xf>
    <xf borderId="7" fillId="8" fontId="1" numFmtId="166" xfId="0" applyAlignment="1" applyBorder="1" applyFill="1" applyFont="1" applyNumberFormat="1">
      <alignment shrinkToFit="0" wrapText="1"/>
    </xf>
    <xf borderId="0" fillId="0" fontId="3" numFmtId="166" xfId="0" applyAlignment="1" applyFont="1" applyNumberFormat="1">
      <alignment readingOrder="0" shrinkToFit="0" wrapText="1"/>
    </xf>
    <xf borderId="0" fillId="0" fontId="1" numFmtId="166" xfId="0" applyAlignment="1" applyFont="1" applyNumberFormat="1">
      <alignment shrinkToFit="0" wrapText="1"/>
    </xf>
    <xf borderId="7" fillId="9" fontId="1" numFmtId="0" xfId="0" applyAlignment="1" applyBorder="1" applyFill="1" applyFont="1">
      <alignment horizontal="center" readingOrder="0" shrinkToFit="0" vertical="center" wrapText="1"/>
    </xf>
    <xf borderId="7" fillId="10" fontId="1" numFmtId="0" xfId="0" applyAlignment="1" applyBorder="1" applyFill="1" applyFont="1">
      <alignment horizontal="center" readingOrder="0" shrinkToFit="0" vertical="center" wrapText="1"/>
    </xf>
    <xf borderId="7" fillId="8" fontId="1" numFmtId="0" xfId="0" applyAlignment="1" applyBorder="1" applyFont="1">
      <alignment shrinkToFit="0" wrapText="1"/>
    </xf>
    <xf borderId="25" fillId="7" fontId="18" numFmtId="0" xfId="0" applyAlignment="1" applyBorder="1" applyFont="1">
      <alignment horizontal="center" readingOrder="0" shrinkToFit="0" vertical="center" wrapText="1"/>
    </xf>
    <xf borderId="26" fillId="5" fontId="1" numFmtId="0" xfId="0" applyAlignment="1" applyBorder="1" applyFont="1">
      <alignment shrinkToFit="0" wrapText="1"/>
    </xf>
    <xf borderId="27" fillId="0" fontId="1" numFmtId="0" xfId="0" applyAlignment="1" applyBorder="1" applyFont="1">
      <alignment shrinkToFit="0" wrapText="1"/>
    </xf>
    <xf borderId="28" fillId="11" fontId="1" numFmtId="0" xfId="0" applyAlignment="1" applyBorder="1" applyFill="1" applyFont="1">
      <alignment shrinkToFit="0" wrapText="1"/>
    </xf>
    <xf borderId="25" fillId="11" fontId="1" numFmtId="0" xfId="0" applyAlignment="1" applyBorder="1" applyFont="1">
      <alignment shrinkToFit="0" wrapText="1"/>
    </xf>
    <xf borderId="29" fillId="5" fontId="1" numFmtId="0" xfId="0" applyAlignment="1" applyBorder="1" applyFont="1">
      <alignment shrinkToFit="0" wrapText="1"/>
    </xf>
    <xf borderId="30" fillId="11" fontId="1" numFmtId="0" xfId="0" applyAlignment="1" applyBorder="1" applyFont="1">
      <alignment shrinkToFit="0" wrapText="1"/>
    </xf>
    <xf borderId="7" fillId="12" fontId="1" numFmtId="0" xfId="0" applyAlignment="1" applyBorder="1" applyFill="1" applyFont="1">
      <alignment shrinkToFit="0" wrapText="1"/>
    </xf>
    <xf borderId="7" fillId="13" fontId="19" numFmtId="0" xfId="0" applyAlignment="1" applyBorder="1" applyFill="1" applyFont="1">
      <alignment horizontal="center" readingOrder="0" shrinkToFit="0" vertical="center" wrapText="1"/>
    </xf>
    <xf borderId="1" fillId="11" fontId="20" numFmtId="0" xfId="0" applyAlignment="1" applyBorder="1" applyFont="1">
      <alignment horizontal="center" readingOrder="0" shrinkToFit="0" vertical="center" wrapText="1"/>
    </xf>
    <xf borderId="0" fillId="13" fontId="19" numFmtId="0" xfId="0" applyAlignment="1" applyFont="1">
      <alignment horizontal="center" shrinkToFit="0" vertical="center" wrapText="1"/>
    </xf>
    <xf borderId="0" fillId="13" fontId="19" numFmtId="0" xfId="0" applyAlignment="1" applyFont="1">
      <alignment horizontal="center" readingOrder="0" shrinkToFit="0" vertical="center" wrapText="1"/>
    </xf>
    <xf borderId="5" fillId="0" fontId="21" numFmtId="0" xfId="0" applyBorder="1" applyFont="1"/>
    <xf borderId="23" fillId="0" fontId="1" numFmtId="0" xfId="0" applyBorder="1" applyFont="1"/>
    <xf borderId="3" fillId="0" fontId="1" numFmtId="164" xfId="0" applyAlignment="1" applyBorder="1" applyFont="1" applyNumberFormat="1">
      <alignment horizontal="left"/>
    </xf>
    <xf borderId="5" fillId="0" fontId="1" numFmtId="0" xfId="0" applyAlignment="1" applyBorder="1" applyFont="1">
      <alignment readingOrder="0"/>
    </xf>
    <xf borderId="3" fillId="0" fontId="1" numFmtId="0" xfId="0" applyBorder="1" applyFont="1"/>
    <xf borderId="24" fillId="0" fontId="1" numFmtId="0" xfId="0" applyBorder="1" applyFont="1"/>
    <xf borderId="31" fillId="14" fontId="1" numFmtId="0" xfId="0" applyBorder="1" applyFill="1" applyFont="1"/>
    <xf borderId="5" fillId="0" fontId="1" numFmtId="0" xfId="0" applyAlignment="1" applyBorder="1" applyFont="1">
      <alignment horizontal="right"/>
    </xf>
    <xf borderId="23" fillId="0" fontId="1" numFmtId="0" xfId="0" applyAlignment="1" applyBorder="1" applyFont="1">
      <alignment horizontal="right"/>
    </xf>
    <xf borderId="31" fillId="9" fontId="1" numFmtId="0" xfId="0" applyBorder="1" applyFont="1"/>
    <xf borderId="5" fillId="9" fontId="1" numFmtId="0" xfId="0" applyBorder="1" applyFont="1"/>
    <xf borderId="23" fillId="9" fontId="1" numFmtId="0" xfId="0" applyBorder="1" applyFont="1"/>
    <xf borderId="12" fillId="6" fontId="1" numFmtId="10" xfId="0" applyBorder="1" applyFont="1" applyNumberFormat="1"/>
    <xf borderId="23" fillId="4" fontId="1" numFmtId="0" xfId="0" applyAlignment="1" applyBorder="1" applyFont="1">
      <alignment readingOrder="0"/>
    </xf>
    <xf borderId="0" fillId="0" fontId="22" numFmtId="0" xfId="0" applyFont="1"/>
    <xf borderId="27" fillId="0" fontId="1" numFmtId="0" xfId="0" applyBorder="1" applyFont="1"/>
    <xf borderId="6" fillId="0" fontId="1" numFmtId="164" xfId="0" applyAlignment="1" applyBorder="1" applyFont="1" applyNumberFormat="1">
      <alignment horizontal="left"/>
    </xf>
    <xf borderId="6" fillId="0" fontId="1" numFmtId="0" xfId="0" applyBorder="1" applyFont="1"/>
    <xf borderId="32" fillId="0" fontId="1" numFmtId="0" xfId="0" applyBorder="1" applyFont="1"/>
    <xf borderId="26" fillId="14" fontId="1" numFmtId="0" xfId="0" applyBorder="1" applyFont="1"/>
    <xf borderId="0" fillId="0" fontId="1" numFmtId="0" xfId="0" applyAlignment="1" applyFont="1">
      <alignment horizontal="right"/>
    </xf>
    <xf borderId="27" fillId="0" fontId="1" numFmtId="0" xfId="0" applyAlignment="1" applyBorder="1" applyFont="1">
      <alignment horizontal="right"/>
    </xf>
    <xf borderId="26" fillId="9" fontId="1" numFmtId="0" xfId="0" applyBorder="1" applyFont="1"/>
    <xf borderId="0" fillId="9" fontId="1" numFmtId="0" xfId="0" applyFont="1"/>
    <xf borderId="27" fillId="9" fontId="1" numFmtId="0" xfId="0" applyBorder="1" applyFont="1"/>
    <xf borderId="0" fillId="0" fontId="9" numFmtId="0" xfId="0" applyAlignment="1" applyFont="1">
      <alignment horizontal="center"/>
    </xf>
    <xf borderId="6" fillId="0" fontId="1" numFmtId="164" xfId="0" applyAlignment="1" applyBorder="1" applyFont="1" applyNumberFormat="1">
      <alignment horizontal="left" readingOrder="0"/>
    </xf>
    <xf borderId="0" fillId="11" fontId="1" numFmtId="0" xfId="0" applyFont="1"/>
    <xf borderId="26" fillId="6" fontId="1" numFmtId="0" xfId="0" applyBorder="1" applyFont="1"/>
    <xf borderId="0" fillId="5" fontId="1" numFmtId="0" xfId="0" applyFont="1"/>
    <xf borderId="9" fillId="0" fontId="9" numFmtId="0" xfId="0" applyAlignment="1" applyBorder="1" applyFont="1">
      <alignment horizontal="center"/>
    </xf>
    <xf borderId="9" fillId="0" fontId="23" numFmtId="0" xfId="0" applyBorder="1" applyFont="1"/>
    <xf borderId="33" fillId="0" fontId="1" numFmtId="0" xfId="0" applyBorder="1" applyFont="1"/>
    <xf borderId="8" fillId="0" fontId="1" numFmtId="164" xfId="0" applyAlignment="1" applyBorder="1" applyFont="1" applyNumberFormat="1">
      <alignment horizontal="left"/>
    </xf>
    <xf borderId="8" fillId="0" fontId="1" numFmtId="0" xfId="0" applyBorder="1" applyFont="1"/>
    <xf borderId="34" fillId="0" fontId="1" numFmtId="0" xfId="0" applyBorder="1" applyFont="1"/>
    <xf borderId="33" fillId="0" fontId="1" numFmtId="0" xfId="0" applyAlignment="1" applyBorder="1" applyFont="1">
      <alignment horizontal="right"/>
    </xf>
    <xf borderId="29" fillId="14" fontId="1" numFmtId="0" xfId="0" applyBorder="1" applyFont="1"/>
    <xf borderId="29" fillId="9" fontId="1" numFmtId="0" xfId="0" applyBorder="1" applyFont="1"/>
    <xf borderId="33" fillId="9" fontId="1" numFmtId="0" xfId="0" applyBorder="1" applyFont="1"/>
    <xf borderId="3" fillId="0" fontId="1" numFmtId="0" xfId="0" applyAlignment="1" applyBorder="1" applyFont="1">
      <alignment horizontal="left"/>
    </xf>
    <xf borderId="6" fillId="0" fontId="1" numFmtId="0" xfId="0" applyAlignment="1" applyBorder="1" applyFont="1">
      <alignment horizontal="left"/>
    </xf>
    <xf borderId="8" fillId="0" fontId="1" numFmtId="0" xfId="0" applyAlignment="1" applyBorder="1" applyFont="1">
      <alignment horizontal="left"/>
    </xf>
    <xf borderId="0" fillId="0" fontId="1" numFmtId="0" xfId="0" applyAlignment="1" applyFont="1">
      <alignment horizontal="center"/>
    </xf>
    <xf borderId="7" fillId="6" fontId="1" numFmtId="0" xfId="0" applyBorder="1" applyFont="1"/>
    <xf borderId="9" fillId="0" fontId="24" numFmtId="0" xfId="0" applyBorder="1" applyFont="1"/>
    <xf borderId="9" fillId="0" fontId="1" numFmtId="0" xfId="0" applyAlignment="1" applyBorder="1" applyFont="1">
      <alignment horizontal="right"/>
    </xf>
    <xf borderId="10" fillId="6" fontId="1" numFmtId="0" xfId="0" applyBorder="1" applyFont="1"/>
    <xf borderId="2" fillId="5" fontId="1" numFmtId="0" xfId="0" applyBorder="1" applyFont="1"/>
    <xf borderId="35" fillId="0" fontId="7" numFmtId="0" xfId="0" applyBorder="1" applyFont="1"/>
    <xf borderId="36" fillId="0" fontId="7" numFmtId="0" xfId="0" applyBorder="1" applyFont="1"/>
    <xf borderId="2" fillId="0" fontId="1" numFmtId="0" xfId="0" applyBorder="1" applyFont="1"/>
    <xf borderId="35" fillId="0" fontId="1" numFmtId="0" xfId="0" applyBorder="1" applyFont="1"/>
    <xf borderId="36" fillId="0" fontId="1" numFmtId="0" xfId="0" applyBorder="1" applyFont="1"/>
    <xf borderId="0" fillId="4" fontId="1" numFmtId="0" xfId="0" applyFont="1"/>
    <xf borderId="0" fillId="4" fontId="5" numFmtId="0" xfId="0" applyFont="1"/>
    <xf borderId="7" fillId="2" fontId="1" numFmtId="0" xfId="0" applyAlignment="1" applyBorder="1" applyFont="1">
      <alignment horizontal="left" shrinkToFit="0" vertical="center" wrapText="1"/>
    </xf>
    <xf borderId="7" fillId="2" fontId="1" numFmtId="0" xfId="0" applyAlignment="1" applyBorder="1" applyFont="1">
      <alignment horizontal="left" vertical="center"/>
    </xf>
    <xf borderId="7" fillId="2" fontId="1" numFmtId="0" xfId="0" applyAlignment="1" applyBorder="1" applyFont="1">
      <alignment vertical="center"/>
    </xf>
    <xf borderId="7" fillId="2" fontId="1" numFmtId="0" xfId="0" applyAlignment="1" applyBorder="1" applyFont="1">
      <alignment shrinkToFit="0" wrapText="1"/>
    </xf>
    <xf borderId="0" fillId="2" fontId="1" numFmtId="0" xfId="0" applyAlignment="1" applyFont="1">
      <alignment horizontal="center" readingOrder="0"/>
    </xf>
    <xf borderId="0" fillId="0" fontId="1" numFmtId="0" xfId="0" applyAlignment="1" applyFont="1">
      <alignment shrinkToFit="0" vertical="center" wrapText="1"/>
    </xf>
    <xf borderId="8" fillId="0" fontId="1" numFmtId="0" xfId="0" applyAlignment="1" applyBorder="1" applyFont="1">
      <alignment shrinkToFit="0" wrapText="1"/>
    </xf>
    <xf borderId="0" fillId="0" fontId="3" numFmtId="166" xfId="0" applyAlignment="1" applyFont="1" applyNumberFormat="1">
      <alignment shrinkToFit="0" wrapText="1"/>
    </xf>
    <xf borderId="5" fillId="0" fontId="1" numFmtId="0" xfId="0" applyAlignment="1" applyBorder="1" applyFont="1">
      <alignment vertical="center"/>
    </xf>
    <xf borderId="5" fillId="0" fontId="25" numFmtId="0" xfId="0" applyAlignment="1" applyBorder="1" applyFont="1">
      <alignment vertical="center"/>
    </xf>
    <xf borderId="3" fillId="0" fontId="1" numFmtId="0" xfId="0" applyAlignment="1" applyBorder="1" applyFont="1">
      <alignment horizontal="right"/>
    </xf>
    <xf borderId="5" fillId="0" fontId="1" numFmtId="0" xfId="0" applyAlignment="1" applyBorder="1" applyFont="1">
      <alignment horizontal="right" readingOrder="0"/>
    </xf>
    <xf borderId="31" fillId="8" fontId="1" numFmtId="0" xfId="0" applyBorder="1" applyFont="1"/>
    <xf borderId="9" fillId="0" fontId="26" numFmtId="0" xfId="0" applyAlignment="1" applyBorder="1" applyFont="1">
      <alignment vertical="center"/>
    </xf>
    <xf borderId="33" fillId="0" fontId="1" numFmtId="0" xfId="0" applyAlignment="1" applyBorder="1" applyFont="1">
      <alignment shrinkToFit="0" wrapText="1"/>
    </xf>
    <xf borderId="29" fillId="14" fontId="1" numFmtId="0" xfId="0" applyAlignment="1" applyBorder="1" applyFont="1">
      <alignment horizontal="right"/>
    </xf>
    <xf borderId="29" fillId="8" fontId="1" numFmtId="0" xfId="0" applyBorder="1" applyFont="1"/>
    <xf borderId="5" fillId="0" fontId="27" numFmtId="0" xfId="0" applyAlignment="1" applyBorder="1" applyFont="1">
      <alignment vertical="center"/>
    </xf>
    <xf borderId="31" fillId="14" fontId="1" numFmtId="0" xfId="0" applyAlignment="1" applyBorder="1" applyFont="1">
      <alignment horizontal="right"/>
    </xf>
    <xf borderId="0" fillId="0" fontId="28" numFmtId="0" xfId="0" applyAlignment="1" applyFont="1">
      <alignment vertical="center"/>
    </xf>
    <xf borderId="26" fillId="14" fontId="1" numFmtId="0" xfId="0" applyAlignment="1" applyBorder="1" applyFont="1">
      <alignment horizontal="right"/>
    </xf>
    <xf borderId="26" fillId="8" fontId="1" numFmtId="0" xfId="0" applyBorder="1" applyFont="1"/>
    <xf borderId="0" fillId="0" fontId="29" numFmtId="0" xfId="0" applyAlignment="1" applyFont="1">
      <alignment vertical="center"/>
    </xf>
    <xf borderId="7" fillId="4" fontId="3" numFmtId="0" xfId="0" applyAlignment="1" applyBorder="1" applyFont="1">
      <alignment horizontal="left" vertical="center"/>
    </xf>
    <xf borderId="3" fillId="0" fontId="1" numFmtId="0" xfId="0" applyAlignment="1" applyBorder="1" applyFont="1">
      <alignment horizontal="left" vertical="center"/>
    </xf>
    <xf borderId="6" fillId="0" fontId="1" numFmtId="0" xfId="0" applyAlignment="1" applyBorder="1" applyFont="1">
      <alignment horizontal="left" vertical="center"/>
    </xf>
    <xf borderId="27" fillId="0" fontId="30" numFmtId="0" xfId="0" applyBorder="1" applyFont="1"/>
    <xf borderId="8" fillId="0" fontId="1" numFmtId="0" xfId="0" applyAlignment="1" applyBorder="1" applyFont="1">
      <alignment horizontal="left" vertical="center"/>
    </xf>
    <xf borderId="10" fillId="6" fontId="3" numFmtId="0" xfId="0" applyAlignment="1" applyBorder="1" applyFont="1">
      <alignment vertical="center"/>
    </xf>
    <xf borderId="0" fillId="0" fontId="3" numFmtId="0" xfId="0" applyAlignment="1" applyFont="1">
      <alignment vertical="center"/>
    </xf>
    <xf borderId="7" fillId="2" fontId="1" numFmtId="0" xfId="0" applyAlignment="1" applyBorder="1" applyFont="1">
      <alignment horizontal="left"/>
    </xf>
    <xf borderId="0" fillId="0" fontId="31" numFmtId="0" xfId="0" applyAlignment="1" applyFont="1">
      <alignment shrinkToFit="0" vertical="center" wrapText="1"/>
    </xf>
    <xf borderId="1" fillId="11" fontId="20" numFmtId="10" xfId="0" applyAlignment="1" applyBorder="1" applyFont="1" applyNumberFormat="1">
      <alignment horizontal="center" readingOrder="0" shrinkToFit="0" vertical="center" wrapText="1"/>
    </xf>
    <xf borderId="23" fillId="0" fontId="1" numFmtId="0" xfId="0" applyAlignment="1" applyBorder="1" applyFont="1">
      <alignment shrinkToFit="0" vertical="center" wrapText="1"/>
    </xf>
    <xf borderId="12" fillId="15" fontId="1" numFmtId="10" xfId="0" applyBorder="1" applyFill="1" applyFont="1" applyNumberFormat="1"/>
    <xf borderId="10" fillId="4" fontId="3" numFmtId="0" xfId="0" applyAlignment="1" applyBorder="1" applyFont="1">
      <alignment horizontal="left"/>
    </xf>
    <xf borderId="4" fillId="6" fontId="32" numFmtId="0" xfId="0" applyBorder="1" applyFont="1"/>
    <xf borderId="6" fillId="0" fontId="1" numFmtId="165" xfId="0" applyAlignment="1" applyBorder="1" applyFont="1" applyNumberFormat="1">
      <alignment horizontal="left"/>
    </xf>
    <xf borderId="6" fillId="0" fontId="1" numFmtId="0" xfId="0" applyAlignment="1" applyBorder="1" applyFont="1">
      <alignment horizontal="right"/>
    </xf>
    <xf borderId="37" fillId="5" fontId="1" numFmtId="0" xfId="0" applyBorder="1" applyFont="1"/>
    <xf borderId="38" fillId="0" fontId="7" numFmtId="0" xfId="0" applyBorder="1" applyFont="1"/>
    <xf borderId="39" fillId="0" fontId="7" numFmtId="0" xfId="0" applyBorder="1" applyFont="1"/>
    <xf borderId="0" fillId="0" fontId="1" numFmtId="10" xfId="0" applyFont="1" applyNumberFormat="1"/>
    <xf borderId="0" fillId="0" fontId="5" numFmtId="10" xfId="0" applyFont="1" applyNumberFormat="1"/>
    <xf borderId="25" fillId="7" fontId="1" numFmtId="0" xfId="0" applyAlignment="1" applyBorder="1" applyFont="1">
      <alignment shrinkToFit="0" wrapText="1"/>
    </xf>
    <xf borderId="12" fillId="15" fontId="1" numFmtId="0" xfId="0" applyBorder="1" applyFont="1"/>
    <xf borderId="0" fillId="0" fontId="5" numFmtId="0" xfId="0" applyFont="1"/>
    <xf borderId="8" fillId="0" fontId="1" numFmtId="0" xfId="0" applyAlignment="1" applyBorder="1" applyFont="1">
      <alignment horizontal="right"/>
    </xf>
    <xf borderId="23" fillId="0" fontId="1" numFmtId="0" xfId="0" applyAlignment="1" applyBorder="1" applyFont="1">
      <alignment vertical="center"/>
    </xf>
    <xf borderId="6" fillId="0" fontId="1" numFmtId="165" xfId="0" applyBorder="1" applyFont="1" applyNumberFormat="1"/>
    <xf borderId="2" fillId="0" fontId="1" numFmtId="0" xfId="0" applyAlignment="1" applyBorder="1" applyFont="1">
      <alignment horizontal="left" shrinkToFit="0" vertical="center" wrapText="1"/>
    </xf>
    <xf borderId="35" fillId="0" fontId="1" numFmtId="0" xfId="0" applyAlignment="1" applyBorder="1" applyFont="1">
      <alignment horizontal="left" vertical="center"/>
    </xf>
    <xf borderId="35" fillId="0" fontId="33" numFmtId="0" xfId="0" applyAlignment="1" applyBorder="1" applyFont="1">
      <alignment vertical="center"/>
    </xf>
    <xf borderId="35" fillId="0" fontId="1" numFmtId="0" xfId="0" applyAlignment="1" applyBorder="1" applyFont="1">
      <alignment vertical="center"/>
    </xf>
    <xf borderId="36" fillId="0" fontId="1" numFmtId="0" xfId="0" applyAlignment="1" applyBorder="1" applyFont="1">
      <alignment vertical="center"/>
    </xf>
    <xf borderId="8" fillId="0" fontId="1" numFmtId="0" xfId="0" applyAlignment="1" applyBorder="1" applyFont="1">
      <alignment vertical="center"/>
    </xf>
    <xf borderId="29" fillId="14" fontId="1" numFmtId="0" xfId="0" applyAlignment="1" applyBorder="1" applyFont="1">
      <alignment vertical="center"/>
    </xf>
    <xf borderId="33" fillId="0" fontId="1" numFmtId="0" xfId="0" applyAlignment="1" applyBorder="1" applyFont="1">
      <alignment vertical="center"/>
    </xf>
    <xf borderId="34" fillId="0" fontId="1" numFmtId="0" xfId="0" applyAlignment="1" applyBorder="1" applyFont="1">
      <alignment vertical="center"/>
    </xf>
    <xf borderId="8" fillId="0" fontId="1" numFmtId="0" xfId="0" applyAlignment="1" applyBorder="1" applyFont="1">
      <alignment horizontal="right" vertical="center"/>
    </xf>
    <xf borderId="9" fillId="0" fontId="1" numFmtId="0" xfId="0" applyAlignment="1" applyBorder="1" applyFont="1">
      <alignment horizontal="right" vertical="center"/>
    </xf>
    <xf borderId="33" fillId="0" fontId="1" numFmtId="0" xfId="0" applyAlignment="1" applyBorder="1" applyFon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reenoakna.com/goat-sheep-feed-station" TargetMode="External"/><Relationship Id="rId42" Type="http://schemas.openxmlformats.org/officeDocument/2006/relationships/hyperlink" Target="https://vence.io/product" TargetMode="External"/><Relationship Id="rId41" Type="http://schemas.openxmlformats.org/officeDocument/2006/relationships/hyperlink" Target="https://www.jeantil.com/Contenus-Jeantil/2-50-0-0-0-0-158-2-Jeantil_Automatic_Feeding.html" TargetMode="External"/><Relationship Id="rId44" Type="http://schemas.openxmlformats.org/officeDocument/2006/relationships/hyperlink" Target="https://iof2020.h5mag.com/iof2020_dairy_september_2020/happy_cow_uc_2_2_copy" TargetMode="External"/><Relationship Id="rId43" Type="http://schemas.openxmlformats.org/officeDocument/2006/relationships/hyperlink" Target="https://ixorigue.com/en" TargetMode="External"/><Relationship Id="rId46" Type="http://schemas.openxmlformats.org/officeDocument/2006/relationships/hyperlink" Target="https://greengage.global/wp-content/uploads/ALIS-Barn-Lamp-wide-A4-ENGLISH.pdf" TargetMode="External"/><Relationship Id="rId45" Type="http://schemas.openxmlformats.org/officeDocument/2006/relationships/hyperlink" Target="https://www.lely.com/media/filer_public/2b/63/2b633500-8e27-46ed-ae0b-d5ba3e778ad1/lely_l4c__en.pdf" TargetMode="External"/><Relationship Id="rId1" Type="http://schemas.openxmlformats.org/officeDocument/2006/relationships/hyperlink" Target="https://themicrodairy.com/" TargetMode="External"/><Relationship Id="rId2" Type="http://schemas.openxmlformats.org/officeDocument/2006/relationships/hyperlink" Target="https://www.fullwoodjoz.com/solutions/robotic-milking/merlin/" TargetMode="External"/><Relationship Id="rId3" Type="http://schemas.openxmlformats.org/officeDocument/2006/relationships/hyperlink" Target="https://www.lely.com/solutions/milking/astronaut-a5/" TargetMode="External"/><Relationship Id="rId4" Type="http://schemas.openxmlformats.org/officeDocument/2006/relationships/hyperlink" Target="https://www.delaval.com/en-us/explore-our-farm-solutions/milking/delaval-vms-series/" TargetMode="External"/><Relationship Id="rId9" Type="http://schemas.openxmlformats.org/officeDocument/2006/relationships/hyperlink" Target="https://boumatic.com/eu_en/products/smartlite-for-goat-milking-systems/" TargetMode="External"/><Relationship Id="rId48" Type="http://schemas.openxmlformats.org/officeDocument/2006/relationships/hyperlink" Target="https://www.soundtalks.com/paper/economic-assessment-of-a-sound-based-precision-livestock-farming-tool-soundtalks-based-on-timing-of-intervention-after-a-dual-mycoplasma-hyopneumoniae-and-prrs-virus-seeder-challenge-in-pigs/" TargetMode="External"/><Relationship Id="rId47" Type="http://schemas.openxmlformats.org/officeDocument/2006/relationships/hyperlink" Target="https://www.soundtalks.com/soundtalks/" TargetMode="External"/><Relationship Id="rId49" Type="http://schemas.openxmlformats.org/officeDocument/2006/relationships/hyperlink" Target="https://www.degree2act.com/" TargetMode="External"/><Relationship Id="rId5" Type="http://schemas.openxmlformats.org/officeDocument/2006/relationships/hyperlink" Target="https://www.gea.com/en/dairy-farming/index.jsp" TargetMode="External"/><Relationship Id="rId6" Type="http://schemas.openxmlformats.org/officeDocument/2006/relationships/hyperlink" Target="https://www.gea.com/en/dairy-farming/index.jsp" TargetMode="External"/><Relationship Id="rId7" Type="http://schemas.openxmlformats.org/officeDocument/2006/relationships/hyperlink" Target="https://www.gea.com/en/dairy-farming/index.jsp" TargetMode="External"/><Relationship Id="rId8" Type="http://schemas.openxmlformats.org/officeDocument/2006/relationships/hyperlink" Target="https://www.lely.com/techdocs/astronaut/a3-next/" TargetMode="External"/><Relationship Id="rId31" Type="http://schemas.openxmlformats.org/officeDocument/2006/relationships/hyperlink" Target="https://wasserbauer.at/produkte/futterschieber-butler-gold-pro" TargetMode="External"/><Relationship Id="rId30" Type="http://schemas.openxmlformats.org/officeDocument/2006/relationships/hyperlink" Target="https://www.jeantil.com/Contenus-Jeantil/2-50-0-0-0-0-158-2-Jeantil_Automatic_Feeding.html" TargetMode="External"/><Relationship Id="rId33" Type="http://schemas.openxmlformats.org/officeDocument/2006/relationships/hyperlink" Target="https://en.schauer-agrotronic.com/pig/pig-feeding-systems/liquimix-liquid-feeding" TargetMode="External"/><Relationship Id="rId32" Type="http://schemas.openxmlformats.org/officeDocument/2006/relationships/hyperlink" Target="https://www.bigdutchman.com/en/pig-production/products/detail/automatic-feeders/" TargetMode="External"/><Relationship Id="rId35" Type="http://schemas.openxmlformats.org/officeDocument/2006/relationships/hyperlink" Target="https://www.nedap-livestockmanagement.com/pigfarming/solutions/nedap-sowsense/farrowing-breeding-stall-feeding/" TargetMode="External"/><Relationship Id="rId34" Type="http://schemas.openxmlformats.org/officeDocument/2006/relationships/hyperlink" Target="http://www.jenisys.eu/JCLweb/pig-sorting/" TargetMode="External"/><Relationship Id="rId37" Type="http://schemas.openxmlformats.org/officeDocument/2006/relationships/hyperlink" Target="https://www.lely.com/solutions/feeding/vector/" TargetMode="External"/><Relationship Id="rId36" Type="http://schemas.openxmlformats.org/officeDocument/2006/relationships/hyperlink" Target="https://en.schauer-agrotronic.com/sheep-and-goats" TargetMode="External"/><Relationship Id="rId39" Type="http://schemas.openxmlformats.org/officeDocument/2006/relationships/hyperlink" Target="https://4d4f.eu/" TargetMode="External"/><Relationship Id="rId38" Type="http://schemas.openxmlformats.org/officeDocument/2006/relationships/hyperlink" Target="https://www.sieplo.com/product/feedr/" TargetMode="External"/><Relationship Id="rId20" Type="http://schemas.openxmlformats.org/officeDocument/2006/relationships/hyperlink" Target="http://www.jenisys.eu/JCLweb/heat-detection-pigs/" TargetMode="External"/><Relationship Id="rId22" Type="http://schemas.openxmlformats.org/officeDocument/2006/relationships/hyperlink" Target="https://www.lely.com/solutions/feeding/vector/" TargetMode="External"/><Relationship Id="rId21" Type="http://schemas.openxmlformats.org/officeDocument/2006/relationships/hyperlink" Target="https://www.microfeeder.com/Pitstop" TargetMode="External"/><Relationship Id="rId24" Type="http://schemas.openxmlformats.org/officeDocument/2006/relationships/hyperlink" Target="https://www.lely.com/solutions/feeding/calm/" TargetMode="External"/><Relationship Id="rId23" Type="http://schemas.openxmlformats.org/officeDocument/2006/relationships/hyperlink" Target="https://www.trioliet.com/products/automatic-feeding-systems/feed-kitchens/feed-storage-for-automatic-feeding-system" TargetMode="External"/><Relationship Id="rId26" Type="http://schemas.openxmlformats.org/officeDocument/2006/relationships/hyperlink" Target="https://en.schauer-agrotronic.com/cattleTransfeed_14_EN.pdf" TargetMode="External"/><Relationship Id="rId25" Type="http://schemas.openxmlformats.org/officeDocument/2006/relationships/hyperlink" Target="https://boumatic.com/eu_en/products/boumatic-ranger/" TargetMode="External"/><Relationship Id="rId28" Type="http://schemas.openxmlformats.org/officeDocument/2006/relationships/hyperlink" Target="https://4d4f.eu/" TargetMode="External"/><Relationship Id="rId27" Type="http://schemas.openxmlformats.org/officeDocument/2006/relationships/hyperlink" Target="https://www.sieplo.com/product/feedr/" TargetMode="External"/><Relationship Id="rId29" Type="http://schemas.openxmlformats.org/officeDocument/2006/relationships/hyperlink" Target="https://en.schauer-agrotronic.com/pig/litter-systems/strohmatic" TargetMode="External"/><Relationship Id="rId51" Type="http://schemas.openxmlformats.org/officeDocument/2006/relationships/hyperlink" Target="https://greengage.global/wp-content/uploads/ALIS-Barn-Lamp-wide-A4-ENGLISH.pdf" TargetMode="External"/><Relationship Id="rId50" Type="http://schemas.openxmlformats.org/officeDocument/2006/relationships/hyperlink" Target="https://www.farmsrobots.com/product/74/t-moov-robot" TargetMode="External"/><Relationship Id="rId53" Type="http://schemas.openxmlformats.org/officeDocument/2006/relationships/drawing" Target="../drawings/drawing1.xml"/><Relationship Id="rId52" Type="http://schemas.openxmlformats.org/officeDocument/2006/relationships/hyperlink" Target="https://www.nofence.no/en/" TargetMode="External"/><Relationship Id="rId11" Type="http://schemas.openxmlformats.org/officeDocument/2006/relationships/hyperlink" Target="https://www.dairymaster.com/gb/goat-rotary/" TargetMode="External"/><Relationship Id="rId10" Type="http://schemas.openxmlformats.org/officeDocument/2006/relationships/hyperlink" Target="https://boumatic.com/eu_en/products/ovimax/" TargetMode="External"/><Relationship Id="rId13" Type="http://schemas.openxmlformats.org/officeDocument/2006/relationships/hyperlink" Target="https://iot-catalogue.s3.amazonaws.com/files/5f15a4942df0b21fe88057c9/HAPPY%20COW.pdf" TargetMode="External"/><Relationship Id="rId12" Type="http://schemas.openxmlformats.org/officeDocument/2006/relationships/hyperlink" Target="https://www.ida.io/en/" TargetMode="External"/><Relationship Id="rId15" Type="http://schemas.openxmlformats.org/officeDocument/2006/relationships/hyperlink" Target="https://www.afimilk.com/cow-monitoring/" TargetMode="External"/><Relationship Id="rId14" Type="http://schemas.openxmlformats.org/officeDocument/2006/relationships/hyperlink" Target="https://pdf.agriexpo.online/pdf/afimilk/afiact-ii/171321-13165.html" TargetMode="External"/><Relationship Id="rId17" Type="http://schemas.openxmlformats.org/officeDocument/2006/relationships/hyperlink" Target="https://4d4f.eu/" TargetMode="External"/><Relationship Id="rId16" Type="http://schemas.openxmlformats.org/officeDocument/2006/relationships/hyperlink" Target="https://crv4all.com/en/service/ovalert" TargetMode="External"/><Relationship Id="rId19" Type="http://schemas.openxmlformats.org/officeDocument/2006/relationships/hyperlink" Target="https://swinerobotics.com/site/boar-bot-2-0/" TargetMode="External"/><Relationship Id="rId18" Type="http://schemas.openxmlformats.org/officeDocument/2006/relationships/hyperlink" Target="https://www.gea.com/en/products/milking-farming-barn/activity-detection-cowscout.jsp"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themicrodairy.com/" TargetMode="External"/><Relationship Id="rId3" Type="http://schemas.openxmlformats.org/officeDocument/2006/relationships/hyperlink" Target="https://www.fullwoodjoz.com/solutions/robotic-milking/merlin/" TargetMode="External"/><Relationship Id="rId4" Type="http://schemas.openxmlformats.org/officeDocument/2006/relationships/hyperlink" Target="https://www.delaval.com/en-us/explore-our-farm-solutions/milking/delaval-vms-series/" TargetMode="External"/><Relationship Id="rId9" Type="http://schemas.openxmlformats.org/officeDocument/2006/relationships/hyperlink" Target="https://www.ida.io/en/" TargetMode="External"/><Relationship Id="rId5" Type="http://schemas.openxmlformats.org/officeDocument/2006/relationships/hyperlink" Target="https://www.gea.com/en/dairy-farming/index.jsp" TargetMode="External"/><Relationship Id="rId6" Type="http://schemas.openxmlformats.org/officeDocument/2006/relationships/hyperlink" Target="https://www.gea.com/en/dairy-farming/index.jsp" TargetMode="External"/><Relationship Id="rId7" Type="http://schemas.openxmlformats.org/officeDocument/2006/relationships/hyperlink" Target="https://www.gea.com/en/dairy-farming/index.jsp" TargetMode="External"/><Relationship Id="rId8" Type="http://schemas.openxmlformats.org/officeDocument/2006/relationships/hyperlink" Target="https://www.lely.com/techdocs/astronaut/a3-next/" TargetMode="External"/><Relationship Id="rId31" Type="http://schemas.openxmlformats.org/officeDocument/2006/relationships/vmlDrawing" Target="../drawings/vmlDrawing1.vml"/><Relationship Id="rId30" Type="http://schemas.openxmlformats.org/officeDocument/2006/relationships/drawing" Target="../drawings/drawing2.xml"/><Relationship Id="rId20" Type="http://schemas.openxmlformats.org/officeDocument/2006/relationships/hyperlink" Target="https://en.schauer-agrotronic.com/cattle" TargetMode="External"/><Relationship Id="rId22" Type="http://schemas.openxmlformats.org/officeDocument/2006/relationships/hyperlink" Target="https://4d4f.eu/" TargetMode="External"/><Relationship Id="rId21" Type="http://schemas.openxmlformats.org/officeDocument/2006/relationships/hyperlink" Target="https://www.sieplo.com/product/feedr/" TargetMode="External"/><Relationship Id="rId24" Type="http://schemas.openxmlformats.org/officeDocument/2006/relationships/hyperlink" Target="https://www.jeantil.com/Contenus-Jeantil/2-50-0-0-0-0-158-2-Jeantil_Automatic_Feeding.html" TargetMode="External"/><Relationship Id="rId23" Type="http://schemas.openxmlformats.org/officeDocument/2006/relationships/hyperlink" Target="https://en.schauer-agrotronic.com/pig/litter-systems/strohmatic" TargetMode="External"/><Relationship Id="rId26" Type="http://schemas.openxmlformats.org/officeDocument/2006/relationships/hyperlink" Target="https://vence.io/product" TargetMode="External"/><Relationship Id="rId25" Type="http://schemas.openxmlformats.org/officeDocument/2006/relationships/hyperlink" Target="https://wasserbauer.at/produkte/futterschieber-butler-gold-pro" TargetMode="External"/><Relationship Id="rId28" Type="http://schemas.openxmlformats.org/officeDocument/2006/relationships/hyperlink" Target="https://www.ida.io/en/" TargetMode="External"/><Relationship Id="rId27" Type="http://schemas.openxmlformats.org/officeDocument/2006/relationships/hyperlink" Target="https://ixorigue.com/en" TargetMode="External"/><Relationship Id="rId29" Type="http://schemas.openxmlformats.org/officeDocument/2006/relationships/hyperlink" Target="https://www.lely.com/media/filer_public/2b/63/2b633500-8e27-46ed-ae0b-d5ba3e778ad1/lely_l4c__en.pdf" TargetMode="External"/><Relationship Id="rId11" Type="http://schemas.openxmlformats.org/officeDocument/2006/relationships/hyperlink" Target="https://pdf.agriexpo.online/pdf/afimilk/afiact-ii/171321-13165.html" TargetMode="External"/><Relationship Id="rId10" Type="http://schemas.openxmlformats.org/officeDocument/2006/relationships/hyperlink" Target="https://iot-catalogue.s3.amazonaws.com/files/5f15a4942df0b21fe88057c9/HAPPY%20COW.pdf" TargetMode="External"/><Relationship Id="rId13" Type="http://schemas.openxmlformats.org/officeDocument/2006/relationships/hyperlink" Target="https://crv4all.com/en/service/ovalert" TargetMode="External"/><Relationship Id="rId12" Type="http://schemas.openxmlformats.org/officeDocument/2006/relationships/hyperlink" Target="https://www.afimilk.com/cow-monitoring/" TargetMode="External"/><Relationship Id="rId15" Type="http://schemas.openxmlformats.org/officeDocument/2006/relationships/hyperlink" Target="https://www.microfeeder.com/Pitstop" TargetMode="External"/><Relationship Id="rId14" Type="http://schemas.openxmlformats.org/officeDocument/2006/relationships/hyperlink" Target="https://4d4f.eu/" TargetMode="External"/><Relationship Id="rId17" Type="http://schemas.openxmlformats.org/officeDocument/2006/relationships/hyperlink" Target="https://www.trioliet.com/products/automatic-feeding-systems/feed-kitchens/feed-storage-for-automatic-feeding-system" TargetMode="External"/><Relationship Id="rId16" Type="http://schemas.openxmlformats.org/officeDocument/2006/relationships/hyperlink" Target="https://www.lely.com/solutions/feeding/vector/" TargetMode="External"/><Relationship Id="rId19" Type="http://schemas.openxmlformats.org/officeDocument/2006/relationships/hyperlink" Target="https://boumatic.com/eu_en/products/boumatic-ranger/" TargetMode="External"/><Relationship Id="rId18" Type="http://schemas.openxmlformats.org/officeDocument/2006/relationships/hyperlink" Target="https://www.lely.com/solutions/feeding/cal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swinerobotics.com/site/boar-bot-2-0/" TargetMode="External"/><Relationship Id="rId3" Type="http://schemas.openxmlformats.org/officeDocument/2006/relationships/hyperlink" Target="http://www.jenisys.eu/JCLweb/heat-detection-pigs/" TargetMode="External"/><Relationship Id="rId4" Type="http://schemas.openxmlformats.org/officeDocument/2006/relationships/hyperlink" Target="https://www.bigdutchman.com/en/pig-production/products/detail/automatic-feeders/" TargetMode="External"/><Relationship Id="rId9" Type="http://schemas.openxmlformats.org/officeDocument/2006/relationships/hyperlink" Target="https://greengage.global/wp-content/uploads/ALIS-Barn-Lamp-wide-A4-ENGLISH.pdf" TargetMode="External"/><Relationship Id="rId5" Type="http://schemas.openxmlformats.org/officeDocument/2006/relationships/hyperlink" Target="https://en.schauer-agrotronic.com/pig/pig-feeding-systems/liquimix-liquid-feeding" TargetMode="External"/><Relationship Id="rId6" Type="http://schemas.openxmlformats.org/officeDocument/2006/relationships/hyperlink" Target="https://en.schauer-agrotronic.com/pig/litter-systems/strohmatic" TargetMode="External"/><Relationship Id="rId7" Type="http://schemas.openxmlformats.org/officeDocument/2006/relationships/hyperlink" Target="http://www.jenisys.eu/JCLweb/pig-sorting/" TargetMode="External"/><Relationship Id="rId8" Type="http://schemas.openxmlformats.org/officeDocument/2006/relationships/hyperlink" Target="https://www.nedap-livestockmanagement.com/pigfarming/solutions/nedap-sowsense/farrowing-breeding-stall-feeding/" TargetMode="External"/><Relationship Id="rId11" Type="http://schemas.openxmlformats.org/officeDocument/2006/relationships/hyperlink" Target="https://www.soundtalks.com/paper/economic-assessment-of-a-sound-based-precision-livestock-farming-tool-soundtalks-based-on-timing-of-intervention-after-a-dual-mycoplasma-hyopneumoniae-and-prrs-virus-seeder-challenge-in-pigs/" TargetMode="External"/><Relationship Id="rId10" Type="http://schemas.openxmlformats.org/officeDocument/2006/relationships/hyperlink" Target="https://www.soundtalks.com/soundtalks/" TargetMode="External"/><Relationship Id="rId13" Type="http://schemas.openxmlformats.org/officeDocument/2006/relationships/drawing" Target="../drawings/drawing3.xml"/><Relationship Id="rId12" Type="http://schemas.openxmlformats.org/officeDocument/2006/relationships/hyperlink" Target="https://www.degree2act.com/" TargetMode="External"/><Relationship Id="rId1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en.schauer-agrotronic.com/pig/litter-systems/strohmatic" TargetMode="External"/><Relationship Id="rId3" Type="http://schemas.openxmlformats.org/officeDocument/2006/relationships/hyperlink" Target="https://www.jeantil.com/Contenus-Jeantil/2-50-0-0-0-0-158-2-Jeantil_Automatic_Feeding.html" TargetMode="External"/><Relationship Id="rId4" Type="http://schemas.openxmlformats.org/officeDocument/2006/relationships/hyperlink" Target="https://www.farmsrobots.com/product/74/t-moov-robot" TargetMode="External"/><Relationship Id="rId5" Type="http://schemas.openxmlformats.org/officeDocument/2006/relationships/hyperlink" Target="https://greengage.global/wp-content/uploads/ALIS-Barn-Lamp-wide-A4-ENGLISH.pdf" TargetMode="External"/><Relationship Id="rId6" Type="http://schemas.openxmlformats.org/officeDocument/2006/relationships/drawing" Target="../drawings/drawing4.xml"/><Relationship Id="rId7"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boumatic.com/eu_en/products/smartlite-for-goat-milking-systems/" TargetMode="External"/><Relationship Id="rId3" Type="http://schemas.openxmlformats.org/officeDocument/2006/relationships/hyperlink" Target="https://boumatic.com/eu_en/products/ovimax/" TargetMode="External"/><Relationship Id="rId4" Type="http://schemas.openxmlformats.org/officeDocument/2006/relationships/hyperlink" Target="https://www.dairymaster.com/gb/goat-rotary/" TargetMode="External"/><Relationship Id="rId9" Type="http://schemas.openxmlformats.org/officeDocument/2006/relationships/hyperlink" Target="https://4d4f.eu/" TargetMode="External"/><Relationship Id="rId5" Type="http://schemas.openxmlformats.org/officeDocument/2006/relationships/hyperlink" Target="https://en.schauer-agrotronic.com/pig/litter-systems/strohmatic" TargetMode="External"/><Relationship Id="rId6" Type="http://schemas.openxmlformats.org/officeDocument/2006/relationships/hyperlink" Target="https://en.schauer-agrotronic.com/sheep-and-goats" TargetMode="External"/><Relationship Id="rId7" Type="http://schemas.openxmlformats.org/officeDocument/2006/relationships/hyperlink" Target="https://www.lely.com/solutions/feeding/vector/" TargetMode="External"/><Relationship Id="rId8" Type="http://schemas.openxmlformats.org/officeDocument/2006/relationships/hyperlink" Target="https://www.sieplo.com/product/feedr/" TargetMode="External"/><Relationship Id="rId11" Type="http://schemas.openxmlformats.org/officeDocument/2006/relationships/hyperlink" Target="https://www.jeantil.com/Contenus-Jeantil/2-50-0-0-0-0-158-2-Jeantil_Automatic_Feeding.html" TargetMode="External"/><Relationship Id="rId10" Type="http://schemas.openxmlformats.org/officeDocument/2006/relationships/hyperlink" Target="https://www.greenoakna.com/goat-sheep-feed-station" TargetMode="External"/><Relationship Id="rId13" Type="http://schemas.openxmlformats.org/officeDocument/2006/relationships/drawing" Target="../drawings/drawing5.xml"/><Relationship Id="rId12" Type="http://schemas.openxmlformats.org/officeDocument/2006/relationships/hyperlink" Target="https://www.nofence.no/en/" TargetMode="External"/><Relationship Id="rId1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0.0"/>
    <col customWidth="1" min="3" max="3" width="26.38"/>
    <col customWidth="1" min="4" max="4" width="26.13"/>
    <col customWidth="1" min="5" max="5" width="27.13"/>
    <col customWidth="1" min="6" max="6" width="25.13"/>
    <col customWidth="1" min="9" max="9" width="50.25"/>
    <col customWidth="1" min="10" max="10" width="140.75"/>
    <col customWidth="1" min="12" max="12" width="30.63"/>
    <col customWidth="1" min="13" max="13" width="17.63"/>
    <col customWidth="1" min="14" max="14" width="19.13"/>
    <col customWidth="1" min="15" max="15" width="15.63"/>
    <col customWidth="1" min="16" max="16" width="23.38"/>
    <col customWidth="1" min="18" max="18" width="31.25"/>
    <col customWidth="1" min="22" max="22" width="64.63"/>
  </cols>
  <sheetData>
    <row r="1" ht="15.75" customHeight="1">
      <c r="A1" s="1" t="s">
        <v>0</v>
      </c>
      <c r="B1" s="2" t="s">
        <v>1</v>
      </c>
      <c r="C1" s="3" t="s">
        <v>2</v>
      </c>
      <c r="D1" s="3" t="s">
        <v>3</v>
      </c>
      <c r="E1" s="4" t="s">
        <v>4</v>
      </c>
      <c r="F1" s="5" t="s">
        <v>5</v>
      </c>
      <c r="G1" s="5" t="s">
        <v>6</v>
      </c>
      <c r="H1" s="5" t="s">
        <v>7</v>
      </c>
      <c r="I1" s="6" t="s">
        <v>8</v>
      </c>
      <c r="J1" s="7" t="s">
        <v>9</v>
      </c>
      <c r="L1" s="3" t="s">
        <v>2</v>
      </c>
      <c r="M1" s="8" t="s">
        <v>10</v>
      </c>
      <c r="N1" s="8" t="s">
        <v>11</v>
      </c>
      <c r="O1" s="8" t="s">
        <v>12</v>
      </c>
      <c r="P1" s="8" t="s">
        <v>13</v>
      </c>
      <c r="Q1" s="8" t="s">
        <v>14</v>
      </c>
      <c r="R1" s="9" t="s">
        <v>15</v>
      </c>
      <c r="S1" s="9" t="s">
        <v>16</v>
      </c>
      <c r="T1" s="9" t="s">
        <v>17</v>
      </c>
      <c r="U1" s="9" t="s">
        <v>18</v>
      </c>
      <c r="V1" s="9" t="s">
        <v>19</v>
      </c>
    </row>
    <row r="2" ht="15.75" customHeight="1">
      <c r="A2" s="10" t="s">
        <v>20</v>
      </c>
      <c r="B2" s="11" t="s">
        <v>21</v>
      </c>
      <c r="C2" s="12" t="s">
        <v>22</v>
      </c>
      <c r="D2" s="12" t="s">
        <v>23</v>
      </c>
      <c r="E2" s="13" t="s">
        <v>24</v>
      </c>
      <c r="F2" s="14" t="s">
        <v>25</v>
      </c>
      <c r="G2" s="15"/>
      <c r="H2" s="15" t="s">
        <v>26</v>
      </c>
      <c r="I2" s="15"/>
      <c r="J2" s="16">
        <v>592.0</v>
      </c>
      <c r="K2" s="17"/>
      <c r="L2" s="18" t="s">
        <v>22</v>
      </c>
      <c r="M2" s="19">
        <v>592.0</v>
      </c>
      <c r="N2" s="19">
        <v>592.0</v>
      </c>
      <c r="O2" s="19" t="s">
        <v>27</v>
      </c>
      <c r="P2" s="19">
        <v>0.0</v>
      </c>
      <c r="Q2" s="19" t="s">
        <v>27</v>
      </c>
      <c r="R2" s="20" t="s">
        <v>28</v>
      </c>
      <c r="S2" s="20" t="s">
        <v>29</v>
      </c>
      <c r="T2" s="20" t="s">
        <v>30</v>
      </c>
      <c r="U2" s="20" t="s">
        <v>31</v>
      </c>
      <c r="V2" s="21" t="s">
        <v>32</v>
      </c>
    </row>
    <row r="3" ht="15.75" customHeight="1">
      <c r="A3" s="22"/>
      <c r="B3" s="23" t="s">
        <v>21</v>
      </c>
      <c r="C3" s="24" t="s">
        <v>33</v>
      </c>
      <c r="D3" s="24" t="s">
        <v>34</v>
      </c>
      <c r="E3" s="25" t="s">
        <v>35</v>
      </c>
      <c r="F3" s="26" t="s">
        <v>36</v>
      </c>
      <c r="G3" s="27"/>
      <c r="H3" s="27" t="s">
        <v>26</v>
      </c>
      <c r="I3" s="27" t="s">
        <v>37</v>
      </c>
      <c r="J3" s="28">
        <v>18426.0</v>
      </c>
      <c r="L3" s="29" t="s">
        <v>38</v>
      </c>
      <c r="M3" s="30">
        <v>18426.0</v>
      </c>
      <c r="N3" s="30">
        <v>18426.0</v>
      </c>
      <c r="O3" s="30" t="s">
        <v>27</v>
      </c>
      <c r="P3" s="30">
        <v>0.0</v>
      </c>
      <c r="Q3" s="30" t="s">
        <v>27</v>
      </c>
      <c r="R3" s="31" t="s">
        <v>39</v>
      </c>
      <c r="S3" s="31" t="s">
        <v>40</v>
      </c>
      <c r="T3" s="31" t="s">
        <v>41</v>
      </c>
      <c r="U3" s="31" t="s">
        <v>42</v>
      </c>
      <c r="V3" s="32" t="s">
        <v>32</v>
      </c>
    </row>
    <row r="4" ht="15.75" customHeight="1">
      <c r="A4" s="22"/>
      <c r="B4" s="23" t="s">
        <v>21</v>
      </c>
      <c r="C4" s="24" t="s">
        <v>43</v>
      </c>
      <c r="D4" s="24" t="s">
        <v>44</v>
      </c>
      <c r="E4" s="33" t="s">
        <v>45</v>
      </c>
      <c r="F4" s="26" t="s">
        <v>46</v>
      </c>
      <c r="G4" s="27"/>
      <c r="H4" s="27" t="s">
        <v>26</v>
      </c>
      <c r="I4" s="27" t="s">
        <v>47</v>
      </c>
      <c r="J4" s="28">
        <v>150000.0</v>
      </c>
      <c r="L4" s="29" t="s">
        <v>43</v>
      </c>
      <c r="M4" s="30">
        <v>150000.0</v>
      </c>
      <c r="N4" s="30">
        <v>150000.0</v>
      </c>
      <c r="O4" s="30" t="s">
        <v>27</v>
      </c>
      <c r="P4" s="30">
        <v>0.0</v>
      </c>
      <c r="Q4" s="30" t="s">
        <v>27</v>
      </c>
      <c r="R4" s="31" t="s">
        <v>48</v>
      </c>
      <c r="S4" s="31" t="s">
        <v>49</v>
      </c>
      <c r="T4" s="31" t="s">
        <v>50</v>
      </c>
      <c r="U4" s="31" t="s">
        <v>31</v>
      </c>
      <c r="V4" s="32" t="s">
        <v>51</v>
      </c>
    </row>
    <row r="5" ht="15.75" customHeight="1">
      <c r="A5" s="22"/>
      <c r="B5" s="23" t="s">
        <v>21</v>
      </c>
      <c r="C5" s="24" t="s">
        <v>52</v>
      </c>
      <c r="D5" s="24" t="s">
        <v>53</v>
      </c>
      <c r="E5" s="33" t="s">
        <v>54</v>
      </c>
      <c r="F5" s="26" t="s">
        <v>55</v>
      </c>
      <c r="G5" s="27"/>
      <c r="H5" s="27" t="s">
        <v>26</v>
      </c>
      <c r="I5" s="27" t="s">
        <v>56</v>
      </c>
      <c r="J5" s="34" t="s">
        <v>57</v>
      </c>
      <c r="L5" s="29" t="s">
        <v>52</v>
      </c>
      <c r="M5" s="30">
        <v>919.0</v>
      </c>
      <c r="N5" s="30">
        <v>919.0</v>
      </c>
      <c r="O5" s="30" t="s">
        <v>27</v>
      </c>
      <c r="P5" s="30">
        <v>0.0</v>
      </c>
      <c r="Q5" s="30" t="s">
        <v>27</v>
      </c>
      <c r="R5" s="31" t="s">
        <v>48</v>
      </c>
      <c r="S5" s="31" t="s">
        <v>58</v>
      </c>
      <c r="T5" s="31" t="s">
        <v>59</v>
      </c>
      <c r="U5" s="31" t="s">
        <v>31</v>
      </c>
      <c r="V5" s="32" t="s">
        <v>32</v>
      </c>
    </row>
    <row r="6" ht="15.75" customHeight="1">
      <c r="A6" s="22"/>
      <c r="B6" s="23" t="s">
        <v>60</v>
      </c>
      <c r="C6" s="24" t="s">
        <v>61</v>
      </c>
      <c r="D6" s="24" t="s">
        <v>62</v>
      </c>
      <c r="E6" s="33" t="s">
        <v>63</v>
      </c>
      <c r="F6" s="26" t="s">
        <v>64</v>
      </c>
      <c r="G6" s="27"/>
      <c r="H6" s="27" t="s">
        <v>26</v>
      </c>
      <c r="I6" s="27" t="s">
        <v>65</v>
      </c>
      <c r="J6" s="28">
        <v>200000.0</v>
      </c>
      <c r="L6" s="29" t="s">
        <v>61</v>
      </c>
      <c r="M6" s="30">
        <v>200000.0</v>
      </c>
      <c r="N6" s="30">
        <v>200000.0</v>
      </c>
      <c r="O6" s="30" t="s">
        <v>27</v>
      </c>
      <c r="P6" s="30">
        <v>0.0</v>
      </c>
      <c r="Q6" s="30" t="s">
        <v>27</v>
      </c>
      <c r="R6" s="31" t="s">
        <v>66</v>
      </c>
      <c r="S6" s="31" t="s">
        <v>67</v>
      </c>
      <c r="T6" s="31" t="s">
        <v>68</v>
      </c>
      <c r="U6" s="31" t="s">
        <v>31</v>
      </c>
      <c r="V6" s="32" t="s">
        <v>69</v>
      </c>
    </row>
    <row r="7" ht="15.75" customHeight="1">
      <c r="A7" s="22"/>
      <c r="B7" s="23" t="s">
        <v>70</v>
      </c>
      <c r="C7" s="24" t="s">
        <v>71</v>
      </c>
      <c r="D7" s="24" t="s">
        <v>62</v>
      </c>
      <c r="E7" s="33" t="s">
        <v>72</v>
      </c>
      <c r="F7" s="26" t="s">
        <v>73</v>
      </c>
      <c r="G7" s="27"/>
      <c r="H7" s="27" t="s">
        <v>26</v>
      </c>
      <c r="I7" s="27" t="s">
        <v>74</v>
      </c>
      <c r="J7" s="28">
        <v>55000.0</v>
      </c>
      <c r="L7" s="29" t="s">
        <v>71</v>
      </c>
      <c r="M7" s="30">
        <v>55000.0</v>
      </c>
      <c r="N7" s="30">
        <v>55000.0</v>
      </c>
      <c r="O7" s="30" t="s">
        <v>27</v>
      </c>
      <c r="P7" s="30">
        <v>0.0</v>
      </c>
      <c r="Q7" s="30" t="s">
        <v>27</v>
      </c>
      <c r="R7" s="31" t="s">
        <v>48</v>
      </c>
      <c r="S7" s="31" t="s">
        <v>67</v>
      </c>
      <c r="T7" s="31" t="s">
        <v>68</v>
      </c>
      <c r="U7" s="31" t="s">
        <v>31</v>
      </c>
      <c r="V7" s="32" t="s">
        <v>75</v>
      </c>
    </row>
    <row r="8" ht="15.75" customHeight="1">
      <c r="A8" s="22"/>
      <c r="B8" s="23" t="s">
        <v>76</v>
      </c>
      <c r="C8" s="24" t="s">
        <v>77</v>
      </c>
      <c r="D8" s="24" t="s">
        <v>62</v>
      </c>
      <c r="E8" s="33" t="s">
        <v>78</v>
      </c>
      <c r="F8" s="26" t="s">
        <v>79</v>
      </c>
      <c r="G8" s="27"/>
      <c r="H8" s="27" t="s">
        <v>26</v>
      </c>
      <c r="I8" s="27" t="s">
        <v>74</v>
      </c>
      <c r="J8" s="28">
        <v>2000000.0</v>
      </c>
      <c r="L8" s="29" t="s">
        <v>77</v>
      </c>
      <c r="M8" s="30">
        <v>2000000.0</v>
      </c>
      <c r="N8" s="30">
        <v>2000000.0</v>
      </c>
      <c r="O8" s="30" t="s">
        <v>27</v>
      </c>
      <c r="P8" s="30">
        <v>0.0</v>
      </c>
      <c r="Q8" s="30" t="s">
        <v>27</v>
      </c>
      <c r="R8" s="31" t="s">
        <v>48</v>
      </c>
      <c r="S8" s="31" t="s">
        <v>67</v>
      </c>
      <c r="T8" s="31" t="s">
        <v>68</v>
      </c>
      <c r="U8" s="31" t="s">
        <v>31</v>
      </c>
      <c r="V8" s="32" t="s">
        <v>75</v>
      </c>
    </row>
    <row r="9" ht="15.75" customHeight="1">
      <c r="A9" s="22"/>
      <c r="B9" s="23" t="s">
        <v>80</v>
      </c>
      <c r="C9" s="24" t="s">
        <v>81</v>
      </c>
      <c r="D9" s="35" t="s">
        <v>44</v>
      </c>
      <c r="E9" s="33" t="s">
        <v>82</v>
      </c>
      <c r="F9" s="26" t="s">
        <v>83</v>
      </c>
      <c r="G9" s="27"/>
      <c r="H9" s="27" t="s">
        <v>26</v>
      </c>
      <c r="I9" s="27" t="s">
        <v>84</v>
      </c>
      <c r="J9" s="28">
        <v>188000.0</v>
      </c>
      <c r="L9" s="29" t="s">
        <v>81</v>
      </c>
      <c r="M9" s="30">
        <v>188000.0</v>
      </c>
      <c r="N9" s="30">
        <v>188000.0</v>
      </c>
      <c r="O9" s="30" t="s">
        <v>27</v>
      </c>
      <c r="P9" s="30">
        <v>0.0</v>
      </c>
      <c r="Q9" s="30" t="s">
        <v>27</v>
      </c>
      <c r="R9" s="36" t="s">
        <v>48</v>
      </c>
      <c r="S9" s="36" t="s">
        <v>85</v>
      </c>
      <c r="T9" s="36" t="s">
        <v>86</v>
      </c>
      <c r="U9" s="37" t="s">
        <v>31</v>
      </c>
      <c r="V9" s="37" t="s">
        <v>87</v>
      </c>
    </row>
    <row r="10" ht="15.75" customHeight="1">
      <c r="A10" s="22"/>
      <c r="B10" s="24" t="s">
        <v>88</v>
      </c>
      <c r="C10" s="24" t="s">
        <v>89</v>
      </c>
      <c r="D10" s="24" t="s">
        <v>90</v>
      </c>
      <c r="E10" s="38" t="s">
        <v>91</v>
      </c>
      <c r="F10" s="26" t="s">
        <v>92</v>
      </c>
      <c r="G10" s="27"/>
      <c r="H10" s="27" t="s">
        <v>93</v>
      </c>
      <c r="I10" s="27" t="s">
        <v>94</v>
      </c>
      <c r="J10" s="27" t="s">
        <v>95</v>
      </c>
      <c r="L10" s="29" t="s">
        <v>89</v>
      </c>
      <c r="M10" s="30">
        <v>100000.0</v>
      </c>
      <c r="N10" s="30">
        <v>100000.0</v>
      </c>
      <c r="O10" s="30" t="s">
        <v>27</v>
      </c>
      <c r="P10" s="30">
        <v>0.0</v>
      </c>
      <c r="Q10" s="30" t="s">
        <v>27</v>
      </c>
      <c r="R10" s="36" t="s">
        <v>48</v>
      </c>
      <c r="S10" s="36" t="s">
        <v>85</v>
      </c>
      <c r="T10" s="36" t="s">
        <v>86</v>
      </c>
      <c r="U10" s="37" t="s">
        <v>31</v>
      </c>
      <c r="V10" s="31" t="s">
        <v>87</v>
      </c>
    </row>
    <row r="11" ht="15.75" customHeight="1">
      <c r="A11" s="22"/>
      <c r="B11" s="24" t="s">
        <v>88</v>
      </c>
      <c r="C11" s="24" t="s">
        <v>96</v>
      </c>
      <c r="D11" s="24" t="s">
        <v>90</v>
      </c>
      <c r="E11" s="38" t="s">
        <v>97</v>
      </c>
      <c r="F11" s="26" t="s">
        <v>98</v>
      </c>
      <c r="G11" s="27"/>
      <c r="H11" s="27" t="s">
        <v>99</v>
      </c>
      <c r="I11" s="27" t="s">
        <v>100</v>
      </c>
      <c r="J11" s="27" t="s">
        <v>95</v>
      </c>
      <c r="L11" s="29" t="s">
        <v>96</v>
      </c>
      <c r="M11" s="30">
        <v>100000.0</v>
      </c>
      <c r="N11" s="30">
        <v>100000.0</v>
      </c>
      <c r="O11" s="30" t="s">
        <v>27</v>
      </c>
      <c r="P11" s="30">
        <v>0.0</v>
      </c>
      <c r="Q11" s="30" t="s">
        <v>27</v>
      </c>
      <c r="R11" s="36" t="s">
        <v>48</v>
      </c>
      <c r="S11" s="36" t="s">
        <v>85</v>
      </c>
      <c r="T11" s="36" t="s">
        <v>86</v>
      </c>
      <c r="U11" s="37" t="s">
        <v>31</v>
      </c>
      <c r="V11" s="31" t="s">
        <v>87</v>
      </c>
    </row>
    <row r="12" ht="15.75" customHeight="1">
      <c r="A12" s="39"/>
      <c r="B12" s="40" t="s">
        <v>101</v>
      </c>
      <c r="C12" s="40" t="s">
        <v>102</v>
      </c>
      <c r="D12" s="40" t="s">
        <v>103</v>
      </c>
      <c r="E12" s="41" t="s">
        <v>104</v>
      </c>
      <c r="F12" s="42" t="s">
        <v>105</v>
      </c>
      <c r="G12" s="43"/>
      <c r="H12" s="43" t="s">
        <v>93</v>
      </c>
      <c r="I12" s="43" t="s">
        <v>106</v>
      </c>
      <c r="J12" s="43" t="s">
        <v>95</v>
      </c>
      <c r="K12" s="44"/>
      <c r="L12" s="45" t="s">
        <v>102</v>
      </c>
      <c r="M12" s="46">
        <v>100000.0</v>
      </c>
      <c r="N12" s="46">
        <v>100000.0</v>
      </c>
      <c r="O12" s="46" t="s">
        <v>27</v>
      </c>
      <c r="P12" s="46">
        <v>0.0</v>
      </c>
      <c r="Q12" s="46" t="s">
        <v>27</v>
      </c>
      <c r="R12" s="47" t="s">
        <v>48</v>
      </c>
      <c r="S12" s="48" t="s">
        <v>40</v>
      </c>
      <c r="T12" s="47" t="s">
        <v>86</v>
      </c>
      <c r="U12" s="49" t="s">
        <v>31</v>
      </c>
      <c r="V12" s="48" t="s">
        <v>87</v>
      </c>
    </row>
    <row r="13" ht="15.75" customHeight="1">
      <c r="A13" s="10" t="s">
        <v>107</v>
      </c>
      <c r="B13" s="50" t="s">
        <v>108</v>
      </c>
      <c r="C13" s="51" t="s">
        <v>109</v>
      </c>
      <c r="D13" s="12" t="s">
        <v>110</v>
      </c>
      <c r="E13" s="13" t="s">
        <v>111</v>
      </c>
      <c r="F13" s="26" t="s">
        <v>112</v>
      </c>
      <c r="G13" s="52" t="s">
        <v>113</v>
      </c>
      <c r="H13" s="15" t="s">
        <v>26</v>
      </c>
      <c r="I13" s="15" t="s">
        <v>114</v>
      </c>
      <c r="J13" s="24" t="s">
        <v>115</v>
      </c>
      <c r="L13" s="29" t="s">
        <v>109</v>
      </c>
      <c r="M13" s="30">
        <v>40.0</v>
      </c>
      <c r="N13" s="30">
        <v>40.0</v>
      </c>
      <c r="O13" s="19" t="s">
        <v>116</v>
      </c>
      <c r="P13" s="19">
        <v>48.0</v>
      </c>
      <c r="Q13" s="19" t="s">
        <v>116</v>
      </c>
      <c r="R13" s="36" t="s">
        <v>117</v>
      </c>
      <c r="S13" s="31" t="s">
        <v>85</v>
      </c>
      <c r="T13" s="36" t="s">
        <v>86</v>
      </c>
      <c r="U13" s="36" t="s">
        <v>118</v>
      </c>
      <c r="V13" s="31" t="s">
        <v>119</v>
      </c>
    </row>
    <row r="14" ht="15.75" customHeight="1">
      <c r="A14" s="22"/>
      <c r="B14" s="23" t="s">
        <v>120</v>
      </c>
      <c r="C14" s="24" t="s">
        <v>121</v>
      </c>
      <c r="D14" s="24" t="s">
        <v>122</v>
      </c>
      <c r="E14" s="53" t="s">
        <v>123</v>
      </c>
      <c r="F14" s="26" t="s">
        <v>124</v>
      </c>
      <c r="G14" s="27"/>
      <c r="H14" s="27" t="s">
        <v>26</v>
      </c>
      <c r="I14" s="27" t="s">
        <v>125</v>
      </c>
      <c r="J14" s="24" t="s">
        <v>126</v>
      </c>
      <c r="L14" s="29" t="s">
        <v>121</v>
      </c>
      <c r="M14" s="30">
        <v>200.0</v>
      </c>
      <c r="N14" s="30">
        <v>300.0</v>
      </c>
      <c r="O14" s="30" t="s">
        <v>127</v>
      </c>
      <c r="P14" s="30">
        <v>0.0</v>
      </c>
      <c r="Q14" s="30" t="s">
        <v>27</v>
      </c>
      <c r="R14" s="36" t="s">
        <v>128</v>
      </c>
      <c r="S14" s="31" t="s">
        <v>129</v>
      </c>
      <c r="T14" s="36" t="s">
        <v>86</v>
      </c>
      <c r="U14" s="31" t="s">
        <v>130</v>
      </c>
      <c r="V14" s="31" t="s">
        <v>119</v>
      </c>
    </row>
    <row r="15" ht="15.75" customHeight="1">
      <c r="A15" s="22"/>
      <c r="B15" s="23" t="s">
        <v>120</v>
      </c>
      <c r="C15" s="24" t="s">
        <v>131</v>
      </c>
      <c r="D15" s="24" t="s">
        <v>132</v>
      </c>
      <c r="E15" s="25" t="s">
        <v>133</v>
      </c>
      <c r="F15" s="26" t="s">
        <v>134</v>
      </c>
      <c r="G15" s="54" t="s">
        <v>135</v>
      </c>
      <c r="H15" s="27" t="s">
        <v>26</v>
      </c>
      <c r="I15" s="27" t="s">
        <v>136</v>
      </c>
      <c r="J15" s="28">
        <v>2925.0</v>
      </c>
      <c r="L15" s="29" t="s">
        <v>131</v>
      </c>
      <c r="M15" s="30">
        <v>2925.0</v>
      </c>
      <c r="N15" s="30">
        <v>2925.0</v>
      </c>
      <c r="O15" s="30" t="s">
        <v>27</v>
      </c>
      <c r="P15" s="30">
        <v>0.0</v>
      </c>
      <c r="Q15" s="30" t="s">
        <v>27</v>
      </c>
      <c r="R15" s="36" t="s">
        <v>137</v>
      </c>
      <c r="S15" s="31" t="s">
        <v>85</v>
      </c>
      <c r="T15" s="31" t="s">
        <v>138</v>
      </c>
      <c r="U15" s="31" t="s">
        <v>139</v>
      </c>
      <c r="V15" s="31" t="s">
        <v>119</v>
      </c>
    </row>
    <row r="16" ht="15.75" customHeight="1">
      <c r="A16" s="22"/>
      <c r="B16" s="23" t="s">
        <v>140</v>
      </c>
      <c r="C16" s="24" t="s">
        <v>141</v>
      </c>
      <c r="D16" s="24" t="s">
        <v>62</v>
      </c>
      <c r="E16" s="25" t="s">
        <v>142</v>
      </c>
      <c r="F16" s="26" t="s">
        <v>143</v>
      </c>
      <c r="G16" s="27"/>
      <c r="H16" s="27" t="s">
        <v>26</v>
      </c>
      <c r="I16" s="27" t="s">
        <v>144</v>
      </c>
      <c r="J16" s="24" t="s">
        <v>145</v>
      </c>
      <c r="L16" s="29" t="s">
        <v>141</v>
      </c>
      <c r="M16" s="30">
        <v>65.0</v>
      </c>
      <c r="N16" s="30">
        <v>65.0</v>
      </c>
      <c r="O16" s="30" t="s">
        <v>116</v>
      </c>
      <c r="P16" s="30">
        <v>0.0</v>
      </c>
      <c r="Q16" s="30" t="s">
        <v>27</v>
      </c>
      <c r="R16" s="31" t="s">
        <v>117</v>
      </c>
      <c r="S16" s="31" t="s">
        <v>85</v>
      </c>
      <c r="T16" s="36" t="s">
        <v>86</v>
      </c>
      <c r="U16" s="31" t="s">
        <v>146</v>
      </c>
      <c r="V16" s="31" t="s">
        <v>119</v>
      </c>
    </row>
    <row r="17" ht="15.75" customHeight="1">
      <c r="A17" s="22"/>
      <c r="B17" s="23" t="s">
        <v>147</v>
      </c>
      <c r="C17" s="23" t="s">
        <v>148</v>
      </c>
      <c r="D17" s="23" t="s">
        <v>149</v>
      </c>
      <c r="E17" s="55" t="s">
        <v>150</v>
      </c>
      <c r="F17" s="56" t="s">
        <v>151</v>
      </c>
      <c r="G17" s="57" t="s">
        <v>152</v>
      </c>
      <c r="H17" s="57" t="s">
        <v>153</v>
      </c>
      <c r="I17" s="27" t="s">
        <v>154</v>
      </c>
      <c r="J17" s="58" t="s">
        <v>155</v>
      </c>
      <c r="L17" s="59" t="s">
        <v>148</v>
      </c>
      <c r="M17" s="60">
        <v>5000.0</v>
      </c>
      <c r="N17" s="60">
        <v>10000.0</v>
      </c>
      <c r="O17" s="30" t="s">
        <v>27</v>
      </c>
      <c r="P17" s="30">
        <v>0.0</v>
      </c>
      <c r="Q17" s="30" t="s">
        <v>27</v>
      </c>
      <c r="R17" s="31" t="s">
        <v>156</v>
      </c>
      <c r="S17" s="31" t="s">
        <v>157</v>
      </c>
      <c r="T17" s="31" t="s">
        <v>158</v>
      </c>
      <c r="U17" s="31" t="s">
        <v>146</v>
      </c>
      <c r="V17" s="31" t="s">
        <v>159</v>
      </c>
    </row>
    <row r="18" ht="15.75" customHeight="1">
      <c r="A18" s="39"/>
      <c r="B18" s="61" t="s">
        <v>160</v>
      </c>
      <c r="C18" s="61" t="s">
        <v>161</v>
      </c>
      <c r="D18" s="62" t="s">
        <v>162</v>
      </c>
      <c r="E18" s="63" t="s">
        <v>163</v>
      </c>
      <c r="F18" s="64" t="s">
        <v>164</v>
      </c>
      <c r="G18" s="65" t="s">
        <v>152</v>
      </c>
      <c r="H18" s="65" t="s">
        <v>165</v>
      </c>
      <c r="I18" s="43" t="s">
        <v>166</v>
      </c>
      <c r="J18" s="66" t="s">
        <v>167</v>
      </c>
      <c r="K18" s="44"/>
      <c r="L18" s="67" t="s">
        <v>168</v>
      </c>
      <c r="M18" s="68">
        <v>2500.0</v>
      </c>
      <c r="N18" s="68">
        <v>5000.0</v>
      </c>
      <c r="O18" s="46" t="s">
        <v>27</v>
      </c>
      <c r="P18" s="46">
        <v>0.0</v>
      </c>
      <c r="Q18" s="46" t="s">
        <v>27</v>
      </c>
      <c r="R18" s="48" t="s">
        <v>156</v>
      </c>
      <c r="S18" s="48" t="s">
        <v>40</v>
      </c>
      <c r="T18" s="48" t="s">
        <v>158</v>
      </c>
      <c r="U18" s="48" t="s">
        <v>146</v>
      </c>
      <c r="V18" s="48" t="s">
        <v>169</v>
      </c>
    </row>
    <row r="19" ht="15.75" customHeight="1">
      <c r="A19" s="10" t="s">
        <v>170</v>
      </c>
      <c r="B19" s="50" t="s">
        <v>171</v>
      </c>
      <c r="C19" s="12" t="s">
        <v>172</v>
      </c>
      <c r="D19" s="12" t="s">
        <v>173</v>
      </c>
      <c r="E19" s="13" t="s">
        <v>174</v>
      </c>
      <c r="F19" s="26" t="s">
        <v>175</v>
      </c>
      <c r="G19" s="15"/>
      <c r="H19" s="15" t="s">
        <v>26</v>
      </c>
      <c r="I19" s="15" t="s">
        <v>176</v>
      </c>
      <c r="J19" s="24" t="s">
        <v>177</v>
      </c>
      <c r="L19" s="29" t="s">
        <v>172</v>
      </c>
      <c r="M19" s="30">
        <v>400.0</v>
      </c>
      <c r="N19" s="30">
        <v>400.0</v>
      </c>
      <c r="O19" s="30" t="s">
        <v>27</v>
      </c>
      <c r="P19" s="30">
        <v>0.0</v>
      </c>
      <c r="Q19" s="30" t="s">
        <v>27</v>
      </c>
      <c r="R19" s="31" t="s">
        <v>178</v>
      </c>
      <c r="S19" s="31" t="s">
        <v>179</v>
      </c>
      <c r="T19" s="31" t="s">
        <v>180</v>
      </c>
      <c r="U19" s="31" t="s">
        <v>181</v>
      </c>
      <c r="V19" s="31" t="s">
        <v>182</v>
      </c>
    </row>
    <row r="20" ht="15.75" customHeight="1">
      <c r="A20" s="22"/>
      <c r="B20" s="23" t="s">
        <v>171</v>
      </c>
      <c r="C20" s="24" t="s">
        <v>183</v>
      </c>
      <c r="D20" s="24" t="s">
        <v>44</v>
      </c>
      <c r="E20" s="69" t="s">
        <v>184</v>
      </c>
      <c r="F20" s="26" t="s">
        <v>185</v>
      </c>
      <c r="G20" s="27"/>
      <c r="H20" s="27" t="s">
        <v>186</v>
      </c>
      <c r="I20" s="27" t="s">
        <v>187</v>
      </c>
      <c r="J20" s="24" t="s">
        <v>188</v>
      </c>
      <c r="L20" s="70" t="s">
        <v>183</v>
      </c>
      <c r="M20" s="71">
        <v>180000.0</v>
      </c>
      <c r="N20" s="71">
        <v>180000.0</v>
      </c>
      <c r="O20" s="71" t="s">
        <v>27</v>
      </c>
      <c r="P20" s="71">
        <v>0.0</v>
      </c>
      <c r="Q20" s="71" t="s">
        <v>27</v>
      </c>
      <c r="R20" s="31" t="s">
        <v>178</v>
      </c>
      <c r="S20" s="31" t="s">
        <v>85</v>
      </c>
      <c r="T20" s="36" t="s">
        <v>86</v>
      </c>
      <c r="U20" s="31" t="s">
        <v>181</v>
      </c>
      <c r="V20" s="31" t="s">
        <v>189</v>
      </c>
    </row>
    <row r="21" ht="15.75" customHeight="1">
      <c r="A21" s="22"/>
      <c r="B21" s="23" t="s">
        <v>171</v>
      </c>
      <c r="C21" s="24" t="s">
        <v>190</v>
      </c>
      <c r="D21" s="24" t="s">
        <v>191</v>
      </c>
      <c r="E21" s="25" t="s">
        <v>192</v>
      </c>
      <c r="F21" s="26" t="s">
        <v>193</v>
      </c>
      <c r="G21" s="27"/>
      <c r="H21" s="27" t="s">
        <v>186</v>
      </c>
      <c r="I21" s="27" t="s">
        <v>194</v>
      </c>
      <c r="J21" s="24" t="s">
        <v>195</v>
      </c>
      <c r="L21" s="29" t="s">
        <v>190</v>
      </c>
      <c r="M21" s="30">
        <v>85000.0</v>
      </c>
      <c r="N21" s="30">
        <v>85000.0</v>
      </c>
      <c r="O21" s="30" t="s">
        <v>27</v>
      </c>
      <c r="P21" s="30">
        <v>0.0</v>
      </c>
      <c r="Q21" s="30" t="s">
        <v>27</v>
      </c>
      <c r="R21" s="31" t="s">
        <v>178</v>
      </c>
      <c r="S21" s="31" t="s">
        <v>49</v>
      </c>
      <c r="T21" s="31" t="s">
        <v>196</v>
      </c>
      <c r="U21" s="31" t="s">
        <v>146</v>
      </c>
      <c r="V21" s="31" t="s">
        <v>51</v>
      </c>
    </row>
    <row r="22" ht="15.75" customHeight="1">
      <c r="A22" s="22"/>
      <c r="B22" s="23" t="s">
        <v>171</v>
      </c>
      <c r="C22" s="24" t="s">
        <v>197</v>
      </c>
      <c r="D22" s="24" t="s">
        <v>44</v>
      </c>
      <c r="E22" s="72" t="s">
        <v>198</v>
      </c>
      <c r="F22" s="26" t="s">
        <v>199</v>
      </c>
      <c r="G22" s="27"/>
      <c r="H22" s="27" t="s">
        <v>186</v>
      </c>
      <c r="I22" s="27" t="s">
        <v>200</v>
      </c>
      <c r="J22" s="24" t="s">
        <v>201</v>
      </c>
      <c r="L22" s="29" t="s">
        <v>197</v>
      </c>
      <c r="M22" s="30">
        <v>7000.0</v>
      </c>
      <c r="N22" s="30">
        <v>10000.0</v>
      </c>
      <c r="O22" s="30" t="s">
        <v>27</v>
      </c>
      <c r="P22" s="30">
        <v>0.0</v>
      </c>
      <c r="Q22" s="30" t="s">
        <v>27</v>
      </c>
      <c r="R22" s="31" t="s">
        <v>178</v>
      </c>
      <c r="S22" s="31" t="s">
        <v>85</v>
      </c>
      <c r="T22" s="36" t="s">
        <v>86</v>
      </c>
      <c r="U22" s="31" t="s">
        <v>181</v>
      </c>
      <c r="V22" s="31" t="s">
        <v>202</v>
      </c>
    </row>
    <row r="23" ht="15.75" customHeight="1">
      <c r="A23" s="22"/>
      <c r="B23" s="23" t="s">
        <v>203</v>
      </c>
      <c r="C23" s="24" t="s">
        <v>204</v>
      </c>
      <c r="D23" s="24" t="s">
        <v>90</v>
      </c>
      <c r="E23" s="25" t="s">
        <v>205</v>
      </c>
      <c r="F23" s="26" t="s">
        <v>206</v>
      </c>
      <c r="G23" s="27"/>
      <c r="H23" s="27" t="s">
        <v>186</v>
      </c>
      <c r="I23" s="27" t="s">
        <v>207</v>
      </c>
      <c r="J23" s="24" t="s">
        <v>208</v>
      </c>
      <c r="L23" s="29" t="s">
        <v>204</v>
      </c>
      <c r="M23" s="30">
        <v>150000.0</v>
      </c>
      <c r="N23" s="30">
        <v>200000.0</v>
      </c>
      <c r="O23" s="30" t="s">
        <v>27</v>
      </c>
      <c r="P23" s="30">
        <v>0.0</v>
      </c>
      <c r="Q23" s="30" t="s">
        <v>27</v>
      </c>
      <c r="R23" s="31" t="s">
        <v>209</v>
      </c>
      <c r="S23" s="31" t="s">
        <v>49</v>
      </c>
      <c r="T23" s="36" t="s">
        <v>86</v>
      </c>
      <c r="U23" s="31" t="s">
        <v>181</v>
      </c>
      <c r="V23" s="31" t="s">
        <v>210</v>
      </c>
    </row>
    <row r="24" ht="15.75" customHeight="1">
      <c r="A24" s="22"/>
      <c r="B24" s="23" t="s">
        <v>203</v>
      </c>
      <c r="C24" s="24" t="s">
        <v>211</v>
      </c>
      <c r="D24" s="24" t="s">
        <v>212</v>
      </c>
      <c r="E24" s="38" t="s">
        <v>213</v>
      </c>
      <c r="F24" s="26" t="s">
        <v>214</v>
      </c>
      <c r="G24" s="27"/>
      <c r="H24" s="27" t="s">
        <v>186</v>
      </c>
      <c r="I24" s="27" t="s">
        <v>215</v>
      </c>
      <c r="J24" s="24" t="s">
        <v>216</v>
      </c>
      <c r="L24" s="29" t="s">
        <v>211</v>
      </c>
      <c r="M24" s="30">
        <v>40000.0</v>
      </c>
      <c r="N24" s="30">
        <v>60000.0</v>
      </c>
      <c r="O24" s="30" t="s">
        <v>27</v>
      </c>
      <c r="P24" s="30">
        <v>0.0</v>
      </c>
      <c r="Q24" s="30" t="s">
        <v>27</v>
      </c>
      <c r="R24" s="31" t="s">
        <v>217</v>
      </c>
      <c r="S24" s="31" t="s">
        <v>218</v>
      </c>
      <c r="T24" s="36" t="s">
        <v>86</v>
      </c>
      <c r="U24" s="31" t="s">
        <v>181</v>
      </c>
      <c r="V24" s="31" t="s">
        <v>210</v>
      </c>
    </row>
    <row r="25" ht="15.75" customHeight="1">
      <c r="A25" s="22"/>
      <c r="B25" s="24" t="s">
        <v>203</v>
      </c>
      <c r="C25" s="24" t="s">
        <v>219</v>
      </c>
      <c r="D25" s="24" t="s">
        <v>220</v>
      </c>
      <c r="E25" s="25" t="s">
        <v>221</v>
      </c>
      <c r="F25" s="26" t="s">
        <v>222</v>
      </c>
      <c r="G25" s="54" t="s">
        <v>135</v>
      </c>
      <c r="H25" s="27" t="s">
        <v>223</v>
      </c>
      <c r="I25" s="27" t="s">
        <v>224</v>
      </c>
      <c r="J25" s="24" t="s">
        <v>225</v>
      </c>
      <c r="L25" s="29" t="s">
        <v>219</v>
      </c>
      <c r="M25" s="30">
        <v>50000.0</v>
      </c>
      <c r="N25" s="30">
        <v>100000.0</v>
      </c>
      <c r="O25" s="30" t="s">
        <v>27</v>
      </c>
      <c r="P25" s="30">
        <v>0.0</v>
      </c>
      <c r="Q25" s="30" t="s">
        <v>27</v>
      </c>
      <c r="R25" s="31" t="s">
        <v>217</v>
      </c>
      <c r="S25" s="31" t="s">
        <v>49</v>
      </c>
      <c r="T25" s="31" t="s">
        <v>226</v>
      </c>
      <c r="U25" s="31" t="s">
        <v>181</v>
      </c>
      <c r="V25" s="31" t="s">
        <v>202</v>
      </c>
    </row>
    <row r="26" ht="15.75" customHeight="1">
      <c r="A26" s="22"/>
      <c r="B26" s="73" t="s">
        <v>227</v>
      </c>
      <c r="C26" s="24" t="s">
        <v>228</v>
      </c>
      <c r="D26" s="24" t="s">
        <v>212</v>
      </c>
      <c r="E26" s="25" t="s">
        <v>229</v>
      </c>
      <c r="F26" s="26" t="s">
        <v>230</v>
      </c>
      <c r="G26" s="27"/>
      <c r="H26" s="74" t="s">
        <v>231</v>
      </c>
      <c r="I26" s="27" t="s">
        <v>232</v>
      </c>
      <c r="J26" s="24" t="s">
        <v>233</v>
      </c>
      <c r="L26" s="70" t="s">
        <v>228</v>
      </c>
      <c r="M26" s="30">
        <v>20000.0</v>
      </c>
      <c r="N26" s="30">
        <v>50000.0</v>
      </c>
      <c r="O26" s="30" t="s">
        <v>27</v>
      </c>
      <c r="P26" s="30">
        <v>0.0</v>
      </c>
      <c r="Q26" s="30" t="s">
        <v>27</v>
      </c>
      <c r="R26" s="31" t="s">
        <v>234</v>
      </c>
      <c r="S26" s="31" t="s">
        <v>218</v>
      </c>
      <c r="T26" s="36" t="s">
        <v>86</v>
      </c>
      <c r="U26" s="31" t="s">
        <v>146</v>
      </c>
      <c r="V26" s="31" t="s">
        <v>202</v>
      </c>
    </row>
    <row r="27" ht="15.75" customHeight="1">
      <c r="A27" s="22"/>
      <c r="B27" s="23" t="s">
        <v>171</v>
      </c>
      <c r="C27" s="24" t="s">
        <v>235</v>
      </c>
      <c r="D27" s="24" t="s">
        <v>236</v>
      </c>
      <c r="E27" s="38" t="s">
        <v>237</v>
      </c>
      <c r="F27" s="26" t="s">
        <v>238</v>
      </c>
      <c r="G27" s="27"/>
      <c r="H27" s="74" t="s">
        <v>231</v>
      </c>
      <c r="I27" s="27" t="s">
        <v>239</v>
      </c>
      <c r="J27" s="24" t="s">
        <v>225</v>
      </c>
      <c r="L27" s="29" t="s">
        <v>235</v>
      </c>
      <c r="M27" s="30">
        <v>50000.0</v>
      </c>
      <c r="N27" s="30">
        <v>100000.0</v>
      </c>
      <c r="O27" s="30" t="s">
        <v>27</v>
      </c>
      <c r="P27" s="30">
        <v>0.0</v>
      </c>
      <c r="Q27" s="30" t="s">
        <v>27</v>
      </c>
      <c r="R27" s="31" t="s">
        <v>217</v>
      </c>
      <c r="S27" s="31" t="s">
        <v>240</v>
      </c>
      <c r="T27" s="31" t="s">
        <v>241</v>
      </c>
      <c r="U27" s="31" t="s">
        <v>181</v>
      </c>
      <c r="V27" s="31" t="s">
        <v>202</v>
      </c>
    </row>
    <row r="28" ht="15.75" customHeight="1">
      <c r="A28" s="22"/>
      <c r="B28" s="23" t="s">
        <v>203</v>
      </c>
      <c r="C28" s="24" t="s">
        <v>242</v>
      </c>
      <c r="D28" s="24" t="s">
        <v>243</v>
      </c>
      <c r="E28" s="38" t="s">
        <v>244</v>
      </c>
      <c r="F28" s="26" t="s">
        <v>245</v>
      </c>
      <c r="G28" s="27"/>
      <c r="H28" s="27" t="s">
        <v>186</v>
      </c>
      <c r="I28" s="27" t="s">
        <v>246</v>
      </c>
      <c r="J28" s="24" t="s">
        <v>247</v>
      </c>
      <c r="L28" s="75" t="s">
        <v>248</v>
      </c>
      <c r="M28" s="30">
        <v>10000.0</v>
      </c>
      <c r="N28" s="30">
        <v>20000.0</v>
      </c>
      <c r="O28" s="30" t="s">
        <v>27</v>
      </c>
      <c r="P28" s="30">
        <v>0.0</v>
      </c>
      <c r="Q28" s="30" t="s">
        <v>27</v>
      </c>
      <c r="R28" s="31" t="s">
        <v>249</v>
      </c>
      <c r="S28" s="31" t="s">
        <v>67</v>
      </c>
      <c r="T28" s="31" t="s">
        <v>250</v>
      </c>
      <c r="U28" s="31" t="s">
        <v>181</v>
      </c>
      <c r="V28" s="31" t="s">
        <v>202</v>
      </c>
    </row>
    <row r="29" ht="15.75" customHeight="1">
      <c r="A29" s="22"/>
      <c r="B29" s="23" t="s">
        <v>251</v>
      </c>
      <c r="C29" s="23" t="s">
        <v>252</v>
      </c>
      <c r="D29" s="23" t="s">
        <v>253</v>
      </c>
      <c r="E29" s="55" t="s">
        <v>254</v>
      </c>
      <c r="F29" s="56" t="s">
        <v>255</v>
      </c>
      <c r="G29" s="57" t="s">
        <v>152</v>
      </c>
      <c r="H29" s="57" t="s">
        <v>256</v>
      </c>
      <c r="I29" s="58" t="s">
        <v>257</v>
      </c>
      <c r="J29" s="27" t="s">
        <v>258</v>
      </c>
      <c r="K29" s="27"/>
      <c r="L29" s="59" t="s">
        <v>252</v>
      </c>
      <c r="M29" s="30">
        <v>1000.0</v>
      </c>
      <c r="N29" s="30">
        <v>2000.0</v>
      </c>
      <c r="O29" s="30" t="s">
        <v>27</v>
      </c>
      <c r="P29" s="30">
        <v>0.0</v>
      </c>
      <c r="Q29" s="30" t="s">
        <v>27</v>
      </c>
      <c r="R29" s="31" t="s">
        <v>178</v>
      </c>
      <c r="S29" s="31" t="s">
        <v>67</v>
      </c>
      <c r="T29" s="36" t="s">
        <v>86</v>
      </c>
      <c r="U29" s="31" t="s">
        <v>181</v>
      </c>
      <c r="V29" s="31" t="s">
        <v>169</v>
      </c>
    </row>
    <row r="30" ht="15.75" customHeight="1">
      <c r="A30" s="22"/>
      <c r="B30" s="23" t="s">
        <v>259</v>
      </c>
      <c r="C30" s="23" t="s">
        <v>260</v>
      </c>
      <c r="D30" s="23" t="s">
        <v>261</v>
      </c>
      <c r="E30" s="55" t="s">
        <v>262</v>
      </c>
      <c r="F30" s="56" t="s">
        <v>263</v>
      </c>
      <c r="G30" s="57" t="s">
        <v>152</v>
      </c>
      <c r="H30" s="57" t="s">
        <v>256</v>
      </c>
      <c r="I30" s="58" t="s">
        <v>264</v>
      </c>
      <c r="J30" s="27" t="s">
        <v>265</v>
      </c>
      <c r="K30" s="27"/>
      <c r="L30" s="59" t="s">
        <v>260</v>
      </c>
      <c r="M30" s="30">
        <v>10000.0</v>
      </c>
      <c r="N30" s="30">
        <v>30000.0</v>
      </c>
      <c r="O30" s="30" t="s">
        <v>27</v>
      </c>
      <c r="P30" s="30">
        <v>0.0</v>
      </c>
      <c r="Q30" s="30" t="s">
        <v>27</v>
      </c>
      <c r="R30" s="31" t="s">
        <v>266</v>
      </c>
      <c r="S30" s="31" t="s">
        <v>67</v>
      </c>
      <c r="T30" s="31" t="s">
        <v>267</v>
      </c>
      <c r="U30" s="31" t="s">
        <v>268</v>
      </c>
      <c r="V30" s="31" t="s">
        <v>269</v>
      </c>
    </row>
    <row r="31" ht="15.75" customHeight="1">
      <c r="A31" s="22"/>
      <c r="B31" s="23" t="s">
        <v>270</v>
      </c>
      <c r="C31" s="23" t="s">
        <v>271</v>
      </c>
      <c r="D31" s="23" t="s">
        <v>272</v>
      </c>
      <c r="E31" s="55" t="s">
        <v>273</v>
      </c>
      <c r="F31" s="56" t="s">
        <v>274</v>
      </c>
      <c r="G31" s="57" t="s">
        <v>152</v>
      </c>
      <c r="H31" s="57" t="s">
        <v>275</v>
      </c>
      <c r="I31" s="58" t="s">
        <v>276</v>
      </c>
      <c r="J31" s="27" t="s">
        <v>277</v>
      </c>
      <c r="K31" s="27"/>
      <c r="L31" s="59" t="s">
        <v>271</v>
      </c>
      <c r="M31" s="30">
        <v>30.0</v>
      </c>
      <c r="N31" s="30">
        <v>30.0</v>
      </c>
      <c r="O31" s="30" t="s">
        <v>278</v>
      </c>
      <c r="P31" s="30">
        <v>0.0</v>
      </c>
      <c r="Q31" s="30" t="s">
        <v>27</v>
      </c>
      <c r="R31" s="31" t="s">
        <v>279</v>
      </c>
      <c r="S31" s="31" t="s">
        <v>280</v>
      </c>
      <c r="T31" s="31" t="s">
        <v>281</v>
      </c>
      <c r="U31" s="31" t="s">
        <v>282</v>
      </c>
      <c r="V31" s="31" t="s">
        <v>269</v>
      </c>
    </row>
    <row r="32" ht="15.75" customHeight="1">
      <c r="A32" s="22"/>
      <c r="B32" s="23" t="s">
        <v>283</v>
      </c>
      <c r="C32" s="23" t="s">
        <v>284</v>
      </c>
      <c r="D32" s="23" t="s">
        <v>285</v>
      </c>
      <c r="E32" s="55" t="s">
        <v>286</v>
      </c>
      <c r="F32" s="56" t="s">
        <v>287</v>
      </c>
      <c r="G32" s="57" t="s">
        <v>152</v>
      </c>
      <c r="H32" s="57" t="s">
        <v>275</v>
      </c>
      <c r="I32" s="27" t="s">
        <v>288</v>
      </c>
      <c r="J32" s="27" t="s">
        <v>289</v>
      </c>
      <c r="K32" s="27"/>
      <c r="L32" s="59" t="s">
        <v>284</v>
      </c>
      <c r="M32" s="30">
        <v>250.0</v>
      </c>
      <c r="N32" s="30">
        <v>250.0</v>
      </c>
      <c r="O32" s="30" t="s">
        <v>290</v>
      </c>
      <c r="P32" s="30">
        <v>0.0</v>
      </c>
      <c r="Q32" s="30" t="s">
        <v>27</v>
      </c>
      <c r="R32" s="31" t="s">
        <v>291</v>
      </c>
      <c r="S32" s="31" t="s">
        <v>49</v>
      </c>
      <c r="T32" s="31" t="s">
        <v>292</v>
      </c>
      <c r="U32" s="31" t="s">
        <v>293</v>
      </c>
      <c r="V32" s="31" t="s">
        <v>294</v>
      </c>
    </row>
    <row r="33" ht="15.75" customHeight="1">
      <c r="A33" s="22"/>
      <c r="B33" s="23" t="s">
        <v>295</v>
      </c>
      <c r="C33" s="23" t="s">
        <v>296</v>
      </c>
      <c r="D33" s="23" t="s">
        <v>212</v>
      </c>
      <c r="E33" s="38" t="s">
        <v>297</v>
      </c>
      <c r="F33" s="26" t="s">
        <v>298</v>
      </c>
      <c r="G33" s="27"/>
      <c r="H33" s="27"/>
      <c r="I33" s="27" t="s">
        <v>299</v>
      </c>
      <c r="J33" s="27" t="s">
        <v>300</v>
      </c>
      <c r="K33" s="27"/>
      <c r="L33" s="59" t="s">
        <v>301</v>
      </c>
      <c r="M33" s="30">
        <v>40000.0</v>
      </c>
      <c r="N33" s="30">
        <v>60000.0</v>
      </c>
      <c r="O33" s="30" t="s">
        <v>27</v>
      </c>
      <c r="P33" s="30">
        <v>0.0</v>
      </c>
      <c r="Q33" s="30" t="s">
        <v>27</v>
      </c>
      <c r="R33" s="31" t="s">
        <v>302</v>
      </c>
      <c r="S33" s="31" t="s">
        <v>67</v>
      </c>
      <c r="T33" s="31" t="s">
        <v>267</v>
      </c>
      <c r="U33" s="31" t="s">
        <v>282</v>
      </c>
      <c r="V33" s="31" t="s">
        <v>303</v>
      </c>
    </row>
    <row r="34" ht="15.75" customHeight="1">
      <c r="A34" s="22"/>
      <c r="B34" s="23" t="s">
        <v>171</v>
      </c>
      <c r="C34" s="23" t="s">
        <v>183</v>
      </c>
      <c r="D34" s="24" t="s">
        <v>44</v>
      </c>
      <c r="E34" s="38" t="s">
        <v>184</v>
      </c>
      <c r="F34" s="26" t="s">
        <v>304</v>
      </c>
      <c r="G34" s="27"/>
      <c r="H34" s="27" t="s">
        <v>305</v>
      </c>
      <c r="I34" s="27" t="s">
        <v>306</v>
      </c>
      <c r="J34" s="76">
        <v>180000.0</v>
      </c>
      <c r="K34" s="27"/>
      <c r="L34" s="77" t="s">
        <v>183</v>
      </c>
      <c r="M34" s="71">
        <v>180000.0</v>
      </c>
      <c r="N34" s="71">
        <v>180000.0</v>
      </c>
      <c r="O34" s="71" t="s">
        <v>27</v>
      </c>
      <c r="P34" s="71">
        <v>0.0</v>
      </c>
      <c r="Q34" s="71" t="s">
        <v>27</v>
      </c>
      <c r="R34" s="31" t="s">
        <v>307</v>
      </c>
      <c r="S34" s="31" t="s">
        <v>49</v>
      </c>
      <c r="T34" s="31" t="s">
        <v>50</v>
      </c>
      <c r="U34" s="31" t="s">
        <v>282</v>
      </c>
      <c r="V34" s="32" t="s">
        <v>210</v>
      </c>
    </row>
    <row r="35" ht="15.75" customHeight="1">
      <c r="A35" s="22"/>
      <c r="B35" s="24" t="s">
        <v>203</v>
      </c>
      <c r="C35" s="24" t="s">
        <v>219</v>
      </c>
      <c r="D35" s="24" t="s">
        <v>220</v>
      </c>
      <c r="E35" s="38" t="s">
        <v>221</v>
      </c>
      <c r="F35" s="26" t="s">
        <v>308</v>
      </c>
      <c r="G35" s="54" t="s">
        <v>135</v>
      </c>
      <c r="H35" s="27" t="s">
        <v>223</v>
      </c>
      <c r="I35" s="27" t="s">
        <v>224</v>
      </c>
      <c r="J35" s="27" t="s">
        <v>309</v>
      </c>
      <c r="K35" s="27"/>
      <c r="L35" s="29" t="s">
        <v>219</v>
      </c>
      <c r="M35" s="30">
        <v>50000.0</v>
      </c>
      <c r="N35" s="30">
        <v>100000.0</v>
      </c>
      <c r="O35" s="30" t="s">
        <v>27</v>
      </c>
      <c r="P35" s="30">
        <v>0.0</v>
      </c>
      <c r="Q35" s="30" t="s">
        <v>27</v>
      </c>
      <c r="R35" s="31" t="s">
        <v>307</v>
      </c>
      <c r="S35" s="31" t="s">
        <v>49</v>
      </c>
      <c r="T35" s="31" t="s">
        <v>50</v>
      </c>
      <c r="U35" s="31" t="s">
        <v>268</v>
      </c>
      <c r="V35" s="32" t="s">
        <v>210</v>
      </c>
    </row>
    <row r="36" ht="15.75" customHeight="1">
      <c r="A36" s="22"/>
      <c r="B36" s="24" t="s">
        <v>310</v>
      </c>
      <c r="C36" s="24" t="s">
        <v>311</v>
      </c>
      <c r="D36" s="78" t="s">
        <v>312</v>
      </c>
      <c r="E36" s="38" t="s">
        <v>313</v>
      </c>
      <c r="F36" s="26" t="s">
        <v>314</v>
      </c>
      <c r="G36" s="27"/>
      <c r="H36" s="27" t="s">
        <v>315</v>
      </c>
      <c r="I36" s="27" t="s">
        <v>316</v>
      </c>
      <c r="J36" s="27" t="s">
        <v>317</v>
      </c>
      <c r="K36" s="27"/>
      <c r="L36" s="29" t="s">
        <v>318</v>
      </c>
      <c r="M36" s="30">
        <v>130.0</v>
      </c>
      <c r="N36" s="30">
        <v>130.0</v>
      </c>
      <c r="O36" s="30" t="s">
        <v>319</v>
      </c>
      <c r="P36" s="30">
        <v>0.0</v>
      </c>
      <c r="Q36" s="30" t="s">
        <v>27</v>
      </c>
      <c r="R36" s="31" t="s">
        <v>307</v>
      </c>
      <c r="S36" s="31" t="s">
        <v>157</v>
      </c>
      <c r="T36" s="31" t="s">
        <v>158</v>
      </c>
      <c r="U36" s="31" t="s">
        <v>268</v>
      </c>
      <c r="V36" s="32" t="s">
        <v>210</v>
      </c>
    </row>
    <row r="37" ht="15.75" customHeight="1">
      <c r="A37" s="39"/>
      <c r="B37" s="23" t="s">
        <v>171</v>
      </c>
      <c r="C37" s="24" t="s">
        <v>235</v>
      </c>
      <c r="D37" s="24" t="s">
        <v>236</v>
      </c>
      <c r="E37" s="38" t="s">
        <v>237</v>
      </c>
      <c r="F37" s="26" t="s">
        <v>320</v>
      </c>
      <c r="G37" s="27"/>
      <c r="H37" s="79" t="s">
        <v>231</v>
      </c>
      <c r="I37" s="27" t="s">
        <v>239</v>
      </c>
      <c r="J37" s="27" t="s">
        <v>321</v>
      </c>
      <c r="K37" s="27"/>
      <c r="L37" s="29" t="s">
        <v>235</v>
      </c>
      <c r="M37" s="30">
        <v>50000.0</v>
      </c>
      <c r="N37" s="30">
        <v>100000.0</v>
      </c>
      <c r="O37" s="30" t="s">
        <v>27</v>
      </c>
      <c r="P37" s="30">
        <v>0.0</v>
      </c>
      <c r="Q37" s="30" t="s">
        <v>27</v>
      </c>
      <c r="R37" s="31" t="s">
        <v>279</v>
      </c>
      <c r="S37" s="31" t="s">
        <v>240</v>
      </c>
      <c r="T37" s="31" t="s">
        <v>322</v>
      </c>
      <c r="U37" s="31" t="s">
        <v>293</v>
      </c>
      <c r="V37" s="32" t="s">
        <v>210</v>
      </c>
    </row>
    <row r="38" ht="15.75" customHeight="1">
      <c r="A38" s="80" t="s">
        <v>323</v>
      </c>
      <c r="B38" s="50" t="s">
        <v>324</v>
      </c>
      <c r="C38" s="12" t="s">
        <v>325</v>
      </c>
      <c r="D38" s="12" t="s">
        <v>326</v>
      </c>
      <c r="E38" s="81" t="s">
        <v>327</v>
      </c>
      <c r="F38" s="82" t="s">
        <v>328</v>
      </c>
      <c r="G38" s="15"/>
      <c r="H38" s="15" t="s">
        <v>329</v>
      </c>
      <c r="I38" s="15" t="s">
        <v>330</v>
      </c>
      <c r="J38" s="12" t="s">
        <v>331</v>
      </c>
      <c r="K38" s="17"/>
      <c r="L38" s="18" t="s">
        <v>325</v>
      </c>
      <c r="M38" s="19">
        <v>10.0</v>
      </c>
      <c r="N38" s="19">
        <v>10.0</v>
      </c>
      <c r="O38" s="19" t="s">
        <v>332</v>
      </c>
      <c r="P38" s="19">
        <v>35.0</v>
      </c>
      <c r="Q38" s="19" t="s">
        <v>332</v>
      </c>
      <c r="R38" s="20" t="s">
        <v>333</v>
      </c>
      <c r="S38" s="20" t="s">
        <v>240</v>
      </c>
      <c r="T38" s="20" t="s">
        <v>322</v>
      </c>
      <c r="U38" s="20" t="s">
        <v>334</v>
      </c>
      <c r="V38" s="20" t="s">
        <v>159</v>
      </c>
    </row>
    <row r="39" ht="15.75" customHeight="1">
      <c r="B39" s="23" t="s">
        <v>335</v>
      </c>
      <c r="C39" s="24" t="s">
        <v>336</v>
      </c>
      <c r="D39" s="24" t="s">
        <v>337</v>
      </c>
      <c r="E39" s="25" t="s">
        <v>338</v>
      </c>
      <c r="F39" s="26" t="s">
        <v>339</v>
      </c>
      <c r="G39" s="27"/>
      <c r="H39" s="27" t="s">
        <v>340</v>
      </c>
      <c r="I39" s="27" t="s">
        <v>341</v>
      </c>
      <c r="J39" s="24" t="s">
        <v>342</v>
      </c>
      <c r="L39" s="29" t="s">
        <v>336</v>
      </c>
      <c r="M39" s="30">
        <v>3000.0</v>
      </c>
      <c r="N39" s="30">
        <v>3000.0</v>
      </c>
      <c r="O39" s="30" t="s">
        <v>27</v>
      </c>
      <c r="P39" s="30">
        <v>0.0</v>
      </c>
      <c r="Q39" s="30" t="s">
        <v>27</v>
      </c>
      <c r="R39" s="31" t="s">
        <v>333</v>
      </c>
      <c r="S39" s="31" t="s">
        <v>85</v>
      </c>
      <c r="T39" s="31" t="s">
        <v>158</v>
      </c>
      <c r="U39" s="31" t="s">
        <v>334</v>
      </c>
      <c r="V39" s="31" t="s">
        <v>159</v>
      </c>
    </row>
    <row r="40" ht="15.75" customHeight="1">
      <c r="B40" s="23" t="s">
        <v>108</v>
      </c>
      <c r="C40" s="83" t="s">
        <v>109</v>
      </c>
      <c r="D40" s="24" t="s">
        <v>343</v>
      </c>
      <c r="E40" s="25" t="s">
        <v>344</v>
      </c>
      <c r="F40" s="26" t="s">
        <v>345</v>
      </c>
      <c r="G40" s="27"/>
      <c r="H40" s="27" t="s">
        <v>346</v>
      </c>
      <c r="I40" s="27" t="s">
        <v>347</v>
      </c>
      <c r="J40" s="24" t="s">
        <v>348</v>
      </c>
      <c r="L40" s="84" t="s">
        <v>109</v>
      </c>
      <c r="M40" s="30">
        <v>40.0</v>
      </c>
      <c r="N40" s="30">
        <v>40.0</v>
      </c>
      <c r="O40" s="30" t="s">
        <v>116</v>
      </c>
      <c r="P40" s="30">
        <v>48.0</v>
      </c>
      <c r="Q40" s="30" t="s">
        <v>116</v>
      </c>
      <c r="R40" s="31" t="s">
        <v>349</v>
      </c>
      <c r="S40" s="31" t="s">
        <v>85</v>
      </c>
      <c r="T40" s="31" t="s">
        <v>350</v>
      </c>
      <c r="U40" s="31" t="s">
        <v>334</v>
      </c>
      <c r="V40" s="36" t="s">
        <v>351</v>
      </c>
    </row>
    <row r="41" ht="15.75" customHeight="1">
      <c r="B41" s="23" t="s">
        <v>352</v>
      </c>
      <c r="C41" s="24" t="s">
        <v>353</v>
      </c>
      <c r="D41" s="24" t="s">
        <v>44</v>
      </c>
      <c r="E41" s="85" t="s">
        <v>198</v>
      </c>
      <c r="F41" s="26" t="s">
        <v>354</v>
      </c>
      <c r="G41" s="27"/>
      <c r="H41" s="27" t="s">
        <v>355</v>
      </c>
      <c r="I41" s="27" t="s">
        <v>356</v>
      </c>
      <c r="J41" s="24" t="s">
        <v>357</v>
      </c>
      <c r="L41" s="29" t="s">
        <v>353</v>
      </c>
      <c r="M41" s="30">
        <v>100.0</v>
      </c>
      <c r="N41" s="30">
        <v>200.0</v>
      </c>
      <c r="O41" s="30" t="s">
        <v>358</v>
      </c>
      <c r="P41" s="30">
        <v>0.0</v>
      </c>
      <c r="Q41" s="30" t="s">
        <v>27</v>
      </c>
      <c r="R41" s="31" t="s">
        <v>359</v>
      </c>
      <c r="S41" s="31" t="s">
        <v>49</v>
      </c>
      <c r="T41" s="31" t="s">
        <v>50</v>
      </c>
      <c r="U41" s="31" t="s">
        <v>360</v>
      </c>
      <c r="V41" s="86"/>
    </row>
    <row r="42" ht="15.75" customHeight="1">
      <c r="B42" s="23" t="s">
        <v>361</v>
      </c>
      <c r="C42" s="23" t="s">
        <v>362</v>
      </c>
      <c r="D42" s="23" t="s">
        <v>363</v>
      </c>
      <c r="E42" s="87" t="s">
        <v>364</v>
      </c>
      <c r="F42" s="56" t="s">
        <v>365</v>
      </c>
      <c r="G42" s="57" t="s">
        <v>152</v>
      </c>
      <c r="H42" s="57" t="s">
        <v>366</v>
      </c>
      <c r="I42" s="58" t="s">
        <v>367</v>
      </c>
      <c r="J42" s="27" t="s">
        <v>368</v>
      </c>
      <c r="L42" s="59" t="s">
        <v>362</v>
      </c>
      <c r="M42" s="30">
        <v>100.0</v>
      </c>
      <c r="N42" s="30">
        <v>150.0</v>
      </c>
      <c r="O42" s="30" t="s">
        <v>358</v>
      </c>
      <c r="P42" s="30">
        <v>0.0</v>
      </c>
      <c r="Q42" s="30" t="s">
        <v>27</v>
      </c>
      <c r="R42" s="31" t="s">
        <v>369</v>
      </c>
      <c r="S42" s="31" t="s">
        <v>85</v>
      </c>
      <c r="T42" s="31" t="s">
        <v>158</v>
      </c>
      <c r="U42" s="31" t="s">
        <v>370</v>
      </c>
      <c r="V42" s="31" t="s">
        <v>294</v>
      </c>
    </row>
    <row r="43" ht="15.75" customHeight="1">
      <c r="B43" s="23" t="s">
        <v>371</v>
      </c>
      <c r="C43" s="23" t="s">
        <v>372</v>
      </c>
      <c r="D43" s="23" t="s">
        <v>372</v>
      </c>
      <c r="E43" s="55" t="s">
        <v>373</v>
      </c>
      <c r="F43" s="56" t="s">
        <v>374</v>
      </c>
      <c r="G43" s="57" t="s">
        <v>375</v>
      </c>
      <c r="H43" s="57" t="s">
        <v>153</v>
      </c>
      <c r="I43" s="54" t="s">
        <v>376</v>
      </c>
      <c r="J43" s="27" t="s">
        <v>377</v>
      </c>
      <c r="L43" s="59" t="s">
        <v>372</v>
      </c>
      <c r="M43" s="30">
        <v>2300.0</v>
      </c>
      <c r="N43" s="30">
        <v>2300.0</v>
      </c>
      <c r="O43" s="30" t="s">
        <v>378</v>
      </c>
      <c r="P43" s="30">
        <v>250.0</v>
      </c>
      <c r="Q43" s="30" t="s">
        <v>379</v>
      </c>
      <c r="R43" s="31" t="s">
        <v>380</v>
      </c>
      <c r="S43" s="31" t="s">
        <v>381</v>
      </c>
      <c r="T43" s="31" t="s">
        <v>382</v>
      </c>
      <c r="U43" s="31" t="s">
        <v>370</v>
      </c>
      <c r="V43" s="31" t="s">
        <v>383</v>
      </c>
    </row>
    <row r="44" ht="15.75" customHeight="1">
      <c r="B44" s="23" t="s">
        <v>384</v>
      </c>
      <c r="C44" s="23" t="s">
        <v>385</v>
      </c>
      <c r="D44" s="88" t="s">
        <v>386</v>
      </c>
      <c r="E44" s="89" t="s">
        <v>387</v>
      </c>
      <c r="F44" s="56" t="s">
        <v>388</v>
      </c>
      <c r="G44" s="57" t="s">
        <v>152</v>
      </c>
      <c r="H44" s="57" t="s">
        <v>153</v>
      </c>
      <c r="I44" s="27" t="s">
        <v>389</v>
      </c>
      <c r="J44" s="27" t="s">
        <v>390</v>
      </c>
      <c r="L44" s="59" t="s">
        <v>385</v>
      </c>
      <c r="M44" s="30">
        <v>250.0</v>
      </c>
      <c r="N44" s="30">
        <v>500.0</v>
      </c>
      <c r="O44" s="30" t="s">
        <v>391</v>
      </c>
      <c r="P44" s="30">
        <v>100.0</v>
      </c>
      <c r="Q44" s="30" t="s">
        <v>392</v>
      </c>
      <c r="R44" s="31" t="s">
        <v>393</v>
      </c>
      <c r="S44" s="31" t="s">
        <v>85</v>
      </c>
      <c r="T44" s="31" t="s">
        <v>158</v>
      </c>
      <c r="U44" s="31" t="s">
        <v>370</v>
      </c>
      <c r="V44" s="31" t="s">
        <v>394</v>
      </c>
    </row>
    <row r="45" ht="15.75" customHeight="1">
      <c r="B45" s="24" t="s">
        <v>395</v>
      </c>
      <c r="C45" s="24" t="s">
        <v>396</v>
      </c>
      <c r="D45" s="24" t="s">
        <v>397</v>
      </c>
      <c r="E45" s="38" t="s">
        <v>398</v>
      </c>
      <c r="F45" s="26" t="s">
        <v>399</v>
      </c>
      <c r="G45" s="27"/>
      <c r="H45" s="27" t="s">
        <v>400</v>
      </c>
      <c r="I45" s="58" t="s">
        <v>401</v>
      </c>
      <c r="J45" s="90">
        <v>14500.0</v>
      </c>
      <c r="L45" s="29" t="s">
        <v>396</v>
      </c>
      <c r="M45" s="30">
        <v>14500.0</v>
      </c>
      <c r="N45" s="30">
        <v>14500.0</v>
      </c>
      <c r="O45" s="30" t="s">
        <v>27</v>
      </c>
      <c r="P45" s="30">
        <v>0.0</v>
      </c>
      <c r="Q45" s="30" t="s">
        <v>27</v>
      </c>
      <c r="R45" s="31" t="s">
        <v>402</v>
      </c>
      <c r="S45" s="31" t="s">
        <v>240</v>
      </c>
      <c r="T45" s="31" t="s">
        <v>403</v>
      </c>
      <c r="U45" s="31" t="s">
        <v>118</v>
      </c>
      <c r="V45" s="31" t="s">
        <v>159</v>
      </c>
    </row>
    <row r="46" ht="15.75" customHeight="1">
      <c r="B46" s="24" t="s">
        <v>361</v>
      </c>
      <c r="C46" s="24" t="s">
        <v>362</v>
      </c>
      <c r="D46" s="24" t="s">
        <v>363</v>
      </c>
      <c r="E46" s="38" t="s">
        <v>364</v>
      </c>
      <c r="F46" s="26" t="s">
        <v>404</v>
      </c>
      <c r="G46" s="27"/>
      <c r="H46" s="27" t="s">
        <v>366</v>
      </c>
      <c r="I46" s="58" t="s">
        <v>405</v>
      </c>
      <c r="J46" s="27" t="s">
        <v>368</v>
      </c>
      <c r="L46" s="29" t="s">
        <v>362</v>
      </c>
      <c r="M46" s="30">
        <v>100.0</v>
      </c>
      <c r="N46" s="30">
        <v>150.0</v>
      </c>
      <c r="O46" s="30" t="s">
        <v>358</v>
      </c>
      <c r="P46" s="30">
        <v>0.0</v>
      </c>
      <c r="Q46" s="30" t="s">
        <v>27</v>
      </c>
      <c r="R46" s="31" t="s">
        <v>369</v>
      </c>
      <c r="S46" s="31" t="s">
        <v>240</v>
      </c>
      <c r="T46" s="31" t="s">
        <v>403</v>
      </c>
      <c r="U46" s="31" t="s">
        <v>370</v>
      </c>
      <c r="V46" s="31" t="s">
        <v>383</v>
      </c>
    </row>
    <row r="47" ht="15.75" customHeight="1">
      <c r="A47" s="91"/>
      <c r="B47" s="61" t="s">
        <v>406</v>
      </c>
      <c r="C47" s="61" t="s">
        <v>407</v>
      </c>
      <c r="D47" s="61" t="s">
        <v>408</v>
      </c>
      <c r="E47" s="92" t="s">
        <v>409</v>
      </c>
      <c r="F47" s="64" t="s">
        <v>410</v>
      </c>
      <c r="G47" s="65"/>
      <c r="H47" s="65" t="s">
        <v>411</v>
      </c>
      <c r="I47" s="65" t="s">
        <v>412</v>
      </c>
      <c r="J47" s="65" t="s">
        <v>413</v>
      </c>
      <c r="K47" s="44"/>
      <c r="L47" s="67" t="s">
        <v>407</v>
      </c>
      <c r="M47" s="93">
        <v>200.0</v>
      </c>
      <c r="N47" s="93">
        <v>200.0</v>
      </c>
      <c r="O47" s="93" t="s">
        <v>414</v>
      </c>
      <c r="P47" s="46">
        <v>0.0</v>
      </c>
      <c r="Q47" s="46" t="s">
        <v>27</v>
      </c>
      <c r="R47" s="48" t="s">
        <v>333</v>
      </c>
      <c r="S47" s="48" t="s">
        <v>415</v>
      </c>
      <c r="T47" s="48" t="s">
        <v>416</v>
      </c>
      <c r="U47" s="48" t="s">
        <v>118</v>
      </c>
      <c r="V47" s="48" t="s">
        <v>417</v>
      </c>
    </row>
    <row r="48" ht="15.75" customHeight="1">
      <c r="E48" s="94"/>
    </row>
    <row r="49" ht="15.75" customHeight="1">
      <c r="E49" s="94"/>
    </row>
    <row r="50" ht="15.75" customHeight="1">
      <c r="E50" s="94"/>
    </row>
    <row r="51" ht="15.75" customHeight="1">
      <c r="E51" s="94"/>
    </row>
    <row r="52" ht="15.75" customHeight="1">
      <c r="E52" s="94"/>
    </row>
    <row r="53" ht="15.75" customHeight="1">
      <c r="E53" s="94"/>
    </row>
    <row r="54" ht="15.75" customHeight="1">
      <c r="E54" s="94"/>
    </row>
    <row r="55" ht="15.75" customHeight="1">
      <c r="E55" s="94"/>
    </row>
    <row r="56" ht="15.75" customHeight="1">
      <c r="E56" s="94"/>
    </row>
    <row r="57" ht="15.75" customHeight="1">
      <c r="E57" s="94"/>
    </row>
    <row r="58" ht="15.75" customHeight="1">
      <c r="E58" s="94"/>
    </row>
    <row r="59" ht="15.75" customHeight="1">
      <c r="E59" s="94"/>
    </row>
    <row r="60" ht="15.75" customHeight="1">
      <c r="E60" s="94"/>
    </row>
    <row r="61" ht="15.75" customHeight="1">
      <c r="E61" s="94"/>
    </row>
    <row r="62" ht="15.75" customHeight="1">
      <c r="E62" s="94"/>
    </row>
    <row r="63" ht="15.75" customHeight="1">
      <c r="E63" s="94"/>
    </row>
    <row r="64" ht="15.75" customHeight="1">
      <c r="E64" s="94"/>
    </row>
    <row r="65" ht="15.75" customHeight="1">
      <c r="E65" s="94"/>
    </row>
    <row r="66" ht="15.75" customHeight="1">
      <c r="E66" s="94"/>
    </row>
    <row r="67" ht="15.75" customHeight="1">
      <c r="E67" s="94"/>
    </row>
    <row r="68" ht="15.75" customHeight="1">
      <c r="E68" s="94"/>
    </row>
    <row r="69" ht="15.75" customHeight="1">
      <c r="E69" s="94"/>
    </row>
    <row r="70" ht="15.75" customHeight="1">
      <c r="E70" s="94"/>
    </row>
    <row r="71" ht="15.75" customHeight="1">
      <c r="E71" s="94"/>
    </row>
    <row r="72" ht="15.75" customHeight="1">
      <c r="E72" s="94"/>
    </row>
    <row r="73" ht="15.75" customHeight="1">
      <c r="E73" s="94"/>
    </row>
    <row r="74" ht="15.75" customHeight="1">
      <c r="E74" s="94"/>
    </row>
    <row r="75" ht="15.75" customHeight="1">
      <c r="E75" s="94"/>
    </row>
    <row r="76" ht="15.75" customHeight="1">
      <c r="E76" s="94"/>
    </row>
    <row r="77" ht="15.75" customHeight="1">
      <c r="E77" s="94"/>
    </row>
    <row r="78" ht="15.75" customHeight="1">
      <c r="E78" s="94"/>
    </row>
    <row r="79" ht="15.75" customHeight="1">
      <c r="E79" s="94"/>
    </row>
    <row r="80" ht="15.75" customHeight="1">
      <c r="E80" s="94"/>
    </row>
    <row r="81" ht="15.75" customHeight="1">
      <c r="E81" s="94"/>
    </row>
    <row r="82" ht="15.75" customHeight="1">
      <c r="E82" s="94"/>
    </row>
    <row r="83" ht="15.75" customHeight="1">
      <c r="E83" s="94"/>
    </row>
    <row r="84" ht="15.75" customHeight="1">
      <c r="E84" s="94"/>
    </row>
    <row r="85" ht="15.75" customHeight="1">
      <c r="E85" s="94"/>
    </row>
    <row r="86" ht="15.75" customHeight="1">
      <c r="E86" s="94"/>
    </row>
    <row r="87" ht="15.75" customHeight="1">
      <c r="E87" s="94"/>
    </row>
    <row r="88" ht="15.75" customHeight="1">
      <c r="E88" s="94"/>
    </row>
    <row r="89" ht="15.75" customHeight="1">
      <c r="E89" s="94"/>
    </row>
    <row r="90" ht="15.75" customHeight="1">
      <c r="E90" s="94"/>
    </row>
    <row r="91" ht="15.75" customHeight="1">
      <c r="E91" s="94"/>
    </row>
    <row r="92" ht="15.75" customHeight="1">
      <c r="E92" s="94"/>
    </row>
    <row r="93" ht="15.75" customHeight="1">
      <c r="E93" s="94"/>
    </row>
    <row r="94" ht="15.75" customHeight="1">
      <c r="E94" s="94"/>
    </row>
    <row r="95" ht="15.75" customHeight="1">
      <c r="E95" s="94"/>
    </row>
    <row r="96" ht="15.75" customHeight="1">
      <c r="E96" s="94"/>
    </row>
    <row r="97" ht="15.75" customHeight="1">
      <c r="E97" s="94"/>
    </row>
    <row r="98" ht="15.75" customHeight="1">
      <c r="E98" s="94"/>
    </row>
    <row r="99" ht="15.75" customHeight="1">
      <c r="E99" s="94"/>
    </row>
    <row r="100" ht="15.75" customHeight="1">
      <c r="E100" s="94"/>
    </row>
    <row r="101" ht="15.75" customHeight="1">
      <c r="E101" s="94"/>
    </row>
    <row r="102" ht="15.75" customHeight="1">
      <c r="E102" s="94"/>
    </row>
    <row r="103" ht="15.75" customHeight="1">
      <c r="E103" s="94"/>
    </row>
    <row r="104" ht="15.75" customHeight="1">
      <c r="E104" s="94"/>
    </row>
    <row r="105" ht="15.75" customHeight="1">
      <c r="E105" s="94"/>
    </row>
    <row r="106" ht="15.75" customHeight="1">
      <c r="E106" s="94"/>
    </row>
    <row r="107" ht="15.75" customHeight="1">
      <c r="E107" s="94"/>
    </row>
    <row r="108" ht="15.75" customHeight="1">
      <c r="E108" s="94"/>
    </row>
    <row r="109" ht="15.75" customHeight="1">
      <c r="E109" s="94"/>
    </row>
    <row r="110" ht="15.75" customHeight="1">
      <c r="E110" s="94"/>
    </row>
    <row r="111" ht="15.75" customHeight="1">
      <c r="E111" s="94"/>
    </row>
    <row r="112" ht="15.75" customHeight="1">
      <c r="E112" s="94"/>
    </row>
    <row r="113" ht="15.75" customHeight="1">
      <c r="E113" s="94"/>
    </row>
    <row r="114" ht="15.75" customHeight="1">
      <c r="E114" s="94"/>
    </row>
    <row r="115" ht="15.75" customHeight="1">
      <c r="E115" s="94"/>
    </row>
    <row r="116" ht="15.75" customHeight="1">
      <c r="E116" s="94"/>
    </row>
    <row r="117" ht="15.75" customHeight="1">
      <c r="E117" s="94"/>
    </row>
    <row r="118" ht="15.75" customHeight="1">
      <c r="E118" s="94"/>
    </row>
    <row r="119" ht="15.75" customHeight="1">
      <c r="E119" s="94"/>
    </row>
    <row r="120" ht="15.75" customHeight="1">
      <c r="E120" s="94"/>
    </row>
    <row r="121" ht="15.75" customHeight="1">
      <c r="E121" s="94"/>
    </row>
    <row r="122" ht="15.75" customHeight="1">
      <c r="E122" s="94"/>
    </row>
    <row r="123" ht="15.75" customHeight="1">
      <c r="E123" s="94"/>
    </row>
    <row r="124" ht="15.75" customHeight="1">
      <c r="E124" s="94"/>
    </row>
    <row r="125" ht="15.75" customHeight="1">
      <c r="E125" s="94"/>
    </row>
    <row r="126" ht="15.75" customHeight="1">
      <c r="E126" s="94"/>
    </row>
    <row r="127" ht="15.75" customHeight="1">
      <c r="E127" s="94"/>
    </row>
    <row r="128" ht="15.75" customHeight="1">
      <c r="E128" s="94"/>
    </row>
    <row r="129" ht="15.75" customHeight="1">
      <c r="E129" s="94"/>
    </row>
    <row r="130" ht="15.75" customHeight="1">
      <c r="E130" s="94"/>
    </row>
    <row r="131" ht="15.75" customHeight="1">
      <c r="E131" s="94"/>
    </row>
    <row r="132" ht="15.75" customHeight="1">
      <c r="E132" s="94"/>
    </row>
    <row r="133" ht="15.75" customHeight="1">
      <c r="E133" s="94"/>
    </row>
    <row r="134" ht="15.75" customHeight="1">
      <c r="E134" s="94"/>
    </row>
    <row r="135" ht="15.75" customHeight="1">
      <c r="E135" s="94"/>
    </row>
    <row r="136" ht="15.75" customHeight="1">
      <c r="E136" s="94"/>
    </row>
    <row r="137" ht="15.75" customHeight="1">
      <c r="E137" s="94"/>
    </row>
    <row r="138" ht="15.75" customHeight="1">
      <c r="E138" s="94"/>
    </row>
    <row r="139" ht="15.75" customHeight="1">
      <c r="E139" s="94"/>
    </row>
    <row r="140" ht="15.75" customHeight="1">
      <c r="E140" s="94"/>
    </row>
    <row r="141" ht="15.75" customHeight="1">
      <c r="E141" s="94"/>
    </row>
    <row r="142" ht="15.75" customHeight="1">
      <c r="E142" s="94"/>
    </row>
    <row r="143" ht="15.75" customHeight="1">
      <c r="E143" s="94"/>
    </row>
    <row r="144" ht="15.75" customHeight="1">
      <c r="E144" s="94"/>
    </row>
    <row r="145" ht="15.75" customHeight="1">
      <c r="E145" s="94"/>
    </row>
    <row r="146" ht="15.75" customHeight="1">
      <c r="E146" s="94"/>
    </row>
    <row r="147" ht="15.75" customHeight="1">
      <c r="E147" s="94"/>
    </row>
    <row r="148" ht="15.75" customHeight="1">
      <c r="E148" s="94"/>
    </row>
    <row r="149" ht="15.75" customHeight="1">
      <c r="E149" s="94"/>
    </row>
    <row r="150" ht="15.75" customHeight="1">
      <c r="E150" s="94"/>
    </row>
    <row r="151" ht="15.75" customHeight="1">
      <c r="E151" s="94"/>
    </row>
    <row r="152" ht="15.75" customHeight="1">
      <c r="E152" s="94"/>
    </row>
    <row r="153" ht="15.75" customHeight="1">
      <c r="E153" s="94"/>
    </row>
    <row r="154" ht="15.75" customHeight="1">
      <c r="E154" s="94"/>
    </row>
    <row r="155" ht="15.75" customHeight="1">
      <c r="E155" s="94"/>
    </row>
    <row r="156" ht="15.75" customHeight="1">
      <c r="E156" s="94"/>
    </row>
    <row r="157" ht="15.75" customHeight="1">
      <c r="E157" s="94"/>
    </row>
    <row r="158" ht="15.75" customHeight="1">
      <c r="E158" s="94"/>
    </row>
    <row r="159" ht="15.75" customHeight="1">
      <c r="E159" s="94"/>
    </row>
    <row r="160" ht="15.75" customHeight="1">
      <c r="E160" s="94"/>
    </row>
    <row r="161" ht="15.75" customHeight="1">
      <c r="E161" s="94"/>
    </row>
    <row r="162" ht="15.75" customHeight="1">
      <c r="E162" s="94"/>
    </row>
    <row r="163" ht="15.75" customHeight="1">
      <c r="E163" s="94"/>
    </row>
    <row r="164" ht="15.75" customHeight="1">
      <c r="E164" s="94"/>
    </row>
    <row r="165" ht="15.75" customHeight="1">
      <c r="E165" s="94"/>
    </row>
    <row r="166" ht="15.75" customHeight="1">
      <c r="E166" s="94"/>
    </row>
    <row r="167" ht="15.75" customHeight="1">
      <c r="E167" s="94"/>
    </row>
    <row r="168" ht="15.75" customHeight="1">
      <c r="E168" s="94"/>
    </row>
    <row r="169" ht="15.75" customHeight="1">
      <c r="E169" s="94"/>
    </row>
    <row r="170" ht="15.75" customHeight="1">
      <c r="E170" s="94"/>
    </row>
    <row r="171" ht="15.75" customHeight="1">
      <c r="E171" s="94"/>
    </row>
    <row r="172" ht="15.75" customHeight="1">
      <c r="E172" s="94"/>
    </row>
    <row r="173" ht="15.75" customHeight="1">
      <c r="E173" s="94"/>
    </row>
    <row r="174" ht="15.75" customHeight="1">
      <c r="E174" s="94"/>
    </row>
    <row r="175" ht="15.75" customHeight="1">
      <c r="E175" s="94"/>
    </row>
    <row r="176" ht="15.75" customHeight="1">
      <c r="E176" s="94"/>
    </row>
    <row r="177" ht="15.75" customHeight="1">
      <c r="E177" s="94"/>
    </row>
    <row r="178" ht="15.75" customHeight="1">
      <c r="E178" s="94"/>
    </row>
    <row r="179" ht="15.75" customHeight="1">
      <c r="E179" s="94"/>
    </row>
    <row r="180" ht="15.75" customHeight="1">
      <c r="E180" s="94"/>
    </row>
    <row r="181" ht="15.75" customHeight="1">
      <c r="E181" s="94"/>
    </row>
    <row r="182" ht="15.75" customHeight="1">
      <c r="E182" s="94"/>
    </row>
    <row r="183" ht="15.75" customHeight="1">
      <c r="E183" s="94"/>
    </row>
    <row r="184" ht="15.75" customHeight="1">
      <c r="E184" s="94"/>
    </row>
    <row r="185" ht="15.75" customHeight="1">
      <c r="E185" s="94"/>
    </row>
    <row r="186" ht="15.75" customHeight="1">
      <c r="E186" s="94"/>
    </row>
    <row r="187" ht="15.75" customHeight="1">
      <c r="E187" s="94"/>
    </row>
    <row r="188" ht="15.75" customHeight="1">
      <c r="E188" s="94"/>
    </row>
    <row r="189" ht="15.75" customHeight="1">
      <c r="E189" s="94"/>
    </row>
    <row r="190" ht="15.75" customHeight="1">
      <c r="E190" s="94"/>
    </row>
    <row r="191" ht="15.75" customHeight="1">
      <c r="E191" s="94"/>
    </row>
    <row r="192" ht="15.75" customHeight="1">
      <c r="E192" s="94"/>
    </row>
    <row r="193" ht="15.75" customHeight="1">
      <c r="E193" s="94"/>
    </row>
    <row r="194" ht="15.75" customHeight="1">
      <c r="E194" s="94"/>
    </row>
    <row r="195" ht="15.75" customHeight="1">
      <c r="E195" s="94"/>
    </row>
    <row r="196" ht="15.75" customHeight="1">
      <c r="E196" s="94"/>
    </row>
    <row r="197" ht="15.75" customHeight="1">
      <c r="E197" s="94"/>
    </row>
    <row r="198" ht="15.75" customHeight="1">
      <c r="E198" s="94"/>
    </row>
    <row r="199" ht="15.75" customHeight="1">
      <c r="E199" s="94"/>
    </row>
    <row r="200" ht="15.75" customHeight="1">
      <c r="E200" s="94"/>
    </row>
    <row r="201" ht="15.75" customHeight="1">
      <c r="E201" s="94"/>
    </row>
    <row r="202" ht="15.75" customHeight="1">
      <c r="E202" s="94"/>
    </row>
    <row r="203" ht="15.75" customHeight="1">
      <c r="E203" s="94"/>
    </row>
    <row r="204" ht="15.75" customHeight="1">
      <c r="E204" s="94"/>
    </row>
    <row r="205" ht="15.75" customHeight="1">
      <c r="E205" s="94"/>
    </row>
    <row r="206" ht="15.75" customHeight="1">
      <c r="E206" s="94"/>
    </row>
    <row r="207" ht="15.75" customHeight="1">
      <c r="E207" s="94"/>
    </row>
    <row r="208" ht="15.75" customHeight="1">
      <c r="E208" s="94"/>
    </row>
    <row r="209" ht="15.75" customHeight="1">
      <c r="E209" s="94"/>
    </row>
    <row r="210" ht="15.75" customHeight="1">
      <c r="E210" s="94"/>
    </row>
    <row r="211" ht="15.75" customHeight="1">
      <c r="E211" s="94"/>
    </row>
    <row r="212" ht="15.75" customHeight="1">
      <c r="E212" s="94"/>
    </row>
    <row r="213" ht="15.75" customHeight="1">
      <c r="E213" s="94"/>
    </row>
    <row r="214" ht="15.75" customHeight="1">
      <c r="E214" s="94"/>
    </row>
    <row r="215" ht="15.75" customHeight="1">
      <c r="E215" s="94"/>
    </row>
    <row r="216" ht="15.75" customHeight="1">
      <c r="E216" s="94"/>
    </row>
    <row r="217" ht="15.75" customHeight="1">
      <c r="E217" s="94"/>
    </row>
    <row r="218" ht="15.75" customHeight="1">
      <c r="E218" s="94"/>
    </row>
    <row r="219" ht="15.75" customHeight="1">
      <c r="E219" s="94"/>
    </row>
    <row r="220" ht="15.75" customHeight="1">
      <c r="E220" s="94"/>
    </row>
    <row r="221" ht="15.75" customHeight="1">
      <c r="E221" s="94"/>
    </row>
    <row r="222" ht="15.75" customHeight="1">
      <c r="E222" s="94"/>
    </row>
    <row r="223" ht="15.75" customHeight="1">
      <c r="E223" s="94"/>
    </row>
    <row r="224" ht="15.75" customHeight="1">
      <c r="E224" s="94"/>
    </row>
    <row r="225" ht="15.75" customHeight="1">
      <c r="E225" s="94"/>
    </row>
    <row r="226" ht="15.75" customHeight="1">
      <c r="E226" s="94"/>
    </row>
    <row r="227" ht="15.75" customHeight="1">
      <c r="E227" s="94"/>
    </row>
    <row r="228" ht="15.75" customHeight="1">
      <c r="E228" s="94"/>
    </row>
    <row r="229" ht="15.75" customHeight="1">
      <c r="E229" s="94"/>
    </row>
    <row r="230" ht="15.75" customHeight="1">
      <c r="E230" s="94"/>
    </row>
    <row r="231" ht="15.75" customHeight="1">
      <c r="E231" s="94"/>
    </row>
    <row r="232" ht="15.75" customHeight="1">
      <c r="E232" s="94"/>
    </row>
    <row r="233" ht="15.75" customHeight="1">
      <c r="E233" s="94"/>
    </row>
    <row r="234" ht="15.75" customHeight="1">
      <c r="E234" s="94"/>
    </row>
    <row r="235" ht="15.75" customHeight="1">
      <c r="E235" s="94"/>
    </row>
    <row r="236" ht="15.75" customHeight="1">
      <c r="E236" s="94"/>
    </row>
    <row r="237" ht="15.75" customHeight="1">
      <c r="E237" s="94"/>
    </row>
    <row r="238" ht="15.75" customHeight="1">
      <c r="E238" s="94"/>
    </row>
    <row r="239" ht="15.75" customHeight="1">
      <c r="E239" s="94"/>
    </row>
    <row r="240" ht="15.75" customHeight="1">
      <c r="E240" s="94"/>
    </row>
    <row r="241" ht="15.75" customHeight="1">
      <c r="E241" s="94"/>
    </row>
    <row r="242" ht="15.75" customHeight="1">
      <c r="E242" s="94"/>
    </row>
    <row r="243" ht="15.75" customHeight="1">
      <c r="E243" s="94"/>
    </row>
    <row r="244" ht="15.75" customHeight="1">
      <c r="E244" s="94"/>
    </row>
    <row r="245" ht="15.75" customHeight="1">
      <c r="E245" s="94"/>
    </row>
    <row r="246" ht="15.75" customHeight="1">
      <c r="E246" s="94"/>
    </row>
    <row r="247" ht="15.75" customHeight="1">
      <c r="E247" s="94"/>
    </row>
    <row r="248" ht="15.75" customHeight="1">
      <c r="E248" s="94"/>
    </row>
    <row r="249" ht="15.75" customHeight="1">
      <c r="E249" s="94"/>
    </row>
    <row r="250" ht="15.75" customHeight="1">
      <c r="E250" s="94"/>
    </row>
    <row r="251" ht="15.75" customHeight="1">
      <c r="E251" s="94"/>
    </row>
    <row r="252" ht="15.75" customHeight="1">
      <c r="E252" s="94"/>
    </row>
    <row r="253" ht="15.75" customHeight="1">
      <c r="E253" s="94"/>
    </row>
    <row r="254" ht="15.75" customHeight="1">
      <c r="E254" s="94"/>
    </row>
    <row r="255" ht="15.75" customHeight="1">
      <c r="E255" s="94"/>
    </row>
    <row r="256" ht="15.75" customHeight="1">
      <c r="E256" s="94"/>
    </row>
    <row r="257" ht="15.75" customHeight="1">
      <c r="E257" s="94"/>
    </row>
    <row r="258" ht="15.75" customHeight="1">
      <c r="E258" s="94"/>
    </row>
    <row r="259" ht="15.75" customHeight="1">
      <c r="E259" s="94"/>
    </row>
    <row r="260" ht="15.75" customHeight="1">
      <c r="E260" s="94"/>
    </row>
    <row r="261" ht="15.75" customHeight="1">
      <c r="E261" s="94"/>
    </row>
    <row r="262" ht="15.75" customHeight="1">
      <c r="E262" s="94"/>
    </row>
    <row r="263" ht="15.75" customHeight="1">
      <c r="E263" s="94"/>
    </row>
    <row r="264" ht="15.75" customHeight="1">
      <c r="E264" s="94"/>
    </row>
    <row r="265" ht="15.75" customHeight="1">
      <c r="E265" s="94"/>
    </row>
    <row r="266" ht="15.75" customHeight="1">
      <c r="E266" s="94"/>
    </row>
    <row r="267" ht="15.75" customHeight="1">
      <c r="E267" s="94"/>
    </row>
    <row r="268" ht="15.75" customHeight="1">
      <c r="E268" s="94"/>
    </row>
    <row r="269" ht="15.75" customHeight="1">
      <c r="E269" s="94"/>
    </row>
    <row r="270" ht="15.75" customHeight="1">
      <c r="E270" s="94"/>
    </row>
    <row r="271" ht="15.75" customHeight="1">
      <c r="E271" s="94"/>
    </row>
    <row r="272" ht="15.75" customHeight="1">
      <c r="E272" s="94"/>
    </row>
    <row r="273" ht="15.75" customHeight="1">
      <c r="E273" s="94"/>
    </row>
    <row r="274" ht="15.75" customHeight="1">
      <c r="E274" s="94"/>
    </row>
    <row r="275" ht="15.75" customHeight="1">
      <c r="E275" s="94"/>
    </row>
    <row r="276" ht="15.75" customHeight="1">
      <c r="E276" s="94"/>
    </row>
    <row r="277" ht="15.75" customHeight="1">
      <c r="E277" s="94"/>
    </row>
    <row r="278" ht="15.75" customHeight="1">
      <c r="E278" s="94"/>
    </row>
    <row r="279" ht="15.75" customHeight="1">
      <c r="E279" s="94"/>
    </row>
    <row r="280" ht="15.75" customHeight="1">
      <c r="E280" s="94"/>
    </row>
    <row r="281" ht="15.75" customHeight="1">
      <c r="E281" s="94"/>
    </row>
    <row r="282" ht="15.75" customHeight="1">
      <c r="E282" s="94"/>
    </row>
    <row r="283" ht="15.75" customHeight="1">
      <c r="E283" s="94"/>
    </row>
    <row r="284" ht="15.75" customHeight="1">
      <c r="E284" s="94"/>
    </row>
    <row r="285" ht="15.75" customHeight="1">
      <c r="E285" s="94"/>
    </row>
    <row r="286" ht="15.75" customHeight="1">
      <c r="E286" s="94"/>
    </row>
    <row r="287" ht="15.75" customHeight="1">
      <c r="E287" s="94"/>
    </row>
    <row r="288" ht="15.75" customHeight="1">
      <c r="E288" s="94"/>
    </row>
    <row r="289" ht="15.75" customHeight="1">
      <c r="E289" s="94"/>
    </row>
    <row r="290" ht="15.75" customHeight="1">
      <c r="E290" s="94"/>
    </row>
    <row r="291" ht="15.75" customHeight="1">
      <c r="E291" s="94"/>
    </row>
    <row r="292" ht="15.75" customHeight="1">
      <c r="E292" s="94"/>
    </row>
    <row r="293" ht="15.75" customHeight="1">
      <c r="E293" s="94"/>
    </row>
    <row r="294" ht="15.75" customHeight="1">
      <c r="E294" s="94"/>
    </row>
    <row r="295" ht="15.75" customHeight="1">
      <c r="E295" s="94"/>
    </row>
    <row r="296" ht="15.75" customHeight="1">
      <c r="E296" s="94"/>
    </row>
    <row r="297" ht="15.75" customHeight="1">
      <c r="E297" s="94"/>
    </row>
    <row r="298" ht="15.75" customHeight="1">
      <c r="E298" s="94"/>
    </row>
    <row r="299" ht="15.75" customHeight="1">
      <c r="E299" s="94"/>
    </row>
    <row r="300" ht="15.75" customHeight="1">
      <c r="E300" s="94"/>
    </row>
    <row r="301" ht="15.75" customHeight="1">
      <c r="E301" s="94"/>
    </row>
    <row r="302" ht="15.75" customHeight="1">
      <c r="E302" s="94"/>
    </row>
    <row r="303" ht="15.75" customHeight="1">
      <c r="E303" s="94"/>
    </row>
    <row r="304" ht="15.75" customHeight="1">
      <c r="E304" s="94"/>
    </row>
    <row r="305" ht="15.75" customHeight="1">
      <c r="E305" s="94"/>
    </row>
    <row r="306" ht="15.75" customHeight="1">
      <c r="E306" s="94"/>
    </row>
    <row r="307" ht="15.75" customHeight="1">
      <c r="E307" s="94"/>
    </row>
    <row r="308" ht="15.75" customHeight="1">
      <c r="E308" s="94"/>
    </row>
    <row r="309" ht="15.75" customHeight="1">
      <c r="E309" s="94"/>
    </row>
    <row r="310" ht="15.75" customHeight="1">
      <c r="E310" s="94"/>
    </row>
    <row r="311" ht="15.75" customHeight="1">
      <c r="E311" s="94"/>
    </row>
    <row r="312" ht="15.75" customHeight="1">
      <c r="E312" s="94"/>
    </row>
    <row r="313" ht="15.75" customHeight="1">
      <c r="E313" s="94"/>
    </row>
    <row r="314" ht="15.75" customHeight="1">
      <c r="E314" s="94"/>
    </row>
    <row r="315" ht="15.75" customHeight="1">
      <c r="E315" s="94"/>
    </row>
    <row r="316" ht="15.75" customHeight="1">
      <c r="E316" s="94"/>
    </row>
    <row r="317" ht="15.75" customHeight="1">
      <c r="E317" s="94"/>
    </row>
    <row r="318" ht="15.75" customHeight="1">
      <c r="E318" s="94"/>
    </row>
    <row r="319" ht="15.75" customHeight="1">
      <c r="E319" s="94"/>
    </row>
    <row r="320" ht="15.75" customHeight="1">
      <c r="E320" s="94"/>
    </row>
    <row r="321" ht="15.75" customHeight="1">
      <c r="E321" s="94"/>
    </row>
    <row r="322" ht="15.75" customHeight="1">
      <c r="E322" s="94"/>
    </row>
    <row r="323" ht="15.75" customHeight="1">
      <c r="E323" s="94"/>
    </row>
    <row r="324" ht="15.75" customHeight="1">
      <c r="E324" s="94"/>
    </row>
    <row r="325" ht="15.75" customHeight="1">
      <c r="E325" s="94"/>
    </row>
    <row r="326" ht="15.75" customHeight="1">
      <c r="E326" s="94"/>
    </row>
    <row r="327" ht="15.75" customHeight="1">
      <c r="E327" s="94"/>
    </row>
    <row r="328" ht="15.75" customHeight="1">
      <c r="E328" s="94"/>
    </row>
    <row r="329" ht="15.75" customHeight="1">
      <c r="E329" s="94"/>
    </row>
    <row r="330" ht="15.75" customHeight="1">
      <c r="E330" s="94"/>
    </row>
    <row r="331" ht="15.75" customHeight="1">
      <c r="E331" s="94"/>
    </row>
    <row r="332" ht="15.75" customHeight="1">
      <c r="E332" s="94"/>
    </row>
    <row r="333" ht="15.75" customHeight="1">
      <c r="E333" s="94"/>
    </row>
    <row r="334" ht="15.75" customHeight="1">
      <c r="E334" s="94"/>
    </row>
    <row r="335" ht="15.75" customHeight="1">
      <c r="E335" s="94"/>
    </row>
    <row r="336" ht="15.75" customHeight="1">
      <c r="E336" s="94"/>
    </row>
    <row r="337" ht="15.75" customHeight="1">
      <c r="E337" s="94"/>
    </row>
    <row r="338" ht="15.75" customHeight="1">
      <c r="E338" s="94"/>
    </row>
    <row r="339" ht="15.75" customHeight="1">
      <c r="E339" s="94"/>
    </row>
    <row r="340" ht="15.75" customHeight="1">
      <c r="E340" s="94"/>
    </row>
    <row r="341" ht="15.75" customHeight="1">
      <c r="E341" s="94"/>
    </row>
    <row r="342" ht="15.75" customHeight="1">
      <c r="E342" s="94"/>
    </row>
    <row r="343" ht="15.75" customHeight="1">
      <c r="E343" s="94"/>
    </row>
    <row r="344" ht="15.75" customHeight="1">
      <c r="E344" s="94"/>
    </row>
    <row r="345" ht="15.75" customHeight="1">
      <c r="E345" s="94"/>
    </row>
    <row r="346" ht="15.75" customHeight="1">
      <c r="E346" s="94"/>
    </row>
    <row r="347" ht="15.75" customHeight="1">
      <c r="E347" s="94"/>
    </row>
    <row r="348" ht="15.75" customHeight="1">
      <c r="E348" s="94"/>
    </row>
    <row r="349" ht="15.75" customHeight="1">
      <c r="E349" s="94"/>
    </row>
    <row r="350" ht="15.75" customHeight="1">
      <c r="E350" s="94"/>
    </row>
    <row r="351" ht="15.75" customHeight="1">
      <c r="E351" s="94"/>
    </row>
    <row r="352" ht="15.75" customHeight="1">
      <c r="E352" s="94"/>
    </row>
    <row r="353" ht="15.75" customHeight="1">
      <c r="E353" s="94"/>
    </row>
    <row r="354" ht="15.75" customHeight="1">
      <c r="E354" s="94"/>
    </row>
    <row r="355" ht="15.75" customHeight="1">
      <c r="E355" s="94"/>
    </row>
    <row r="356" ht="15.75" customHeight="1">
      <c r="E356" s="94"/>
    </row>
    <row r="357" ht="15.75" customHeight="1">
      <c r="E357" s="94"/>
    </row>
    <row r="358" ht="15.75" customHeight="1">
      <c r="E358" s="94"/>
    </row>
    <row r="359" ht="15.75" customHeight="1">
      <c r="E359" s="94"/>
    </row>
    <row r="360" ht="15.75" customHeight="1">
      <c r="E360" s="94"/>
    </row>
    <row r="361" ht="15.75" customHeight="1">
      <c r="E361" s="94"/>
    </row>
    <row r="362" ht="15.75" customHeight="1">
      <c r="E362" s="94"/>
    </row>
    <row r="363" ht="15.75" customHeight="1">
      <c r="E363" s="94"/>
    </row>
    <row r="364" ht="15.75" customHeight="1">
      <c r="E364" s="94"/>
    </row>
    <row r="365" ht="15.75" customHeight="1">
      <c r="E365" s="94"/>
    </row>
    <row r="366" ht="15.75" customHeight="1">
      <c r="E366" s="94"/>
    </row>
    <row r="367" ht="15.75" customHeight="1">
      <c r="E367" s="94"/>
    </row>
    <row r="368" ht="15.75" customHeight="1">
      <c r="E368" s="94"/>
    </row>
    <row r="369" ht="15.75" customHeight="1">
      <c r="E369" s="94"/>
    </row>
    <row r="370" ht="15.75" customHeight="1">
      <c r="E370" s="94"/>
    </row>
    <row r="371" ht="15.75" customHeight="1">
      <c r="E371" s="94"/>
    </row>
    <row r="372" ht="15.75" customHeight="1">
      <c r="E372" s="94"/>
    </row>
    <row r="373" ht="15.75" customHeight="1">
      <c r="E373" s="94"/>
    </row>
    <row r="374" ht="15.75" customHeight="1">
      <c r="E374" s="94"/>
    </row>
    <row r="375" ht="15.75" customHeight="1">
      <c r="E375" s="94"/>
    </row>
    <row r="376" ht="15.75" customHeight="1">
      <c r="E376" s="94"/>
    </row>
    <row r="377" ht="15.75" customHeight="1">
      <c r="E377" s="94"/>
    </row>
    <row r="378" ht="15.75" customHeight="1">
      <c r="E378" s="94"/>
    </row>
    <row r="379" ht="15.75" customHeight="1">
      <c r="E379" s="94"/>
    </row>
    <row r="380" ht="15.75" customHeight="1">
      <c r="E380" s="94"/>
    </row>
    <row r="381" ht="15.75" customHeight="1">
      <c r="E381" s="94"/>
    </row>
    <row r="382" ht="15.75" customHeight="1">
      <c r="E382" s="94"/>
    </row>
    <row r="383" ht="15.75" customHeight="1">
      <c r="E383" s="94"/>
    </row>
    <row r="384" ht="15.75" customHeight="1">
      <c r="E384" s="94"/>
    </row>
    <row r="385" ht="15.75" customHeight="1">
      <c r="E385" s="94"/>
    </row>
    <row r="386" ht="15.75" customHeight="1">
      <c r="E386" s="94"/>
    </row>
    <row r="387" ht="15.75" customHeight="1">
      <c r="E387" s="94"/>
    </row>
    <row r="388" ht="15.75" customHeight="1">
      <c r="E388" s="94"/>
    </row>
    <row r="389" ht="15.75" customHeight="1">
      <c r="E389" s="94"/>
    </row>
    <row r="390" ht="15.75" customHeight="1">
      <c r="E390" s="94"/>
    </row>
    <row r="391" ht="15.75" customHeight="1">
      <c r="E391" s="94"/>
    </row>
    <row r="392" ht="15.75" customHeight="1">
      <c r="E392" s="94"/>
    </row>
    <row r="393" ht="15.75" customHeight="1">
      <c r="E393" s="94"/>
    </row>
    <row r="394" ht="15.75" customHeight="1">
      <c r="E394" s="94"/>
    </row>
    <row r="395" ht="15.75" customHeight="1">
      <c r="E395" s="94"/>
    </row>
    <row r="396" ht="15.75" customHeight="1">
      <c r="E396" s="94"/>
    </row>
    <row r="397" ht="15.75" customHeight="1">
      <c r="E397" s="94"/>
    </row>
    <row r="398" ht="15.75" customHeight="1">
      <c r="E398" s="94"/>
    </row>
    <row r="399" ht="15.75" customHeight="1">
      <c r="E399" s="94"/>
    </row>
    <row r="400" ht="15.75" customHeight="1">
      <c r="E400" s="94"/>
    </row>
    <row r="401" ht="15.75" customHeight="1">
      <c r="E401" s="94"/>
    </row>
    <row r="402" ht="15.75" customHeight="1">
      <c r="E402" s="94"/>
    </row>
    <row r="403" ht="15.75" customHeight="1">
      <c r="E403" s="94"/>
    </row>
    <row r="404" ht="15.75" customHeight="1">
      <c r="E404" s="94"/>
    </row>
    <row r="405" ht="15.75" customHeight="1">
      <c r="E405" s="94"/>
    </row>
    <row r="406" ht="15.75" customHeight="1">
      <c r="E406" s="94"/>
    </row>
    <row r="407" ht="15.75" customHeight="1">
      <c r="E407" s="94"/>
    </row>
    <row r="408" ht="15.75" customHeight="1">
      <c r="E408" s="94"/>
    </row>
    <row r="409" ht="15.75" customHeight="1">
      <c r="E409" s="94"/>
    </row>
    <row r="410" ht="15.75" customHeight="1">
      <c r="E410" s="94"/>
    </row>
    <row r="411" ht="15.75" customHeight="1">
      <c r="E411" s="94"/>
    </row>
    <row r="412" ht="15.75" customHeight="1">
      <c r="E412" s="94"/>
    </row>
    <row r="413" ht="15.75" customHeight="1">
      <c r="E413" s="94"/>
    </row>
    <row r="414" ht="15.75" customHeight="1">
      <c r="E414" s="94"/>
    </row>
    <row r="415" ht="15.75" customHeight="1">
      <c r="E415" s="94"/>
    </row>
    <row r="416" ht="15.75" customHeight="1">
      <c r="E416" s="94"/>
    </row>
    <row r="417" ht="15.75" customHeight="1">
      <c r="E417" s="94"/>
    </row>
    <row r="418" ht="15.75" customHeight="1">
      <c r="E418" s="94"/>
    </row>
    <row r="419" ht="15.75" customHeight="1">
      <c r="E419" s="94"/>
    </row>
    <row r="420" ht="15.75" customHeight="1">
      <c r="E420" s="94"/>
    </row>
    <row r="421" ht="15.75" customHeight="1">
      <c r="E421" s="94"/>
    </row>
    <row r="422" ht="15.75" customHeight="1">
      <c r="E422" s="94"/>
    </row>
    <row r="423" ht="15.75" customHeight="1">
      <c r="E423" s="94"/>
    </row>
    <row r="424" ht="15.75" customHeight="1">
      <c r="E424" s="94"/>
    </row>
    <row r="425" ht="15.75" customHeight="1">
      <c r="E425" s="94"/>
    </row>
    <row r="426" ht="15.75" customHeight="1">
      <c r="E426" s="94"/>
    </row>
    <row r="427" ht="15.75" customHeight="1">
      <c r="E427" s="94"/>
    </row>
    <row r="428" ht="15.75" customHeight="1">
      <c r="E428" s="94"/>
    </row>
    <row r="429" ht="15.75" customHeight="1">
      <c r="E429" s="94"/>
    </row>
    <row r="430" ht="15.75" customHeight="1">
      <c r="E430" s="94"/>
    </row>
    <row r="431" ht="15.75" customHeight="1">
      <c r="E431" s="94"/>
    </row>
    <row r="432" ht="15.75" customHeight="1">
      <c r="E432" s="94"/>
    </row>
    <row r="433" ht="15.75" customHeight="1">
      <c r="E433" s="94"/>
    </row>
    <row r="434" ht="15.75" customHeight="1">
      <c r="E434" s="94"/>
    </row>
    <row r="435" ht="15.75" customHeight="1">
      <c r="E435" s="94"/>
    </row>
    <row r="436" ht="15.75" customHeight="1">
      <c r="E436" s="94"/>
    </row>
    <row r="437" ht="15.75" customHeight="1">
      <c r="E437" s="94"/>
    </row>
    <row r="438" ht="15.75" customHeight="1">
      <c r="E438" s="94"/>
    </row>
    <row r="439" ht="15.75" customHeight="1">
      <c r="E439" s="94"/>
    </row>
    <row r="440" ht="15.75" customHeight="1">
      <c r="E440" s="94"/>
    </row>
    <row r="441" ht="15.75" customHeight="1">
      <c r="E441" s="94"/>
    </row>
    <row r="442" ht="15.75" customHeight="1">
      <c r="E442" s="94"/>
    </row>
    <row r="443" ht="15.75" customHeight="1">
      <c r="E443" s="94"/>
    </row>
    <row r="444" ht="15.75" customHeight="1">
      <c r="E444" s="94"/>
    </row>
    <row r="445" ht="15.75" customHeight="1">
      <c r="E445" s="94"/>
    </row>
    <row r="446" ht="15.75" customHeight="1">
      <c r="E446" s="94"/>
    </row>
    <row r="447" ht="15.75" customHeight="1">
      <c r="E447" s="94"/>
    </row>
    <row r="448" ht="15.75" customHeight="1">
      <c r="E448" s="94"/>
    </row>
    <row r="449" ht="15.75" customHeight="1">
      <c r="E449" s="94"/>
    </row>
    <row r="450" ht="15.75" customHeight="1">
      <c r="E450" s="94"/>
    </row>
    <row r="451" ht="15.75" customHeight="1">
      <c r="E451" s="94"/>
    </row>
    <row r="452" ht="15.75" customHeight="1">
      <c r="E452" s="94"/>
    </row>
    <row r="453" ht="15.75" customHeight="1">
      <c r="E453" s="94"/>
    </row>
    <row r="454" ht="15.75" customHeight="1">
      <c r="E454" s="94"/>
    </row>
    <row r="455" ht="15.75" customHeight="1">
      <c r="E455" s="94"/>
    </row>
    <row r="456" ht="15.75" customHeight="1">
      <c r="E456" s="94"/>
    </row>
    <row r="457" ht="15.75" customHeight="1">
      <c r="E457" s="94"/>
    </row>
    <row r="458" ht="15.75" customHeight="1">
      <c r="E458" s="94"/>
    </row>
    <row r="459" ht="15.75" customHeight="1">
      <c r="E459" s="94"/>
    </row>
    <row r="460" ht="15.75" customHeight="1">
      <c r="E460" s="94"/>
    </row>
    <row r="461" ht="15.75" customHeight="1">
      <c r="E461" s="94"/>
    </row>
    <row r="462" ht="15.75" customHeight="1">
      <c r="E462" s="94"/>
    </row>
    <row r="463" ht="15.75" customHeight="1">
      <c r="E463" s="94"/>
    </row>
    <row r="464" ht="15.75" customHeight="1">
      <c r="E464" s="94"/>
    </row>
    <row r="465" ht="15.75" customHeight="1">
      <c r="E465" s="94"/>
    </row>
    <row r="466" ht="15.75" customHeight="1">
      <c r="E466" s="94"/>
    </row>
    <row r="467" ht="15.75" customHeight="1">
      <c r="E467" s="94"/>
    </row>
    <row r="468" ht="15.75" customHeight="1">
      <c r="E468" s="94"/>
    </row>
    <row r="469" ht="15.75" customHeight="1">
      <c r="E469" s="94"/>
    </row>
    <row r="470" ht="15.75" customHeight="1">
      <c r="E470" s="94"/>
    </row>
    <row r="471" ht="15.75" customHeight="1">
      <c r="E471" s="94"/>
    </row>
    <row r="472" ht="15.75" customHeight="1">
      <c r="E472" s="94"/>
    </row>
    <row r="473" ht="15.75" customHeight="1">
      <c r="E473" s="94"/>
    </row>
    <row r="474" ht="15.75" customHeight="1">
      <c r="E474" s="94"/>
    </row>
    <row r="475" ht="15.75" customHeight="1">
      <c r="E475" s="94"/>
    </row>
    <row r="476" ht="15.75" customHeight="1">
      <c r="E476" s="94"/>
    </row>
    <row r="477" ht="15.75" customHeight="1">
      <c r="E477" s="94"/>
    </row>
    <row r="478" ht="15.75" customHeight="1">
      <c r="E478" s="94"/>
    </row>
    <row r="479" ht="15.75" customHeight="1">
      <c r="E479" s="94"/>
    </row>
    <row r="480" ht="15.75" customHeight="1">
      <c r="E480" s="94"/>
    </row>
    <row r="481" ht="15.75" customHeight="1">
      <c r="E481" s="94"/>
    </row>
    <row r="482" ht="15.75" customHeight="1">
      <c r="E482" s="94"/>
    </row>
    <row r="483" ht="15.75" customHeight="1">
      <c r="E483" s="94"/>
    </row>
    <row r="484" ht="15.75" customHeight="1">
      <c r="E484" s="94"/>
    </row>
    <row r="485" ht="15.75" customHeight="1">
      <c r="E485" s="94"/>
    </row>
    <row r="486" ht="15.75" customHeight="1">
      <c r="E486" s="94"/>
    </row>
    <row r="487" ht="15.75" customHeight="1">
      <c r="E487" s="94"/>
    </row>
    <row r="488" ht="15.75" customHeight="1">
      <c r="E488" s="94"/>
    </row>
    <row r="489" ht="15.75" customHeight="1">
      <c r="E489" s="94"/>
    </row>
    <row r="490" ht="15.75" customHeight="1">
      <c r="E490" s="94"/>
    </row>
    <row r="491" ht="15.75" customHeight="1">
      <c r="E491" s="94"/>
    </row>
    <row r="492" ht="15.75" customHeight="1">
      <c r="E492" s="94"/>
    </row>
    <row r="493" ht="15.75" customHeight="1">
      <c r="E493" s="94"/>
    </row>
    <row r="494" ht="15.75" customHeight="1">
      <c r="E494" s="94"/>
    </row>
    <row r="495" ht="15.75" customHeight="1">
      <c r="E495" s="94"/>
    </row>
    <row r="496" ht="15.75" customHeight="1">
      <c r="E496" s="94"/>
    </row>
    <row r="497" ht="15.75" customHeight="1">
      <c r="E497" s="94"/>
    </row>
    <row r="498" ht="15.75" customHeight="1">
      <c r="E498" s="94"/>
    </row>
    <row r="499" ht="15.75" customHeight="1">
      <c r="E499" s="94"/>
    </row>
    <row r="500" ht="15.75" customHeight="1">
      <c r="E500" s="94"/>
    </row>
    <row r="501" ht="15.75" customHeight="1">
      <c r="E501" s="94"/>
    </row>
    <row r="502" ht="15.75" customHeight="1">
      <c r="E502" s="94"/>
    </row>
    <row r="503" ht="15.75" customHeight="1">
      <c r="E503" s="94"/>
    </row>
    <row r="504" ht="15.75" customHeight="1">
      <c r="E504" s="94"/>
    </row>
    <row r="505" ht="15.75" customHeight="1">
      <c r="E505" s="94"/>
    </row>
    <row r="506" ht="15.75" customHeight="1">
      <c r="E506" s="94"/>
    </row>
    <row r="507" ht="15.75" customHeight="1">
      <c r="E507" s="94"/>
    </row>
    <row r="508" ht="15.75" customHeight="1">
      <c r="E508" s="94"/>
    </row>
    <row r="509" ht="15.75" customHeight="1">
      <c r="E509" s="94"/>
    </row>
    <row r="510" ht="15.75" customHeight="1">
      <c r="E510" s="94"/>
    </row>
    <row r="511" ht="15.75" customHeight="1">
      <c r="E511" s="94"/>
    </row>
    <row r="512" ht="15.75" customHeight="1">
      <c r="E512" s="94"/>
    </row>
    <row r="513" ht="15.75" customHeight="1">
      <c r="E513" s="94"/>
    </row>
    <row r="514" ht="15.75" customHeight="1">
      <c r="E514" s="94"/>
    </row>
    <row r="515" ht="15.75" customHeight="1">
      <c r="E515" s="94"/>
    </row>
    <row r="516" ht="15.75" customHeight="1">
      <c r="E516" s="94"/>
    </row>
    <row r="517" ht="15.75" customHeight="1">
      <c r="E517" s="94"/>
    </row>
    <row r="518" ht="15.75" customHeight="1">
      <c r="E518" s="94"/>
    </row>
    <row r="519" ht="15.75" customHeight="1">
      <c r="E519" s="94"/>
    </row>
    <row r="520" ht="15.75" customHeight="1">
      <c r="E520" s="94"/>
    </row>
    <row r="521" ht="15.75" customHeight="1">
      <c r="E521" s="94"/>
    </row>
    <row r="522" ht="15.75" customHeight="1">
      <c r="E522" s="94"/>
    </row>
    <row r="523" ht="15.75" customHeight="1">
      <c r="E523" s="94"/>
    </row>
    <row r="524" ht="15.75" customHeight="1">
      <c r="E524" s="94"/>
    </row>
    <row r="525" ht="15.75" customHeight="1">
      <c r="E525" s="94"/>
    </row>
    <row r="526" ht="15.75" customHeight="1">
      <c r="E526" s="94"/>
    </row>
    <row r="527" ht="15.75" customHeight="1">
      <c r="E527" s="94"/>
    </row>
    <row r="528" ht="15.75" customHeight="1">
      <c r="E528" s="94"/>
    </row>
    <row r="529" ht="15.75" customHeight="1">
      <c r="E529" s="94"/>
    </row>
    <row r="530" ht="15.75" customHeight="1">
      <c r="E530" s="94"/>
    </row>
    <row r="531" ht="15.75" customHeight="1">
      <c r="E531" s="94"/>
    </row>
    <row r="532" ht="15.75" customHeight="1">
      <c r="E532" s="94"/>
    </row>
    <row r="533" ht="15.75" customHeight="1">
      <c r="E533" s="94"/>
    </row>
    <row r="534" ht="15.75" customHeight="1">
      <c r="E534" s="94"/>
    </row>
    <row r="535" ht="15.75" customHeight="1">
      <c r="E535" s="94"/>
    </row>
    <row r="536" ht="15.75" customHeight="1">
      <c r="E536" s="94"/>
    </row>
    <row r="537" ht="15.75" customHeight="1">
      <c r="E537" s="94"/>
    </row>
    <row r="538" ht="15.75" customHeight="1">
      <c r="E538" s="94"/>
    </row>
    <row r="539" ht="15.75" customHeight="1">
      <c r="E539" s="94"/>
    </row>
    <row r="540" ht="15.75" customHeight="1">
      <c r="E540" s="94"/>
    </row>
    <row r="541" ht="15.75" customHeight="1">
      <c r="E541" s="94"/>
    </row>
    <row r="542" ht="15.75" customHeight="1">
      <c r="E542" s="94"/>
    </row>
    <row r="543" ht="15.75" customHeight="1">
      <c r="E543" s="94"/>
    </row>
    <row r="544" ht="15.75" customHeight="1">
      <c r="E544" s="94"/>
    </row>
    <row r="545" ht="15.75" customHeight="1">
      <c r="E545" s="94"/>
    </row>
    <row r="546" ht="15.75" customHeight="1">
      <c r="E546" s="94"/>
    </row>
    <row r="547" ht="15.75" customHeight="1">
      <c r="E547" s="94"/>
    </row>
    <row r="548" ht="15.75" customHeight="1">
      <c r="E548" s="94"/>
    </row>
    <row r="549" ht="15.75" customHeight="1">
      <c r="E549" s="94"/>
    </row>
    <row r="550" ht="15.75" customHeight="1">
      <c r="E550" s="94"/>
    </row>
    <row r="551" ht="15.75" customHeight="1">
      <c r="E551" s="94"/>
    </row>
    <row r="552" ht="15.75" customHeight="1">
      <c r="E552" s="94"/>
    </row>
    <row r="553" ht="15.75" customHeight="1">
      <c r="E553" s="94"/>
    </row>
    <row r="554" ht="15.75" customHeight="1">
      <c r="E554" s="94"/>
    </row>
    <row r="555" ht="15.75" customHeight="1">
      <c r="E555" s="94"/>
    </row>
    <row r="556" ht="15.75" customHeight="1">
      <c r="E556" s="94"/>
    </row>
    <row r="557" ht="15.75" customHeight="1">
      <c r="E557" s="94"/>
    </row>
    <row r="558" ht="15.75" customHeight="1">
      <c r="E558" s="94"/>
    </row>
    <row r="559" ht="15.75" customHeight="1">
      <c r="E559" s="94"/>
    </row>
    <row r="560" ht="15.75" customHeight="1">
      <c r="E560" s="94"/>
    </row>
    <row r="561" ht="15.75" customHeight="1">
      <c r="E561" s="94"/>
    </row>
    <row r="562" ht="15.75" customHeight="1">
      <c r="E562" s="94"/>
    </row>
    <row r="563" ht="15.75" customHeight="1">
      <c r="E563" s="94"/>
    </row>
    <row r="564" ht="15.75" customHeight="1">
      <c r="E564" s="94"/>
    </row>
    <row r="565" ht="15.75" customHeight="1">
      <c r="E565" s="94"/>
    </row>
    <row r="566" ht="15.75" customHeight="1">
      <c r="E566" s="94"/>
    </row>
    <row r="567" ht="15.75" customHeight="1">
      <c r="E567" s="94"/>
    </row>
    <row r="568" ht="15.75" customHeight="1">
      <c r="E568" s="94"/>
    </row>
    <row r="569" ht="15.75" customHeight="1">
      <c r="E569" s="94"/>
    </row>
    <row r="570" ht="15.75" customHeight="1">
      <c r="E570" s="94"/>
    </row>
    <row r="571" ht="15.75" customHeight="1">
      <c r="E571" s="94"/>
    </row>
    <row r="572" ht="15.75" customHeight="1">
      <c r="E572" s="94"/>
    </row>
    <row r="573" ht="15.75" customHeight="1">
      <c r="E573" s="94"/>
    </row>
    <row r="574" ht="15.75" customHeight="1">
      <c r="E574" s="94"/>
    </row>
    <row r="575" ht="15.75" customHeight="1">
      <c r="E575" s="94"/>
    </row>
    <row r="576" ht="15.75" customHeight="1">
      <c r="E576" s="94"/>
    </row>
    <row r="577" ht="15.75" customHeight="1">
      <c r="E577" s="94"/>
    </row>
    <row r="578" ht="15.75" customHeight="1">
      <c r="E578" s="94"/>
    </row>
    <row r="579" ht="15.75" customHeight="1">
      <c r="E579" s="94"/>
    </row>
    <row r="580" ht="15.75" customHeight="1">
      <c r="E580" s="94"/>
    </row>
    <row r="581" ht="15.75" customHeight="1">
      <c r="E581" s="94"/>
    </row>
    <row r="582" ht="15.75" customHeight="1">
      <c r="E582" s="94"/>
    </row>
    <row r="583" ht="15.75" customHeight="1">
      <c r="E583" s="94"/>
    </row>
    <row r="584" ht="15.75" customHeight="1">
      <c r="E584" s="94"/>
    </row>
    <row r="585" ht="15.75" customHeight="1">
      <c r="E585" s="94"/>
    </row>
    <row r="586" ht="15.75" customHeight="1">
      <c r="E586" s="94"/>
    </row>
    <row r="587" ht="15.75" customHeight="1">
      <c r="E587" s="94"/>
    </row>
    <row r="588" ht="15.75" customHeight="1">
      <c r="E588" s="94"/>
    </row>
    <row r="589" ht="15.75" customHeight="1">
      <c r="E589" s="94"/>
    </row>
    <row r="590" ht="15.75" customHeight="1">
      <c r="E590" s="94"/>
    </row>
    <row r="591" ht="15.75" customHeight="1">
      <c r="E591" s="94"/>
    </row>
    <row r="592" ht="15.75" customHeight="1">
      <c r="E592" s="94"/>
    </row>
    <row r="593" ht="15.75" customHeight="1">
      <c r="E593" s="94"/>
    </row>
    <row r="594" ht="15.75" customHeight="1">
      <c r="E594" s="94"/>
    </row>
    <row r="595" ht="15.75" customHeight="1">
      <c r="E595" s="94"/>
    </row>
    <row r="596" ht="15.75" customHeight="1">
      <c r="E596" s="94"/>
    </row>
    <row r="597" ht="15.75" customHeight="1">
      <c r="E597" s="94"/>
    </row>
    <row r="598" ht="15.75" customHeight="1">
      <c r="E598" s="94"/>
    </row>
    <row r="599" ht="15.75" customHeight="1">
      <c r="E599" s="94"/>
    </row>
    <row r="600" ht="15.75" customHeight="1">
      <c r="E600" s="94"/>
    </row>
    <row r="601" ht="15.75" customHeight="1">
      <c r="E601" s="94"/>
    </row>
    <row r="602" ht="15.75" customHeight="1">
      <c r="E602" s="94"/>
    </row>
    <row r="603" ht="15.75" customHeight="1">
      <c r="E603" s="94"/>
    </row>
    <row r="604" ht="15.75" customHeight="1">
      <c r="E604" s="94"/>
    </row>
    <row r="605" ht="15.75" customHeight="1">
      <c r="E605" s="94"/>
    </row>
    <row r="606" ht="15.75" customHeight="1">
      <c r="E606" s="94"/>
    </row>
    <row r="607" ht="15.75" customHeight="1">
      <c r="E607" s="94"/>
    </row>
    <row r="608" ht="15.75" customHeight="1">
      <c r="E608" s="94"/>
    </row>
    <row r="609" ht="15.75" customHeight="1">
      <c r="E609" s="94"/>
    </row>
    <row r="610" ht="15.75" customHeight="1">
      <c r="E610" s="94"/>
    </row>
    <row r="611" ht="15.75" customHeight="1">
      <c r="E611" s="94"/>
    </row>
    <row r="612" ht="15.75" customHeight="1">
      <c r="E612" s="94"/>
    </row>
    <row r="613" ht="15.75" customHeight="1">
      <c r="E613" s="94"/>
    </row>
    <row r="614" ht="15.75" customHeight="1">
      <c r="E614" s="94"/>
    </row>
    <row r="615" ht="15.75" customHeight="1">
      <c r="E615" s="94"/>
    </row>
    <row r="616" ht="15.75" customHeight="1">
      <c r="E616" s="94"/>
    </row>
    <row r="617" ht="15.75" customHeight="1">
      <c r="E617" s="94"/>
    </row>
    <row r="618" ht="15.75" customHeight="1">
      <c r="E618" s="94"/>
    </row>
    <row r="619" ht="15.75" customHeight="1">
      <c r="E619" s="94"/>
    </row>
    <row r="620" ht="15.75" customHeight="1">
      <c r="E620" s="94"/>
    </row>
    <row r="621" ht="15.75" customHeight="1">
      <c r="E621" s="94"/>
    </row>
    <row r="622" ht="15.75" customHeight="1">
      <c r="E622" s="94"/>
    </row>
    <row r="623" ht="15.75" customHeight="1">
      <c r="E623" s="94"/>
    </row>
    <row r="624" ht="15.75" customHeight="1">
      <c r="E624" s="94"/>
    </row>
    <row r="625" ht="15.75" customHeight="1">
      <c r="E625" s="94"/>
    </row>
    <row r="626" ht="15.75" customHeight="1">
      <c r="E626" s="94"/>
    </row>
    <row r="627" ht="15.75" customHeight="1">
      <c r="E627" s="94"/>
    </row>
    <row r="628" ht="15.75" customHeight="1">
      <c r="E628" s="94"/>
    </row>
    <row r="629" ht="15.75" customHeight="1">
      <c r="E629" s="94"/>
    </row>
    <row r="630" ht="15.75" customHeight="1">
      <c r="E630" s="94"/>
    </row>
    <row r="631" ht="15.75" customHeight="1">
      <c r="E631" s="94"/>
    </row>
    <row r="632" ht="15.75" customHeight="1">
      <c r="E632" s="94"/>
    </row>
    <row r="633" ht="15.75" customHeight="1">
      <c r="E633" s="94"/>
    </row>
    <row r="634" ht="15.75" customHeight="1">
      <c r="E634" s="94"/>
    </row>
    <row r="635" ht="15.75" customHeight="1">
      <c r="E635" s="94"/>
    </row>
    <row r="636" ht="15.75" customHeight="1">
      <c r="E636" s="94"/>
    </row>
    <row r="637" ht="15.75" customHeight="1">
      <c r="E637" s="94"/>
    </row>
    <row r="638" ht="15.75" customHeight="1">
      <c r="E638" s="94"/>
    </row>
    <row r="639" ht="15.75" customHeight="1">
      <c r="E639" s="94"/>
    </row>
    <row r="640" ht="15.75" customHeight="1">
      <c r="E640" s="94"/>
    </row>
    <row r="641" ht="15.75" customHeight="1">
      <c r="E641" s="94"/>
    </row>
    <row r="642" ht="15.75" customHeight="1">
      <c r="E642" s="94"/>
    </row>
    <row r="643" ht="15.75" customHeight="1">
      <c r="E643" s="94"/>
    </row>
    <row r="644" ht="15.75" customHeight="1">
      <c r="E644" s="94"/>
    </row>
    <row r="645" ht="15.75" customHeight="1">
      <c r="E645" s="94"/>
    </row>
    <row r="646" ht="15.75" customHeight="1">
      <c r="E646" s="94"/>
    </row>
    <row r="647" ht="15.75" customHeight="1">
      <c r="E647" s="94"/>
    </row>
    <row r="648" ht="15.75" customHeight="1">
      <c r="E648" s="94"/>
    </row>
    <row r="649" ht="15.75" customHeight="1">
      <c r="E649" s="94"/>
    </row>
    <row r="650" ht="15.75" customHeight="1">
      <c r="E650" s="94"/>
    </row>
    <row r="651" ht="15.75" customHeight="1">
      <c r="E651" s="94"/>
    </row>
    <row r="652" ht="15.75" customHeight="1">
      <c r="E652" s="94"/>
    </row>
    <row r="653" ht="15.75" customHeight="1">
      <c r="E653" s="94"/>
    </row>
    <row r="654" ht="15.75" customHeight="1">
      <c r="E654" s="94"/>
    </row>
    <row r="655" ht="15.75" customHeight="1">
      <c r="E655" s="94"/>
    </row>
    <row r="656" ht="15.75" customHeight="1">
      <c r="E656" s="94"/>
    </row>
    <row r="657" ht="15.75" customHeight="1">
      <c r="E657" s="94"/>
    </row>
    <row r="658" ht="15.75" customHeight="1">
      <c r="E658" s="94"/>
    </row>
    <row r="659" ht="15.75" customHeight="1">
      <c r="E659" s="94"/>
    </row>
    <row r="660" ht="15.75" customHeight="1">
      <c r="E660" s="94"/>
    </row>
    <row r="661" ht="15.75" customHeight="1">
      <c r="E661" s="94"/>
    </row>
    <row r="662" ht="15.75" customHeight="1">
      <c r="E662" s="94"/>
    </row>
    <row r="663" ht="15.75" customHeight="1">
      <c r="E663" s="94"/>
    </row>
    <row r="664" ht="15.75" customHeight="1">
      <c r="E664" s="94"/>
    </row>
    <row r="665" ht="15.75" customHeight="1">
      <c r="E665" s="94"/>
    </row>
    <row r="666" ht="15.75" customHeight="1">
      <c r="E666" s="94"/>
    </row>
    <row r="667" ht="15.75" customHeight="1">
      <c r="E667" s="94"/>
    </row>
    <row r="668" ht="15.75" customHeight="1">
      <c r="E668" s="94"/>
    </row>
    <row r="669" ht="15.75" customHeight="1">
      <c r="E669" s="94"/>
    </row>
    <row r="670" ht="15.75" customHeight="1">
      <c r="E670" s="94"/>
    </row>
    <row r="671" ht="15.75" customHeight="1">
      <c r="E671" s="94"/>
    </row>
    <row r="672" ht="15.75" customHeight="1">
      <c r="E672" s="94"/>
    </row>
    <row r="673" ht="15.75" customHeight="1">
      <c r="E673" s="94"/>
    </row>
    <row r="674" ht="15.75" customHeight="1">
      <c r="E674" s="94"/>
    </row>
    <row r="675" ht="15.75" customHeight="1">
      <c r="E675" s="94"/>
    </row>
    <row r="676" ht="15.75" customHeight="1">
      <c r="E676" s="94"/>
    </row>
    <row r="677" ht="15.75" customHeight="1">
      <c r="E677" s="94"/>
    </row>
    <row r="678" ht="15.75" customHeight="1">
      <c r="E678" s="94"/>
    </row>
    <row r="679" ht="15.75" customHeight="1">
      <c r="E679" s="94"/>
    </row>
    <row r="680" ht="15.75" customHeight="1">
      <c r="E680" s="94"/>
    </row>
    <row r="681" ht="15.75" customHeight="1">
      <c r="E681" s="94"/>
    </row>
    <row r="682" ht="15.75" customHeight="1">
      <c r="E682" s="94"/>
    </row>
    <row r="683" ht="15.75" customHeight="1">
      <c r="E683" s="94"/>
    </row>
    <row r="684" ht="15.75" customHeight="1">
      <c r="E684" s="94"/>
    </row>
    <row r="685" ht="15.75" customHeight="1">
      <c r="E685" s="94"/>
    </row>
    <row r="686" ht="15.75" customHeight="1">
      <c r="E686" s="94"/>
    </row>
    <row r="687" ht="15.75" customHeight="1">
      <c r="E687" s="94"/>
    </row>
    <row r="688" ht="15.75" customHeight="1">
      <c r="E688" s="94"/>
    </row>
    <row r="689" ht="15.75" customHeight="1">
      <c r="E689" s="94"/>
    </row>
    <row r="690" ht="15.75" customHeight="1">
      <c r="E690" s="94"/>
    </row>
    <row r="691" ht="15.75" customHeight="1">
      <c r="E691" s="94"/>
    </row>
    <row r="692" ht="15.75" customHeight="1">
      <c r="E692" s="94"/>
    </row>
    <row r="693" ht="15.75" customHeight="1">
      <c r="E693" s="94"/>
    </row>
    <row r="694" ht="15.75" customHeight="1">
      <c r="E694" s="94"/>
    </row>
    <row r="695" ht="15.75" customHeight="1">
      <c r="E695" s="94"/>
    </row>
    <row r="696" ht="15.75" customHeight="1">
      <c r="E696" s="94"/>
    </row>
    <row r="697" ht="15.75" customHeight="1">
      <c r="E697" s="94"/>
    </row>
    <row r="698" ht="15.75" customHeight="1">
      <c r="E698" s="94"/>
    </row>
    <row r="699" ht="15.75" customHeight="1">
      <c r="E699" s="94"/>
    </row>
    <row r="700" ht="15.75" customHeight="1">
      <c r="E700" s="94"/>
    </row>
    <row r="701" ht="15.75" customHeight="1">
      <c r="E701" s="94"/>
    </row>
    <row r="702" ht="15.75" customHeight="1">
      <c r="E702" s="94"/>
    </row>
    <row r="703" ht="15.75" customHeight="1">
      <c r="E703" s="94"/>
    </row>
    <row r="704" ht="15.75" customHeight="1">
      <c r="E704" s="94"/>
    </row>
    <row r="705" ht="15.75" customHeight="1">
      <c r="E705" s="94"/>
    </row>
    <row r="706" ht="15.75" customHeight="1">
      <c r="E706" s="94"/>
    </row>
    <row r="707" ht="15.75" customHeight="1">
      <c r="E707" s="94"/>
    </row>
    <row r="708" ht="15.75" customHeight="1">
      <c r="E708" s="94"/>
    </row>
    <row r="709" ht="15.75" customHeight="1">
      <c r="E709" s="94"/>
    </row>
    <row r="710" ht="15.75" customHeight="1">
      <c r="E710" s="94"/>
    </row>
    <row r="711" ht="15.75" customHeight="1">
      <c r="E711" s="94"/>
    </row>
    <row r="712" ht="15.75" customHeight="1">
      <c r="E712" s="94"/>
    </row>
    <row r="713" ht="15.75" customHeight="1">
      <c r="E713" s="94"/>
    </row>
    <row r="714" ht="15.75" customHeight="1">
      <c r="E714" s="94"/>
    </row>
    <row r="715" ht="15.75" customHeight="1">
      <c r="E715" s="94"/>
    </row>
    <row r="716" ht="15.75" customHeight="1">
      <c r="E716" s="94"/>
    </row>
    <row r="717" ht="15.75" customHeight="1">
      <c r="E717" s="94"/>
    </row>
    <row r="718" ht="15.75" customHeight="1">
      <c r="E718" s="94"/>
    </row>
    <row r="719" ht="15.75" customHeight="1">
      <c r="E719" s="94"/>
    </row>
    <row r="720" ht="15.75" customHeight="1">
      <c r="E720" s="94"/>
    </row>
    <row r="721" ht="15.75" customHeight="1">
      <c r="E721" s="94"/>
    </row>
    <row r="722" ht="15.75" customHeight="1">
      <c r="E722" s="94"/>
    </row>
    <row r="723" ht="15.75" customHeight="1">
      <c r="E723" s="94"/>
    </row>
    <row r="724" ht="15.75" customHeight="1">
      <c r="E724" s="94"/>
    </row>
    <row r="725" ht="15.75" customHeight="1">
      <c r="E725" s="94"/>
    </row>
    <row r="726" ht="15.75" customHeight="1">
      <c r="E726" s="94"/>
    </row>
    <row r="727" ht="15.75" customHeight="1">
      <c r="E727" s="94"/>
    </row>
    <row r="728" ht="15.75" customHeight="1">
      <c r="E728" s="94"/>
    </row>
    <row r="729" ht="15.75" customHeight="1">
      <c r="E729" s="94"/>
    </row>
    <row r="730" ht="15.75" customHeight="1">
      <c r="E730" s="94"/>
    </row>
    <row r="731" ht="15.75" customHeight="1">
      <c r="E731" s="94"/>
    </row>
    <row r="732" ht="15.75" customHeight="1">
      <c r="E732" s="94"/>
    </row>
    <row r="733" ht="15.75" customHeight="1">
      <c r="E733" s="94"/>
    </row>
    <row r="734" ht="15.75" customHeight="1">
      <c r="E734" s="94"/>
    </row>
    <row r="735" ht="15.75" customHeight="1">
      <c r="E735" s="94"/>
    </row>
    <row r="736" ht="15.75" customHeight="1">
      <c r="E736" s="94"/>
    </row>
    <row r="737" ht="15.75" customHeight="1">
      <c r="E737" s="94"/>
    </row>
    <row r="738" ht="15.75" customHeight="1">
      <c r="E738" s="94"/>
    </row>
    <row r="739" ht="15.75" customHeight="1">
      <c r="E739" s="94"/>
    </row>
    <row r="740" ht="15.75" customHeight="1">
      <c r="E740" s="94"/>
    </row>
    <row r="741" ht="15.75" customHeight="1">
      <c r="E741" s="94"/>
    </row>
    <row r="742" ht="15.75" customHeight="1">
      <c r="E742" s="94"/>
    </row>
    <row r="743" ht="15.75" customHeight="1">
      <c r="E743" s="94"/>
    </row>
    <row r="744" ht="15.75" customHeight="1">
      <c r="E744" s="94"/>
    </row>
    <row r="745" ht="15.75" customHeight="1">
      <c r="E745" s="94"/>
    </row>
    <row r="746" ht="15.75" customHeight="1">
      <c r="E746" s="94"/>
    </row>
    <row r="747" ht="15.75" customHeight="1">
      <c r="E747" s="94"/>
    </row>
    <row r="748" ht="15.75" customHeight="1">
      <c r="E748" s="94"/>
    </row>
    <row r="749" ht="15.75" customHeight="1">
      <c r="E749" s="94"/>
    </row>
    <row r="750" ht="15.75" customHeight="1">
      <c r="E750" s="94"/>
    </row>
    <row r="751" ht="15.75" customHeight="1">
      <c r="E751" s="94"/>
    </row>
    <row r="752" ht="15.75" customHeight="1">
      <c r="E752" s="94"/>
    </row>
    <row r="753" ht="15.75" customHeight="1">
      <c r="E753" s="94"/>
    </row>
    <row r="754" ht="15.75" customHeight="1">
      <c r="E754" s="94"/>
    </row>
    <row r="755" ht="15.75" customHeight="1">
      <c r="E755" s="94"/>
    </row>
    <row r="756" ht="15.75" customHeight="1">
      <c r="E756" s="94"/>
    </row>
    <row r="757" ht="15.75" customHeight="1">
      <c r="E757" s="94"/>
    </row>
    <row r="758" ht="15.75" customHeight="1">
      <c r="E758" s="94"/>
    </row>
    <row r="759" ht="15.75" customHeight="1">
      <c r="E759" s="94"/>
    </row>
    <row r="760" ht="15.75" customHeight="1">
      <c r="E760" s="94"/>
    </row>
    <row r="761" ht="15.75" customHeight="1">
      <c r="E761" s="94"/>
    </row>
    <row r="762" ht="15.75" customHeight="1">
      <c r="E762" s="94"/>
    </row>
    <row r="763" ht="15.75" customHeight="1">
      <c r="E763" s="94"/>
    </row>
    <row r="764" ht="15.75" customHeight="1">
      <c r="E764" s="94"/>
    </row>
    <row r="765" ht="15.75" customHeight="1">
      <c r="E765" s="94"/>
    </row>
    <row r="766" ht="15.75" customHeight="1">
      <c r="E766" s="94"/>
    </row>
    <row r="767" ht="15.75" customHeight="1">
      <c r="E767" s="94"/>
    </row>
    <row r="768" ht="15.75" customHeight="1">
      <c r="E768" s="94"/>
    </row>
    <row r="769" ht="15.75" customHeight="1">
      <c r="E769" s="94"/>
    </row>
    <row r="770" ht="15.75" customHeight="1">
      <c r="E770" s="94"/>
    </row>
    <row r="771" ht="15.75" customHeight="1">
      <c r="E771" s="94"/>
    </row>
    <row r="772" ht="15.75" customHeight="1">
      <c r="E772" s="94"/>
    </row>
    <row r="773" ht="15.75" customHeight="1">
      <c r="E773" s="94"/>
    </row>
    <row r="774" ht="15.75" customHeight="1">
      <c r="E774" s="94"/>
    </row>
    <row r="775" ht="15.75" customHeight="1">
      <c r="E775" s="94"/>
    </row>
    <row r="776" ht="15.75" customHeight="1">
      <c r="E776" s="94"/>
    </row>
    <row r="777" ht="15.75" customHeight="1">
      <c r="E777" s="94"/>
    </row>
    <row r="778" ht="15.75" customHeight="1">
      <c r="E778" s="94"/>
    </row>
    <row r="779" ht="15.75" customHeight="1">
      <c r="E779" s="94"/>
    </row>
    <row r="780" ht="15.75" customHeight="1">
      <c r="E780" s="94"/>
    </row>
    <row r="781" ht="15.75" customHeight="1">
      <c r="E781" s="94"/>
    </row>
    <row r="782" ht="15.75" customHeight="1">
      <c r="E782" s="94"/>
    </row>
    <row r="783" ht="15.75" customHeight="1">
      <c r="E783" s="94"/>
    </row>
    <row r="784" ht="15.75" customHeight="1">
      <c r="E784" s="94"/>
    </row>
    <row r="785" ht="15.75" customHeight="1">
      <c r="E785" s="94"/>
    </row>
    <row r="786" ht="15.75" customHeight="1">
      <c r="E786" s="94"/>
    </row>
    <row r="787" ht="15.75" customHeight="1">
      <c r="E787" s="94"/>
    </row>
    <row r="788" ht="15.75" customHeight="1">
      <c r="E788" s="94"/>
    </row>
    <row r="789" ht="15.75" customHeight="1">
      <c r="E789" s="94"/>
    </row>
    <row r="790" ht="15.75" customHeight="1">
      <c r="E790" s="94"/>
    </row>
    <row r="791" ht="15.75" customHeight="1">
      <c r="E791" s="94"/>
    </row>
    <row r="792" ht="15.75" customHeight="1">
      <c r="E792" s="94"/>
    </row>
    <row r="793" ht="15.75" customHeight="1">
      <c r="E793" s="94"/>
    </row>
    <row r="794" ht="15.75" customHeight="1">
      <c r="E794" s="94"/>
    </row>
    <row r="795" ht="15.75" customHeight="1">
      <c r="E795" s="94"/>
    </row>
    <row r="796" ht="15.75" customHeight="1">
      <c r="E796" s="94"/>
    </row>
    <row r="797" ht="15.75" customHeight="1">
      <c r="E797" s="94"/>
    </row>
    <row r="798" ht="15.75" customHeight="1">
      <c r="E798" s="94"/>
    </row>
    <row r="799" ht="15.75" customHeight="1">
      <c r="E799" s="94"/>
    </row>
    <row r="800" ht="15.75" customHeight="1">
      <c r="E800" s="94"/>
    </row>
    <row r="801" ht="15.75" customHeight="1">
      <c r="E801" s="94"/>
    </row>
    <row r="802" ht="15.75" customHeight="1">
      <c r="E802" s="94"/>
    </row>
    <row r="803" ht="15.75" customHeight="1">
      <c r="E803" s="94"/>
    </row>
    <row r="804" ht="15.75" customHeight="1">
      <c r="E804" s="94"/>
    </row>
    <row r="805" ht="15.75" customHeight="1">
      <c r="E805" s="94"/>
    </row>
    <row r="806" ht="15.75" customHeight="1">
      <c r="E806" s="94"/>
    </row>
    <row r="807" ht="15.75" customHeight="1">
      <c r="E807" s="94"/>
    </row>
    <row r="808" ht="15.75" customHeight="1">
      <c r="E808" s="94"/>
    </row>
    <row r="809" ht="15.75" customHeight="1">
      <c r="E809" s="94"/>
    </row>
    <row r="810" ht="15.75" customHeight="1">
      <c r="E810" s="94"/>
    </row>
    <row r="811" ht="15.75" customHeight="1">
      <c r="E811" s="94"/>
    </row>
    <row r="812" ht="15.75" customHeight="1">
      <c r="E812" s="94"/>
    </row>
    <row r="813" ht="15.75" customHeight="1">
      <c r="E813" s="94"/>
    </row>
    <row r="814" ht="15.75" customHeight="1">
      <c r="E814" s="94"/>
    </row>
    <row r="815" ht="15.75" customHeight="1">
      <c r="E815" s="94"/>
    </row>
    <row r="816" ht="15.75" customHeight="1">
      <c r="E816" s="94"/>
    </row>
    <row r="817" ht="15.75" customHeight="1">
      <c r="E817" s="94"/>
    </row>
    <row r="818" ht="15.75" customHeight="1">
      <c r="E818" s="94"/>
    </row>
    <row r="819" ht="15.75" customHeight="1">
      <c r="E819" s="94"/>
    </row>
    <row r="820" ht="15.75" customHeight="1">
      <c r="E820" s="94"/>
    </row>
    <row r="821" ht="15.75" customHeight="1">
      <c r="E821" s="94"/>
    </row>
    <row r="822" ht="15.75" customHeight="1">
      <c r="E822" s="94"/>
    </row>
    <row r="823" ht="15.75" customHeight="1">
      <c r="E823" s="94"/>
    </row>
    <row r="824" ht="15.75" customHeight="1">
      <c r="E824" s="94"/>
    </row>
    <row r="825" ht="15.75" customHeight="1">
      <c r="E825" s="94"/>
    </row>
    <row r="826" ht="15.75" customHeight="1">
      <c r="E826" s="94"/>
    </row>
    <row r="827" ht="15.75" customHeight="1">
      <c r="E827" s="94"/>
    </row>
    <row r="828" ht="15.75" customHeight="1">
      <c r="E828" s="94"/>
    </row>
    <row r="829" ht="15.75" customHeight="1">
      <c r="E829" s="94"/>
    </row>
    <row r="830" ht="15.75" customHeight="1">
      <c r="E830" s="94"/>
    </row>
    <row r="831" ht="15.75" customHeight="1">
      <c r="E831" s="94"/>
    </row>
    <row r="832" ht="15.75" customHeight="1">
      <c r="E832" s="94"/>
    </row>
    <row r="833" ht="15.75" customHeight="1">
      <c r="E833" s="94"/>
    </row>
    <row r="834" ht="15.75" customHeight="1">
      <c r="E834" s="94"/>
    </row>
    <row r="835" ht="15.75" customHeight="1">
      <c r="E835" s="94"/>
    </row>
    <row r="836" ht="15.75" customHeight="1">
      <c r="E836" s="94"/>
    </row>
    <row r="837" ht="15.75" customHeight="1">
      <c r="E837" s="94"/>
    </row>
    <row r="838" ht="15.75" customHeight="1">
      <c r="E838" s="94"/>
    </row>
    <row r="839" ht="15.75" customHeight="1">
      <c r="E839" s="94"/>
    </row>
    <row r="840" ht="15.75" customHeight="1">
      <c r="E840" s="94"/>
    </row>
    <row r="841" ht="15.75" customHeight="1">
      <c r="E841" s="94"/>
    </row>
    <row r="842" ht="15.75" customHeight="1">
      <c r="E842" s="94"/>
    </row>
    <row r="843" ht="15.75" customHeight="1">
      <c r="E843" s="94"/>
    </row>
    <row r="844" ht="15.75" customHeight="1">
      <c r="E844" s="94"/>
    </row>
    <row r="845" ht="15.75" customHeight="1">
      <c r="E845" s="94"/>
    </row>
    <row r="846" ht="15.75" customHeight="1">
      <c r="E846" s="94"/>
    </row>
    <row r="847" ht="15.75" customHeight="1">
      <c r="E847" s="94"/>
    </row>
    <row r="848" ht="15.75" customHeight="1">
      <c r="E848" s="94"/>
    </row>
    <row r="849" ht="15.75" customHeight="1">
      <c r="E849" s="94"/>
    </row>
    <row r="850" ht="15.75" customHeight="1">
      <c r="E850" s="94"/>
    </row>
    <row r="851" ht="15.75" customHeight="1">
      <c r="E851" s="94"/>
    </row>
    <row r="852" ht="15.75" customHeight="1">
      <c r="E852" s="94"/>
    </row>
    <row r="853" ht="15.75" customHeight="1">
      <c r="E853" s="94"/>
    </row>
    <row r="854" ht="15.75" customHeight="1">
      <c r="E854" s="94"/>
    </row>
    <row r="855" ht="15.75" customHeight="1">
      <c r="E855" s="94"/>
    </row>
    <row r="856" ht="15.75" customHeight="1">
      <c r="E856" s="94"/>
    </row>
    <row r="857" ht="15.75" customHeight="1">
      <c r="E857" s="94"/>
    </row>
    <row r="858" ht="15.75" customHeight="1">
      <c r="E858" s="94"/>
    </row>
    <row r="859" ht="15.75" customHeight="1">
      <c r="E859" s="94"/>
    </row>
    <row r="860" ht="15.75" customHeight="1">
      <c r="E860" s="94"/>
    </row>
    <row r="861" ht="15.75" customHeight="1">
      <c r="E861" s="94"/>
    </row>
    <row r="862" ht="15.75" customHeight="1">
      <c r="E862" s="94"/>
    </row>
    <row r="863" ht="15.75" customHeight="1">
      <c r="E863" s="94"/>
    </row>
    <row r="864" ht="15.75" customHeight="1">
      <c r="E864" s="94"/>
    </row>
    <row r="865" ht="15.75" customHeight="1">
      <c r="E865" s="94"/>
    </row>
    <row r="866" ht="15.75" customHeight="1">
      <c r="E866" s="94"/>
    </row>
    <row r="867" ht="15.75" customHeight="1">
      <c r="E867" s="94"/>
    </row>
    <row r="868" ht="15.75" customHeight="1">
      <c r="E868" s="94"/>
    </row>
    <row r="869" ht="15.75" customHeight="1">
      <c r="E869" s="94"/>
    </row>
    <row r="870" ht="15.75" customHeight="1">
      <c r="E870" s="94"/>
    </row>
    <row r="871" ht="15.75" customHeight="1">
      <c r="E871" s="94"/>
    </row>
    <row r="872" ht="15.75" customHeight="1">
      <c r="E872" s="94"/>
    </row>
    <row r="873" ht="15.75" customHeight="1">
      <c r="E873" s="94"/>
    </row>
    <row r="874" ht="15.75" customHeight="1">
      <c r="E874" s="94"/>
    </row>
    <row r="875" ht="15.75" customHeight="1">
      <c r="E875" s="94"/>
    </row>
    <row r="876" ht="15.75" customHeight="1">
      <c r="E876" s="94"/>
    </row>
    <row r="877" ht="15.75" customHeight="1">
      <c r="E877" s="94"/>
    </row>
    <row r="878" ht="15.75" customHeight="1">
      <c r="E878" s="94"/>
    </row>
    <row r="879" ht="15.75" customHeight="1">
      <c r="E879" s="94"/>
    </row>
    <row r="880" ht="15.75" customHeight="1">
      <c r="E880" s="94"/>
    </row>
    <row r="881" ht="15.75" customHeight="1">
      <c r="E881" s="94"/>
    </row>
    <row r="882" ht="15.75" customHeight="1">
      <c r="E882" s="94"/>
    </row>
    <row r="883" ht="15.75" customHeight="1">
      <c r="E883" s="94"/>
    </row>
    <row r="884" ht="15.75" customHeight="1">
      <c r="E884" s="94"/>
    </row>
    <row r="885" ht="15.75" customHeight="1">
      <c r="E885" s="94"/>
    </row>
    <row r="886" ht="15.75" customHeight="1">
      <c r="E886" s="94"/>
    </row>
    <row r="887" ht="15.75" customHeight="1">
      <c r="E887" s="94"/>
    </row>
    <row r="888" ht="15.75" customHeight="1">
      <c r="E888" s="94"/>
    </row>
    <row r="889" ht="15.75" customHeight="1">
      <c r="E889" s="94"/>
    </row>
    <row r="890" ht="15.75" customHeight="1">
      <c r="E890" s="94"/>
    </row>
    <row r="891" ht="15.75" customHeight="1">
      <c r="E891" s="94"/>
    </row>
    <row r="892" ht="15.75" customHeight="1">
      <c r="E892" s="94"/>
    </row>
    <row r="893" ht="15.75" customHeight="1">
      <c r="E893" s="94"/>
    </row>
    <row r="894" ht="15.75" customHeight="1">
      <c r="E894" s="94"/>
    </row>
    <row r="895" ht="15.75" customHeight="1">
      <c r="E895" s="94"/>
    </row>
    <row r="896" ht="15.75" customHeight="1">
      <c r="E896" s="94"/>
    </row>
    <row r="897" ht="15.75" customHeight="1">
      <c r="E897" s="94"/>
    </row>
    <row r="898" ht="15.75" customHeight="1">
      <c r="E898" s="94"/>
    </row>
    <row r="899" ht="15.75" customHeight="1">
      <c r="E899" s="94"/>
    </row>
    <row r="900" ht="15.75" customHeight="1">
      <c r="E900" s="94"/>
    </row>
    <row r="901" ht="15.75" customHeight="1">
      <c r="E901" s="94"/>
    </row>
    <row r="902" ht="15.75" customHeight="1">
      <c r="E902" s="94"/>
    </row>
    <row r="903" ht="15.75" customHeight="1">
      <c r="E903" s="94"/>
    </row>
    <row r="904" ht="15.75" customHeight="1">
      <c r="E904" s="94"/>
    </row>
    <row r="905" ht="15.75" customHeight="1">
      <c r="E905" s="94"/>
    </row>
    <row r="906" ht="15.75" customHeight="1">
      <c r="E906" s="94"/>
    </row>
    <row r="907" ht="15.75" customHeight="1">
      <c r="E907" s="94"/>
    </row>
    <row r="908" ht="15.75" customHeight="1">
      <c r="E908" s="94"/>
    </row>
    <row r="909" ht="15.75" customHeight="1">
      <c r="E909" s="94"/>
    </row>
    <row r="910" ht="15.75" customHeight="1">
      <c r="E910" s="94"/>
    </row>
    <row r="911" ht="15.75" customHeight="1">
      <c r="E911" s="94"/>
    </row>
    <row r="912" ht="15.75" customHeight="1">
      <c r="E912" s="94"/>
    </row>
    <row r="913" ht="15.75" customHeight="1">
      <c r="E913" s="94"/>
    </row>
    <row r="914" ht="15.75" customHeight="1">
      <c r="E914" s="94"/>
    </row>
    <row r="915" ht="15.75" customHeight="1">
      <c r="E915" s="94"/>
    </row>
    <row r="916" ht="15.75" customHeight="1">
      <c r="E916" s="94"/>
    </row>
    <row r="917" ht="15.75" customHeight="1">
      <c r="E917" s="94"/>
    </row>
    <row r="918" ht="15.75" customHeight="1">
      <c r="E918" s="94"/>
    </row>
    <row r="919" ht="15.75" customHeight="1">
      <c r="E919" s="94"/>
    </row>
    <row r="920" ht="15.75" customHeight="1">
      <c r="E920" s="94"/>
    </row>
    <row r="921" ht="15.75" customHeight="1">
      <c r="E921" s="94"/>
    </row>
    <row r="922" ht="15.75" customHeight="1">
      <c r="E922" s="94"/>
    </row>
    <row r="923" ht="15.75" customHeight="1">
      <c r="E923" s="94"/>
    </row>
    <row r="924" ht="15.75" customHeight="1">
      <c r="E924" s="94"/>
    </row>
    <row r="925" ht="15.75" customHeight="1">
      <c r="E925" s="94"/>
    </row>
    <row r="926" ht="15.75" customHeight="1">
      <c r="E926" s="94"/>
    </row>
    <row r="927" ht="15.75" customHeight="1">
      <c r="E927" s="94"/>
    </row>
    <row r="928" ht="15.75" customHeight="1">
      <c r="E928" s="94"/>
    </row>
    <row r="929" ht="15.75" customHeight="1">
      <c r="E929" s="94"/>
    </row>
    <row r="930" ht="15.75" customHeight="1">
      <c r="E930" s="94"/>
    </row>
    <row r="931" ht="15.75" customHeight="1">
      <c r="E931" s="94"/>
    </row>
    <row r="932" ht="15.75" customHeight="1">
      <c r="E932" s="94"/>
    </row>
    <row r="933" ht="15.75" customHeight="1">
      <c r="E933" s="94"/>
    </row>
    <row r="934" ht="15.75" customHeight="1">
      <c r="E934" s="94"/>
    </row>
    <row r="935" ht="15.75" customHeight="1">
      <c r="E935" s="94"/>
    </row>
    <row r="936" ht="15.75" customHeight="1">
      <c r="E936" s="94"/>
    </row>
    <row r="937" ht="15.75" customHeight="1">
      <c r="E937" s="94"/>
    </row>
    <row r="938" ht="15.75" customHeight="1">
      <c r="E938" s="94"/>
    </row>
    <row r="939" ht="15.75" customHeight="1">
      <c r="E939" s="94"/>
    </row>
    <row r="940" ht="15.75" customHeight="1">
      <c r="E940" s="94"/>
    </row>
    <row r="941" ht="15.75" customHeight="1">
      <c r="E941" s="94"/>
    </row>
    <row r="942" ht="15.75" customHeight="1">
      <c r="E942" s="94"/>
    </row>
    <row r="943" ht="15.75" customHeight="1">
      <c r="E943" s="94"/>
    </row>
    <row r="944" ht="15.75" customHeight="1">
      <c r="E944" s="94"/>
    </row>
    <row r="945" ht="15.75" customHeight="1">
      <c r="E945" s="94"/>
    </row>
    <row r="946" ht="15.75" customHeight="1">
      <c r="E946" s="94"/>
    </row>
    <row r="947" ht="15.75" customHeight="1">
      <c r="E947" s="94"/>
    </row>
    <row r="948" ht="15.75" customHeight="1">
      <c r="E948" s="94"/>
    </row>
    <row r="949" ht="15.75" customHeight="1">
      <c r="E949" s="94"/>
    </row>
    <row r="950" ht="15.75" customHeight="1">
      <c r="E950" s="94"/>
    </row>
    <row r="951" ht="15.75" customHeight="1">
      <c r="E951" s="94"/>
    </row>
    <row r="952" ht="15.75" customHeight="1">
      <c r="E952" s="94"/>
    </row>
    <row r="953" ht="15.75" customHeight="1">
      <c r="E953" s="94"/>
    </row>
    <row r="954" ht="15.75" customHeight="1">
      <c r="E954" s="94"/>
    </row>
    <row r="955" ht="15.75" customHeight="1">
      <c r="E955" s="94"/>
    </row>
    <row r="956" ht="15.75" customHeight="1">
      <c r="E956" s="94"/>
    </row>
    <row r="957" ht="15.75" customHeight="1">
      <c r="E957" s="94"/>
    </row>
    <row r="958" ht="15.75" customHeight="1">
      <c r="E958" s="94"/>
    </row>
    <row r="959" ht="15.75" customHeight="1">
      <c r="E959" s="94"/>
    </row>
    <row r="960" ht="15.75" customHeight="1">
      <c r="E960" s="94"/>
    </row>
    <row r="961" ht="15.75" customHeight="1">
      <c r="E961" s="94"/>
    </row>
    <row r="962" ht="15.75" customHeight="1">
      <c r="E962" s="94"/>
    </row>
    <row r="963" ht="15.75" customHeight="1">
      <c r="E963" s="94"/>
    </row>
    <row r="964" ht="15.75" customHeight="1">
      <c r="E964" s="94"/>
    </row>
    <row r="965" ht="15.75" customHeight="1">
      <c r="E965" s="94"/>
    </row>
    <row r="966" ht="15.75" customHeight="1">
      <c r="E966" s="94"/>
    </row>
    <row r="967" ht="15.75" customHeight="1">
      <c r="E967" s="94"/>
    </row>
    <row r="968" ht="15.75" customHeight="1">
      <c r="E968" s="94"/>
    </row>
    <row r="969" ht="15.75" customHeight="1">
      <c r="E969" s="94"/>
    </row>
    <row r="970" ht="15.75" customHeight="1">
      <c r="E970" s="94"/>
    </row>
    <row r="971" ht="15.75" customHeight="1">
      <c r="E971" s="94"/>
    </row>
    <row r="972" ht="15.75" customHeight="1">
      <c r="E972" s="94"/>
    </row>
    <row r="973" ht="15.75" customHeight="1">
      <c r="E973" s="94"/>
    </row>
    <row r="974" ht="15.75" customHeight="1">
      <c r="E974" s="94"/>
    </row>
    <row r="975" ht="15.75" customHeight="1">
      <c r="E975" s="94"/>
    </row>
    <row r="976" ht="15.75" customHeight="1">
      <c r="E976" s="94"/>
    </row>
    <row r="977" ht="15.75" customHeight="1">
      <c r="E977" s="94"/>
    </row>
    <row r="978" ht="15.75" customHeight="1">
      <c r="E978" s="94"/>
    </row>
    <row r="979" ht="15.75" customHeight="1">
      <c r="E979" s="94"/>
    </row>
    <row r="980" ht="15.75" customHeight="1">
      <c r="E980" s="94"/>
    </row>
    <row r="981" ht="15.75" customHeight="1">
      <c r="E981" s="94"/>
    </row>
    <row r="982" ht="15.75" customHeight="1">
      <c r="E982" s="94"/>
    </row>
    <row r="983" ht="15.75" customHeight="1">
      <c r="E983" s="94"/>
    </row>
    <row r="984" ht="15.75" customHeight="1">
      <c r="E984" s="94"/>
    </row>
    <row r="985" ht="15.75" customHeight="1">
      <c r="E985" s="94"/>
    </row>
    <row r="986" ht="15.75" customHeight="1">
      <c r="E986" s="94"/>
    </row>
    <row r="987" ht="15.75" customHeight="1">
      <c r="E987" s="94"/>
    </row>
    <row r="988" ht="15.75" customHeight="1">
      <c r="E988" s="94"/>
    </row>
    <row r="989" ht="15.75" customHeight="1">
      <c r="E989" s="94"/>
    </row>
    <row r="990" ht="15.75" customHeight="1">
      <c r="E990" s="94"/>
    </row>
    <row r="991" ht="15.75" customHeight="1">
      <c r="E991" s="94"/>
    </row>
    <row r="992" ht="15.75" customHeight="1">
      <c r="E992" s="94"/>
    </row>
    <row r="993" ht="15.75" customHeight="1">
      <c r="E993" s="94"/>
    </row>
    <row r="994" ht="15.75" customHeight="1">
      <c r="E994" s="94"/>
    </row>
    <row r="995" ht="15.75" customHeight="1">
      <c r="E995" s="94"/>
    </row>
    <row r="996" ht="15.75" customHeight="1">
      <c r="E996" s="94"/>
    </row>
    <row r="997" ht="15.75" customHeight="1">
      <c r="E997" s="94"/>
    </row>
  </sheetData>
  <mergeCells count="4">
    <mergeCell ref="A2:A12"/>
    <mergeCell ref="A13:A18"/>
    <mergeCell ref="A38:A47"/>
    <mergeCell ref="A19:A37"/>
  </mergeCell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G13"/>
    <hyperlink r:id="rId14" ref="E14"/>
    <hyperlink r:id="rId15" location="afiact2" ref="F14"/>
    <hyperlink r:id="rId16" ref="F15"/>
    <hyperlink r:id="rId17" ref="G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G25"/>
    <hyperlink r:id="rId29" ref="F26"/>
    <hyperlink r:id="rId30" location="haut" ref="F27"/>
    <hyperlink r:id="rId31" ref="F28"/>
    <hyperlink r:id="rId32" ref="F29"/>
    <hyperlink r:id="rId33" ref="F30"/>
    <hyperlink r:id="rId34" ref="F31"/>
    <hyperlink r:id="rId35" ref="F32"/>
    <hyperlink r:id="rId36" ref="F33"/>
    <hyperlink r:id="rId37" ref="F34"/>
    <hyperlink r:id="rId38" ref="F35"/>
    <hyperlink r:id="rId39" ref="G35"/>
    <hyperlink r:id="rId40" ref="F36"/>
    <hyperlink r:id="rId41" location="haut" ref="F37"/>
    <hyperlink r:id="rId42" ref="F38"/>
    <hyperlink r:id="rId43" location="how-it-works" ref="F39"/>
    <hyperlink r:id="rId44" ref="F40"/>
    <hyperlink r:id="rId45" ref="F41"/>
    <hyperlink r:id="rId46" ref="F42"/>
    <hyperlink r:id="rId47" ref="F43"/>
    <hyperlink r:id="rId48" ref="I43"/>
    <hyperlink r:id="rId49" ref="F44"/>
    <hyperlink r:id="rId50" ref="F45"/>
    <hyperlink r:id="rId51" ref="F46"/>
    <hyperlink r:id="rId52" ref="F47"/>
  </hyperlinks>
  <printOptions/>
  <pageMargins bottom="0.75" footer="0.0" header="0.0" left="0.7" right="0.7" top="0.75"/>
  <pageSetup orientation="landscape"/>
  <drawing r:id="rId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outlineLevelCol="1"/>
  <cols>
    <col customWidth="1" min="1" max="2" width="11.75" outlineLevel="1"/>
    <col customWidth="1" min="3" max="3" width="26.63" outlineLevel="1"/>
    <col customWidth="1" min="4" max="5" width="35.0" outlineLevel="1"/>
    <col customWidth="1" min="6" max="6" width="19.75" outlineLevel="1"/>
    <col customWidth="1" min="7" max="7" width="16.13" outlineLevel="1"/>
    <col customWidth="1" min="8" max="8" width="13.38" outlineLevel="1"/>
    <col customWidth="1" min="9" max="9" width="29.75" outlineLevel="1"/>
    <col customWidth="1" min="10" max="10" width="41.63"/>
    <col customWidth="1" min="11" max="11" width="23.0"/>
    <col customWidth="1" min="12" max="12" width="24.38"/>
    <col customWidth="1" min="13" max="13" width="24.13"/>
    <col customWidth="1" min="14" max="14" width="23.88"/>
    <col customWidth="1" min="15" max="15" width="24.0"/>
    <col customWidth="1" min="16" max="18" width="23.63"/>
    <col customWidth="1" min="19" max="19" width="39.88"/>
    <col customWidth="1" min="20" max="20" width="22.88"/>
    <col customWidth="1" min="21" max="21" width="26.75"/>
    <col customWidth="1" min="22" max="22" width="38.13"/>
    <col customWidth="1" min="23" max="23" width="37.38"/>
    <col customWidth="1" min="24" max="24" width="37.0"/>
    <col customWidth="1" min="25" max="25" width="42.75"/>
    <col customWidth="1" min="26" max="26" width="23.13"/>
    <col customWidth="1" min="27" max="27" width="26.63"/>
    <col customWidth="1" min="28" max="28" width="38.0"/>
    <col customWidth="1" min="29" max="29" width="23.25"/>
    <col customWidth="1" min="30" max="30" width="56.63"/>
    <col customWidth="1" min="31" max="31" width="45.75"/>
    <col customWidth="1" min="32" max="32" width="70.63"/>
    <col customWidth="1" min="33" max="33" width="68.38"/>
    <col customWidth="1" min="34" max="34" width="23.13"/>
    <col customWidth="1" min="35" max="35" width="27.0"/>
    <col customWidth="1" min="36" max="36" width="38.5"/>
    <col customWidth="1" min="37" max="37" width="31.25"/>
    <col customWidth="1" min="38" max="38" width="38.25"/>
    <col customWidth="1" min="39" max="39" width="23.38"/>
    <col customWidth="1" min="40" max="40" width="24.0"/>
    <col customWidth="1" min="41" max="41" width="38.38"/>
    <col customWidth="1" min="42" max="42" width="21.75"/>
    <col customWidth="1" min="43" max="43" width="31.75"/>
    <col customWidth="1" min="44" max="44" width="38.88"/>
    <col customWidth="1" min="45" max="45" width="22.63"/>
    <col customWidth="1" min="46" max="46" width="32.0"/>
    <col customWidth="1" min="47" max="47" width="40.38"/>
    <col customWidth="1" min="48" max="48" width="26.13"/>
    <col customWidth="1" min="49" max="49" width="29.38"/>
    <col customWidth="1" min="50" max="50" width="39.63"/>
    <col customWidth="1" min="51" max="51" width="24.0"/>
    <col customWidth="1" min="52" max="52" width="24.5"/>
    <col customWidth="1" min="53" max="53" width="38.5"/>
    <col customWidth="1" min="54" max="54" width="38.13"/>
    <col customWidth="1" min="55" max="55" width="38.38"/>
    <col customWidth="1" min="56" max="56" width="37.75"/>
    <col customWidth="1" min="57" max="62" width="18.38"/>
  </cols>
  <sheetData>
    <row r="1" ht="15.75" customHeight="1">
      <c r="A1" s="95" t="s">
        <v>0</v>
      </c>
      <c r="B1" s="96" t="s">
        <v>1</v>
      </c>
      <c r="C1" s="97" t="s">
        <v>2</v>
      </c>
      <c r="D1" s="97" t="s">
        <v>3</v>
      </c>
      <c r="E1" s="5" t="s">
        <v>4</v>
      </c>
      <c r="F1" s="5" t="s">
        <v>5</v>
      </c>
      <c r="G1" s="5" t="s">
        <v>6</v>
      </c>
      <c r="H1" s="5" t="s">
        <v>7</v>
      </c>
      <c r="I1" s="5" t="s">
        <v>8</v>
      </c>
      <c r="J1" s="98" t="s">
        <v>418</v>
      </c>
      <c r="K1" s="99"/>
      <c r="L1" s="99"/>
      <c r="M1" s="99"/>
      <c r="N1" s="99"/>
      <c r="O1" s="99"/>
      <c r="P1" s="99"/>
      <c r="Q1" s="99"/>
      <c r="R1" s="99"/>
      <c r="S1" s="100"/>
      <c r="T1" s="101" t="s">
        <v>419</v>
      </c>
      <c r="U1" s="102"/>
      <c r="V1" s="102"/>
      <c r="W1" s="102"/>
      <c r="X1" s="103"/>
      <c r="Y1" s="104" t="s">
        <v>420</v>
      </c>
      <c r="Z1" s="105" t="s">
        <v>421</v>
      </c>
      <c r="AA1" s="106"/>
      <c r="AB1" s="107"/>
      <c r="AC1" s="101" t="s">
        <v>422</v>
      </c>
      <c r="AD1" s="102"/>
      <c r="AE1" s="102"/>
      <c r="AF1" s="102"/>
      <c r="AG1" s="103"/>
      <c r="AH1" s="101" t="s">
        <v>423</v>
      </c>
      <c r="AI1" s="102"/>
      <c r="AJ1" s="103"/>
      <c r="AK1" s="101" t="s">
        <v>424</v>
      </c>
      <c r="AL1" s="103"/>
      <c r="AM1" s="101" t="s">
        <v>425</v>
      </c>
      <c r="AN1" s="102"/>
      <c r="AO1" s="103"/>
      <c r="AP1" s="101" t="s">
        <v>426</v>
      </c>
      <c r="AQ1" s="102"/>
      <c r="AR1" s="103"/>
      <c r="AS1" s="101" t="s">
        <v>427</v>
      </c>
      <c r="AT1" s="102"/>
      <c r="AU1" s="103"/>
      <c r="AV1" s="101" t="s">
        <v>428</v>
      </c>
      <c r="AW1" s="102"/>
      <c r="AX1" s="103"/>
      <c r="AY1" s="101" t="s">
        <v>429</v>
      </c>
      <c r="AZ1" s="102"/>
      <c r="BA1" s="103"/>
      <c r="BB1" s="108" t="s">
        <v>430</v>
      </c>
      <c r="BC1" s="102"/>
      <c r="BD1" s="102"/>
      <c r="BE1" s="109"/>
      <c r="BF1" s="110"/>
      <c r="BG1" s="110"/>
      <c r="BH1" s="110"/>
      <c r="BI1" s="110"/>
      <c r="BJ1" s="110"/>
    </row>
    <row r="2" ht="15.75" customHeight="1">
      <c r="A2" s="111"/>
      <c r="B2" s="112"/>
      <c r="C2" s="78"/>
      <c r="D2" s="78"/>
      <c r="E2" s="113"/>
      <c r="F2" s="114"/>
      <c r="G2" s="115"/>
      <c r="H2" s="115"/>
      <c r="I2" s="115"/>
      <c r="J2" s="116" t="s">
        <v>9</v>
      </c>
      <c r="K2" s="117" t="s">
        <v>431</v>
      </c>
      <c r="L2" s="117" t="s">
        <v>432</v>
      </c>
      <c r="M2" s="118" t="s">
        <v>433</v>
      </c>
      <c r="N2" s="58" t="s">
        <v>434</v>
      </c>
      <c r="O2" s="119" t="s">
        <v>435</v>
      </c>
      <c r="P2" s="120" t="s">
        <v>436</v>
      </c>
      <c r="Q2" s="121" t="s">
        <v>437</v>
      </c>
      <c r="R2" s="122" t="s">
        <v>438</v>
      </c>
      <c r="S2" s="123" t="s">
        <v>439</v>
      </c>
      <c r="T2" s="124" t="s">
        <v>440</v>
      </c>
      <c r="U2" s="122" t="s">
        <v>441</v>
      </c>
      <c r="V2" s="122" t="s">
        <v>442</v>
      </c>
      <c r="W2" s="125" t="s">
        <v>443</v>
      </c>
      <c r="X2" s="125" t="s">
        <v>444</v>
      </c>
      <c r="Y2" s="126" t="s">
        <v>445</v>
      </c>
      <c r="Z2" s="124" t="s">
        <v>446</v>
      </c>
      <c r="AA2" s="122" t="s">
        <v>447</v>
      </c>
      <c r="AB2" s="127" t="s">
        <v>448</v>
      </c>
      <c r="AC2" s="128" t="s">
        <v>449</v>
      </c>
      <c r="AD2" s="122" t="s">
        <v>450</v>
      </c>
      <c r="AE2" s="122" t="s">
        <v>451</v>
      </c>
      <c r="AF2" s="66" t="s">
        <v>452</v>
      </c>
      <c r="AG2" s="129" t="s">
        <v>453</v>
      </c>
      <c r="AH2" s="124" t="s">
        <v>454</v>
      </c>
      <c r="AI2" s="122" t="s">
        <v>455</v>
      </c>
      <c r="AJ2" s="127" t="s">
        <v>456</v>
      </c>
      <c r="AK2" s="124" t="s">
        <v>457</v>
      </c>
      <c r="AL2" s="127" t="s">
        <v>458</v>
      </c>
      <c r="AM2" s="124" t="s">
        <v>459</v>
      </c>
      <c r="AN2" s="122" t="s">
        <v>460</v>
      </c>
      <c r="AO2" s="127" t="s">
        <v>461</v>
      </c>
      <c r="AP2" s="124" t="s">
        <v>462</v>
      </c>
      <c r="AQ2" s="122" t="s">
        <v>463</v>
      </c>
      <c r="AR2" s="127" t="s">
        <v>464</v>
      </c>
      <c r="AS2" s="124" t="s">
        <v>465</v>
      </c>
      <c r="AT2" s="122" t="s">
        <v>466</v>
      </c>
      <c r="AU2" s="127" t="s">
        <v>467</v>
      </c>
      <c r="AV2" s="124" t="s">
        <v>468</v>
      </c>
      <c r="AW2" s="122" t="s">
        <v>469</v>
      </c>
      <c r="AX2" s="127" t="s">
        <v>470</v>
      </c>
      <c r="AY2" s="124" t="s">
        <v>471</v>
      </c>
      <c r="AZ2" s="130" t="s">
        <v>472</v>
      </c>
      <c r="BA2" s="127" t="s">
        <v>473</v>
      </c>
      <c r="BB2" s="131" t="s">
        <v>474</v>
      </c>
      <c r="BC2" s="132" t="s">
        <v>475</v>
      </c>
      <c r="BD2" s="133" t="s">
        <v>476</v>
      </c>
      <c r="BE2" s="134" t="s">
        <v>477</v>
      </c>
      <c r="BF2" s="58"/>
      <c r="BG2" s="58"/>
      <c r="BH2" s="58"/>
      <c r="BI2" s="58"/>
      <c r="BJ2" s="58"/>
    </row>
    <row r="3" ht="15.75" customHeight="1">
      <c r="A3" s="10" t="s">
        <v>20</v>
      </c>
      <c r="B3" s="11" t="s">
        <v>21</v>
      </c>
      <c r="C3" s="12" t="s">
        <v>22</v>
      </c>
      <c r="D3" s="12" t="s">
        <v>23</v>
      </c>
      <c r="E3" s="15" t="s">
        <v>24</v>
      </c>
      <c r="F3" s="135" t="s">
        <v>25</v>
      </c>
      <c r="G3" s="15"/>
      <c r="H3" s="15" t="s">
        <v>26</v>
      </c>
      <c r="I3" s="136"/>
      <c r="J3" s="137">
        <v>592.0</v>
      </c>
      <c r="K3" s="15">
        <v>100.0</v>
      </c>
      <c r="L3" s="15">
        <v>5.0</v>
      </c>
      <c r="M3" s="15">
        <v>592.0</v>
      </c>
      <c r="N3" s="15">
        <v>0.0</v>
      </c>
      <c r="O3" s="15">
        <v>0.0</v>
      </c>
      <c r="P3" s="15">
        <f t="shared" ref="P3:P28" si="1">if(S3&lt;500,0,S3/L3)</f>
        <v>118.4</v>
      </c>
      <c r="Q3" s="15">
        <f t="shared" ref="Q3:Q28" si="2">0.04*S3</f>
        <v>23.68</v>
      </c>
      <c r="R3" s="138">
        <v>1.0</v>
      </c>
      <c r="S3" s="136">
        <f t="shared" ref="S3:S28" si="3">(M3*R3)+(O3*K3*12*L3)+(N3*K3)</f>
        <v>592</v>
      </c>
      <c r="T3" s="139">
        <v>4.0</v>
      </c>
      <c r="U3" s="15">
        <v>0.6</v>
      </c>
      <c r="V3" s="15">
        <v>20.0</v>
      </c>
      <c r="W3" s="15">
        <f t="shared" ref="W3:W28" si="4">U3*V3*K3*365</f>
        <v>438000</v>
      </c>
      <c r="X3" s="136">
        <f t="shared" ref="X3:X28" si="5">W3*(1+T3%)</f>
        <v>455520</v>
      </c>
      <c r="Y3" s="140">
        <f t="shared" ref="Y3:Y28" si="6">X3-W3</f>
        <v>17520</v>
      </c>
      <c r="Z3" s="141">
        <v>0.0</v>
      </c>
      <c r="AA3" s="142">
        <v>20000.0</v>
      </c>
      <c r="AB3" s="143">
        <f t="shared" ref="AB3:AB28" si="7">AA3-(AA3*(1-Z3%))</f>
        <v>0</v>
      </c>
      <c r="AC3" s="141">
        <v>0.0</v>
      </c>
      <c r="AD3" s="15">
        <v>50000.0</v>
      </c>
      <c r="AE3" s="15">
        <v>0.15</v>
      </c>
      <c r="AF3" s="15">
        <f t="shared" ref="AF3:AF28" si="8">AD3*AE3</f>
        <v>7500</v>
      </c>
      <c r="AG3" s="136">
        <f t="shared" ref="AG3:AG28" si="9">AF3-(AF3*(1-AC3%))</f>
        <v>0</v>
      </c>
      <c r="AH3" s="141">
        <v>0.0</v>
      </c>
      <c r="AI3" s="15">
        <v>5000.0</v>
      </c>
      <c r="AJ3" s="136">
        <f t="shared" ref="AJ3:AJ28" si="10">AI3-(AI3*(1-AH3%))</f>
        <v>0</v>
      </c>
      <c r="AK3" s="141">
        <v>0.0</v>
      </c>
      <c r="AL3" s="136">
        <f t="shared" ref="AL3:AL28" si="11">AK3*K3</f>
        <v>0</v>
      </c>
      <c r="AM3" s="141">
        <v>0.0</v>
      </c>
      <c r="AN3" s="15">
        <v>40000.0</v>
      </c>
      <c r="AO3" s="136">
        <f t="shared" ref="AO3:AO28" si="12">AN3-(AN3*(1-AM3%))</f>
        <v>0</v>
      </c>
      <c r="AP3" s="141">
        <v>0.0</v>
      </c>
      <c r="AQ3" s="15">
        <v>3000.0</v>
      </c>
      <c r="AR3" s="136">
        <f t="shared" ref="AR3:AR28" si="13">AQ3-(AQ3*(1-AP3%))</f>
        <v>0</v>
      </c>
      <c r="AS3" s="141">
        <v>0.0</v>
      </c>
      <c r="AT3" s="15">
        <v>7000.0</v>
      </c>
      <c r="AU3" s="136">
        <f t="shared" ref="AU3:AU28" si="14">AT3-(AT3*(1-AS3%))</f>
        <v>0</v>
      </c>
      <c r="AV3" s="141">
        <v>0.0</v>
      </c>
      <c r="AW3" s="15">
        <v>2000.0</v>
      </c>
      <c r="AX3" s="136">
        <f t="shared" ref="AX3:AX28" si="15">AW3-(AW3*(1-AV3%))</f>
        <v>0</v>
      </c>
      <c r="AY3" s="144">
        <v>0.0</v>
      </c>
      <c r="AZ3" s="145">
        <v>50000.0</v>
      </c>
      <c r="BA3" s="146">
        <f t="shared" ref="BA3:BA28" si="16">AZ3-(AZ3*(1-AY3%))</f>
        <v>0</v>
      </c>
      <c r="BB3" s="139">
        <f t="shared" ref="BB3:BB28" si="17">(Y3+AB3+AG3+AJ3+AL3+AO3+AR3+AU3+AX3+BA3)-P3-Q3</f>
        <v>17377.92</v>
      </c>
      <c r="BC3" s="147">
        <f t="shared" ref="BC3:BC28" si="18">IF(S3&gt;0,((BB3/S3)),"The DAT is free")</f>
        <v>29.35459459</v>
      </c>
      <c r="BD3" s="148">
        <f t="shared" ref="BD3:BD28" si="19">IF(BB3&gt;0,S3/BB3,"Payback period not applicable: the investment does not recover its cost under current conditions.")</f>
        <v>0.03406621736</v>
      </c>
      <c r="BE3" s="27" t="str">
        <f t="shared" ref="BE3:BE28" si="20">IF(BD3&lt;6, "YES", "NO")</f>
        <v>YES</v>
      </c>
      <c r="BF3" s="27"/>
      <c r="BG3" s="27"/>
      <c r="BH3" s="27"/>
      <c r="BI3" s="27"/>
      <c r="BJ3" s="27"/>
    </row>
    <row r="4" ht="15.75" customHeight="1">
      <c r="A4" s="22"/>
      <c r="B4" s="23" t="s">
        <v>21</v>
      </c>
      <c r="C4" s="24" t="s">
        <v>33</v>
      </c>
      <c r="D4" s="24" t="s">
        <v>34</v>
      </c>
      <c r="E4" s="27" t="s">
        <v>35</v>
      </c>
      <c r="F4" s="149" t="s">
        <v>478</v>
      </c>
      <c r="G4" s="27"/>
      <c r="H4" s="27" t="s">
        <v>26</v>
      </c>
      <c r="I4" s="150" t="s">
        <v>37</v>
      </c>
      <c r="J4" s="151">
        <v>18426.0</v>
      </c>
      <c r="K4" s="27">
        <v>100.0</v>
      </c>
      <c r="L4" s="27">
        <v>5.0</v>
      </c>
      <c r="M4" s="27">
        <v>18426.0</v>
      </c>
      <c r="N4" s="27">
        <v>0.0</v>
      </c>
      <c r="O4" s="27">
        <v>0.0</v>
      </c>
      <c r="P4" s="15">
        <f t="shared" si="1"/>
        <v>3685.2</v>
      </c>
      <c r="Q4" s="15">
        <f t="shared" si="2"/>
        <v>737.04</v>
      </c>
      <c r="R4" s="27">
        <v>1.0</v>
      </c>
      <c r="S4" s="136">
        <f t="shared" si="3"/>
        <v>18426</v>
      </c>
      <c r="T4" s="152">
        <v>7.0</v>
      </c>
      <c r="U4" s="15">
        <v>0.6</v>
      </c>
      <c r="V4" s="15">
        <v>20.0</v>
      </c>
      <c r="W4" s="15">
        <f t="shared" si="4"/>
        <v>438000</v>
      </c>
      <c r="X4" s="136">
        <f t="shared" si="5"/>
        <v>468660</v>
      </c>
      <c r="Y4" s="153">
        <f t="shared" si="6"/>
        <v>30660</v>
      </c>
      <c r="Z4" s="154">
        <v>0.0</v>
      </c>
      <c r="AA4" s="155">
        <v>20000.0</v>
      </c>
      <c r="AB4" s="156">
        <f t="shared" si="7"/>
        <v>0</v>
      </c>
      <c r="AC4" s="154">
        <v>0.0</v>
      </c>
      <c r="AD4" s="27">
        <v>50000.0</v>
      </c>
      <c r="AE4" s="27">
        <v>0.15</v>
      </c>
      <c r="AF4" s="27">
        <f t="shared" si="8"/>
        <v>7500</v>
      </c>
      <c r="AG4" s="150">
        <f t="shared" si="9"/>
        <v>0</v>
      </c>
      <c r="AH4" s="154">
        <v>0.0</v>
      </c>
      <c r="AI4" s="27">
        <v>5000.0</v>
      </c>
      <c r="AJ4" s="150">
        <f t="shared" si="10"/>
        <v>0</v>
      </c>
      <c r="AK4" s="154">
        <v>0.0</v>
      </c>
      <c r="AL4" s="150">
        <f t="shared" si="11"/>
        <v>0</v>
      </c>
      <c r="AM4" s="154">
        <v>0.0</v>
      </c>
      <c r="AN4" s="27">
        <v>40000.0</v>
      </c>
      <c r="AO4" s="150">
        <f t="shared" si="12"/>
        <v>0</v>
      </c>
      <c r="AP4" s="154">
        <v>0.0</v>
      </c>
      <c r="AQ4" s="27">
        <v>3000.0</v>
      </c>
      <c r="AR4" s="150">
        <f t="shared" si="13"/>
        <v>0</v>
      </c>
      <c r="AS4" s="154">
        <v>0.0</v>
      </c>
      <c r="AT4" s="27">
        <v>7000.0</v>
      </c>
      <c r="AU4" s="150">
        <f t="shared" si="14"/>
        <v>0</v>
      </c>
      <c r="AV4" s="154">
        <v>0.0</v>
      </c>
      <c r="AW4" s="27">
        <v>2000.0</v>
      </c>
      <c r="AX4" s="150">
        <f t="shared" si="15"/>
        <v>0</v>
      </c>
      <c r="AY4" s="157">
        <v>0.0</v>
      </c>
      <c r="AZ4" s="158">
        <v>50000.0</v>
      </c>
      <c r="BA4" s="159">
        <f t="shared" si="16"/>
        <v>0</v>
      </c>
      <c r="BB4" s="139">
        <f t="shared" si="17"/>
        <v>26237.76</v>
      </c>
      <c r="BC4" s="147">
        <f t="shared" si="18"/>
        <v>1.42395311</v>
      </c>
      <c r="BD4" s="148">
        <f t="shared" si="19"/>
        <v>0.7022703158</v>
      </c>
      <c r="BE4" s="27" t="str">
        <f t="shared" si="20"/>
        <v>YES</v>
      </c>
      <c r="BF4" s="27"/>
      <c r="BG4" s="27"/>
      <c r="BH4" s="27"/>
      <c r="BI4" s="27"/>
      <c r="BJ4" s="27"/>
    </row>
    <row r="5" ht="15.75" customHeight="1">
      <c r="A5" s="22"/>
      <c r="B5" s="23" t="s">
        <v>21</v>
      </c>
      <c r="C5" s="24" t="s">
        <v>43</v>
      </c>
      <c r="D5" s="24" t="s">
        <v>44</v>
      </c>
      <c r="E5" s="160" t="s">
        <v>45</v>
      </c>
      <c r="F5" s="149" t="s">
        <v>479</v>
      </c>
      <c r="G5" s="27"/>
      <c r="H5" s="27" t="s">
        <v>26</v>
      </c>
      <c r="I5" s="150" t="s">
        <v>480</v>
      </c>
      <c r="J5" s="151">
        <v>150000.0</v>
      </c>
      <c r="K5" s="27">
        <v>100.0</v>
      </c>
      <c r="L5" s="27">
        <v>5.0</v>
      </c>
      <c r="M5" s="27">
        <v>150000.0</v>
      </c>
      <c r="N5" s="27">
        <v>0.0</v>
      </c>
      <c r="O5" s="27">
        <v>0.0</v>
      </c>
      <c r="P5" s="15">
        <f t="shared" si="1"/>
        <v>30000</v>
      </c>
      <c r="Q5" s="15">
        <f t="shared" si="2"/>
        <v>6000</v>
      </c>
      <c r="R5" s="27">
        <v>1.0</v>
      </c>
      <c r="S5" s="136">
        <f t="shared" si="3"/>
        <v>150000</v>
      </c>
      <c r="T5" s="152">
        <v>10.0</v>
      </c>
      <c r="U5" s="27">
        <v>0.6</v>
      </c>
      <c r="V5" s="27">
        <v>20.0</v>
      </c>
      <c r="W5" s="15">
        <f t="shared" si="4"/>
        <v>438000</v>
      </c>
      <c r="X5" s="136">
        <f t="shared" si="5"/>
        <v>481800</v>
      </c>
      <c r="Y5" s="153">
        <f t="shared" si="6"/>
        <v>43800</v>
      </c>
      <c r="Z5" s="152">
        <v>4.0</v>
      </c>
      <c r="AA5" s="155">
        <v>20000.0</v>
      </c>
      <c r="AB5" s="156">
        <f t="shared" si="7"/>
        <v>800</v>
      </c>
      <c r="AC5" s="154">
        <v>0.0</v>
      </c>
      <c r="AD5" s="27">
        <v>50000.0</v>
      </c>
      <c r="AE5" s="27">
        <v>0.15</v>
      </c>
      <c r="AF5" s="27">
        <f t="shared" si="8"/>
        <v>7500</v>
      </c>
      <c r="AG5" s="150">
        <f t="shared" si="9"/>
        <v>0</v>
      </c>
      <c r="AH5" s="154">
        <v>0.0</v>
      </c>
      <c r="AI5" s="27">
        <v>5000.0</v>
      </c>
      <c r="AJ5" s="150">
        <f t="shared" si="10"/>
        <v>0</v>
      </c>
      <c r="AK5" s="154">
        <v>0.0</v>
      </c>
      <c r="AL5" s="150">
        <f t="shared" si="11"/>
        <v>0</v>
      </c>
      <c r="AM5" s="154">
        <v>0.0</v>
      </c>
      <c r="AN5" s="27">
        <v>40000.0</v>
      </c>
      <c r="AO5" s="150">
        <f t="shared" si="12"/>
        <v>0</v>
      </c>
      <c r="AP5" s="154">
        <v>0.0</v>
      </c>
      <c r="AQ5" s="27">
        <v>3000.0</v>
      </c>
      <c r="AR5" s="150">
        <f t="shared" si="13"/>
        <v>0</v>
      </c>
      <c r="AS5" s="154">
        <v>0.0</v>
      </c>
      <c r="AT5" s="27">
        <v>7000.0</v>
      </c>
      <c r="AU5" s="150">
        <f t="shared" si="14"/>
        <v>0</v>
      </c>
      <c r="AV5" s="154">
        <v>0.0</v>
      </c>
      <c r="AW5" s="27">
        <v>2000.0</v>
      </c>
      <c r="AX5" s="150">
        <f t="shared" si="15"/>
        <v>0</v>
      </c>
      <c r="AY5" s="157">
        <v>0.0</v>
      </c>
      <c r="AZ5" s="158">
        <v>50000.0</v>
      </c>
      <c r="BA5" s="159">
        <f t="shared" si="16"/>
        <v>0</v>
      </c>
      <c r="BB5" s="139">
        <f t="shared" si="17"/>
        <v>8600</v>
      </c>
      <c r="BC5" s="147">
        <f t="shared" si="18"/>
        <v>0.05733333333</v>
      </c>
      <c r="BD5" s="148">
        <f t="shared" si="19"/>
        <v>17.44186047</v>
      </c>
      <c r="BE5" s="27" t="str">
        <f t="shared" si="20"/>
        <v>NO</v>
      </c>
      <c r="BF5" s="27"/>
      <c r="BG5" s="27"/>
      <c r="BH5" s="27"/>
      <c r="BI5" s="27"/>
      <c r="BJ5" s="27"/>
    </row>
    <row r="6" ht="15.75" customHeight="1">
      <c r="A6" s="22"/>
      <c r="B6" s="23" t="s">
        <v>21</v>
      </c>
      <c r="C6" s="24" t="s">
        <v>52</v>
      </c>
      <c r="D6" s="24" t="s">
        <v>53</v>
      </c>
      <c r="E6" s="160" t="s">
        <v>54</v>
      </c>
      <c r="F6" s="149" t="s">
        <v>481</v>
      </c>
      <c r="G6" s="27"/>
      <c r="H6" s="27" t="s">
        <v>26</v>
      </c>
      <c r="I6" s="150" t="s">
        <v>56</v>
      </c>
      <c r="J6" s="161">
        <v>110000.0</v>
      </c>
      <c r="K6" s="27">
        <v>100.0</v>
      </c>
      <c r="L6" s="27">
        <v>5.0</v>
      </c>
      <c r="M6" s="162">
        <v>110000.0</v>
      </c>
      <c r="N6" s="27">
        <v>0.0</v>
      </c>
      <c r="O6" s="27">
        <v>0.0</v>
      </c>
      <c r="P6" s="15">
        <f t="shared" si="1"/>
        <v>22000</v>
      </c>
      <c r="Q6" s="15">
        <f t="shared" si="2"/>
        <v>4400</v>
      </c>
      <c r="R6" s="27">
        <v>1.0</v>
      </c>
      <c r="S6" s="136">
        <f t="shared" si="3"/>
        <v>110000</v>
      </c>
      <c r="T6" s="163">
        <v>7.0</v>
      </c>
      <c r="U6" s="27">
        <v>0.6</v>
      </c>
      <c r="V6" s="27">
        <v>20.0</v>
      </c>
      <c r="W6" s="15">
        <f t="shared" si="4"/>
        <v>438000</v>
      </c>
      <c r="X6" s="136">
        <f t="shared" si="5"/>
        <v>468660</v>
      </c>
      <c r="Y6" s="153">
        <f t="shared" si="6"/>
        <v>30660</v>
      </c>
      <c r="Z6" s="154">
        <v>0.0</v>
      </c>
      <c r="AA6" s="155">
        <v>20000.0</v>
      </c>
      <c r="AB6" s="156">
        <f t="shared" si="7"/>
        <v>0</v>
      </c>
      <c r="AC6" s="154">
        <v>0.0</v>
      </c>
      <c r="AD6" s="27">
        <v>50000.0</v>
      </c>
      <c r="AE6" s="27">
        <v>0.15</v>
      </c>
      <c r="AF6" s="27">
        <f t="shared" si="8"/>
        <v>7500</v>
      </c>
      <c r="AG6" s="150">
        <f t="shared" si="9"/>
        <v>0</v>
      </c>
      <c r="AH6" s="154">
        <v>0.0</v>
      </c>
      <c r="AI6" s="27">
        <v>5000.0</v>
      </c>
      <c r="AJ6" s="150">
        <f t="shared" si="10"/>
        <v>0</v>
      </c>
      <c r="AK6" s="154">
        <v>0.0</v>
      </c>
      <c r="AL6" s="150">
        <f t="shared" si="11"/>
        <v>0</v>
      </c>
      <c r="AM6" s="154">
        <v>0.0</v>
      </c>
      <c r="AN6" s="27">
        <v>40000.0</v>
      </c>
      <c r="AO6" s="150">
        <f t="shared" si="12"/>
        <v>0</v>
      </c>
      <c r="AP6" s="154">
        <v>0.0</v>
      </c>
      <c r="AQ6" s="27">
        <v>3000.0</v>
      </c>
      <c r="AR6" s="150">
        <f t="shared" si="13"/>
        <v>0</v>
      </c>
      <c r="AS6" s="154">
        <v>0.0</v>
      </c>
      <c r="AT6" s="27">
        <v>7000.0</v>
      </c>
      <c r="AU6" s="150">
        <f t="shared" si="14"/>
        <v>0</v>
      </c>
      <c r="AV6" s="154">
        <v>0.0</v>
      </c>
      <c r="AW6" s="27">
        <v>2000.0</v>
      </c>
      <c r="AX6" s="150">
        <f t="shared" si="15"/>
        <v>0</v>
      </c>
      <c r="AY6" s="157">
        <v>0.0</v>
      </c>
      <c r="AZ6" s="158">
        <v>50000.0</v>
      </c>
      <c r="BA6" s="159">
        <f t="shared" si="16"/>
        <v>0</v>
      </c>
      <c r="BB6" s="139">
        <f t="shared" si="17"/>
        <v>4260</v>
      </c>
      <c r="BC6" s="147">
        <f t="shared" si="18"/>
        <v>0.03872727273</v>
      </c>
      <c r="BD6" s="148">
        <f t="shared" si="19"/>
        <v>25.82159624</v>
      </c>
      <c r="BE6" s="164" t="str">
        <f t="shared" si="20"/>
        <v>NO</v>
      </c>
      <c r="BF6" s="27"/>
      <c r="BG6" s="27"/>
      <c r="BH6" s="27"/>
      <c r="BI6" s="27"/>
      <c r="BJ6" s="27"/>
    </row>
    <row r="7" ht="15.75" customHeight="1">
      <c r="A7" s="22"/>
      <c r="B7" s="23" t="s">
        <v>60</v>
      </c>
      <c r="C7" s="24" t="s">
        <v>61</v>
      </c>
      <c r="D7" s="24" t="s">
        <v>62</v>
      </c>
      <c r="E7" s="160" t="s">
        <v>63</v>
      </c>
      <c r="F7" s="149" t="s">
        <v>482</v>
      </c>
      <c r="G7" s="27"/>
      <c r="H7" s="27" t="s">
        <v>26</v>
      </c>
      <c r="I7" s="150" t="s">
        <v>65</v>
      </c>
      <c r="J7" s="151">
        <v>200000.0</v>
      </c>
      <c r="K7" s="27">
        <v>100.0</v>
      </c>
      <c r="L7" s="27">
        <v>5.0</v>
      </c>
      <c r="M7" s="27">
        <v>200000.0</v>
      </c>
      <c r="N7" s="27">
        <v>0.0</v>
      </c>
      <c r="O7" s="27">
        <v>0.0</v>
      </c>
      <c r="P7" s="15">
        <f t="shared" si="1"/>
        <v>40000</v>
      </c>
      <c r="Q7" s="15">
        <f t="shared" si="2"/>
        <v>8000</v>
      </c>
      <c r="R7" s="27">
        <v>1.0</v>
      </c>
      <c r="S7" s="136">
        <f t="shared" si="3"/>
        <v>200000</v>
      </c>
      <c r="T7" s="152">
        <v>7.0</v>
      </c>
      <c r="U7" s="27">
        <v>0.6</v>
      </c>
      <c r="V7" s="27">
        <v>20.0</v>
      </c>
      <c r="W7" s="15">
        <f t="shared" si="4"/>
        <v>438000</v>
      </c>
      <c r="X7" s="136">
        <f t="shared" si="5"/>
        <v>468660</v>
      </c>
      <c r="Y7" s="153">
        <f t="shared" si="6"/>
        <v>30660</v>
      </c>
      <c r="Z7" s="154">
        <v>0.0</v>
      </c>
      <c r="AA7" s="155">
        <v>20000.0</v>
      </c>
      <c r="AB7" s="156">
        <f t="shared" si="7"/>
        <v>0</v>
      </c>
      <c r="AC7" s="152">
        <v>30.0</v>
      </c>
      <c r="AD7" s="27">
        <v>50000.0</v>
      </c>
      <c r="AE7" s="27">
        <v>0.15</v>
      </c>
      <c r="AF7" s="27">
        <f t="shared" si="8"/>
        <v>7500</v>
      </c>
      <c r="AG7" s="150">
        <f t="shared" si="9"/>
        <v>2250</v>
      </c>
      <c r="AH7" s="154">
        <v>0.0</v>
      </c>
      <c r="AI7" s="27">
        <v>5000.0</v>
      </c>
      <c r="AJ7" s="150">
        <f t="shared" si="10"/>
        <v>0</v>
      </c>
      <c r="AK7" s="154">
        <v>0.0</v>
      </c>
      <c r="AL7" s="150">
        <f t="shared" si="11"/>
        <v>0</v>
      </c>
      <c r="AM7" s="154">
        <v>0.0</v>
      </c>
      <c r="AN7" s="27">
        <v>40000.0</v>
      </c>
      <c r="AO7" s="150">
        <f t="shared" si="12"/>
        <v>0</v>
      </c>
      <c r="AP7" s="154">
        <v>0.0</v>
      </c>
      <c r="AQ7" s="27">
        <v>3000.0</v>
      </c>
      <c r="AR7" s="150">
        <f t="shared" si="13"/>
        <v>0</v>
      </c>
      <c r="AS7" s="154">
        <v>0.0</v>
      </c>
      <c r="AT7" s="27">
        <v>7000.0</v>
      </c>
      <c r="AU7" s="150">
        <f t="shared" si="14"/>
        <v>0</v>
      </c>
      <c r="AV7" s="154">
        <v>0.0</v>
      </c>
      <c r="AW7" s="27">
        <v>2000.0</v>
      </c>
      <c r="AX7" s="150">
        <f t="shared" si="15"/>
        <v>0</v>
      </c>
      <c r="AY7" s="157">
        <v>0.0</v>
      </c>
      <c r="AZ7" s="158">
        <v>50000.0</v>
      </c>
      <c r="BA7" s="159">
        <f t="shared" si="16"/>
        <v>0</v>
      </c>
      <c r="BB7" s="139">
        <f t="shared" si="17"/>
        <v>-15090</v>
      </c>
      <c r="BC7" s="147">
        <f t="shared" si="18"/>
        <v>-0.07545</v>
      </c>
      <c r="BD7" s="148" t="str">
        <f t="shared" si="19"/>
        <v>Payback period not applicable: the investment does not recover its cost under current conditions.</v>
      </c>
      <c r="BE7" s="27" t="str">
        <f t="shared" si="20"/>
        <v>NO</v>
      </c>
      <c r="BF7" s="27"/>
      <c r="BG7" s="27"/>
      <c r="BH7" s="27"/>
      <c r="BI7" s="27"/>
      <c r="BJ7" s="27"/>
    </row>
    <row r="8" ht="15.75" customHeight="1">
      <c r="A8" s="22"/>
      <c r="B8" s="23" t="s">
        <v>70</v>
      </c>
      <c r="C8" s="24" t="s">
        <v>71</v>
      </c>
      <c r="D8" s="24" t="s">
        <v>62</v>
      </c>
      <c r="E8" s="160" t="s">
        <v>72</v>
      </c>
      <c r="F8" s="54" t="s">
        <v>482</v>
      </c>
      <c r="G8" s="27"/>
      <c r="H8" s="27" t="s">
        <v>26</v>
      </c>
      <c r="I8" s="150" t="s">
        <v>74</v>
      </c>
      <c r="J8" s="151">
        <v>55000.0</v>
      </c>
      <c r="K8" s="27">
        <v>100.0</v>
      </c>
      <c r="L8" s="27">
        <v>5.0</v>
      </c>
      <c r="M8" s="27">
        <v>55000.0</v>
      </c>
      <c r="N8" s="27">
        <v>0.0</v>
      </c>
      <c r="O8" s="27">
        <v>0.0</v>
      </c>
      <c r="P8" s="15">
        <f t="shared" si="1"/>
        <v>11000</v>
      </c>
      <c r="Q8" s="15">
        <f t="shared" si="2"/>
        <v>2200</v>
      </c>
      <c r="R8" s="27">
        <v>1.0</v>
      </c>
      <c r="S8" s="136">
        <f t="shared" si="3"/>
        <v>55000</v>
      </c>
      <c r="T8" s="152">
        <v>14.0</v>
      </c>
      <c r="U8" s="27">
        <v>0.6</v>
      </c>
      <c r="V8" s="27">
        <v>20.0</v>
      </c>
      <c r="W8" s="15">
        <f t="shared" si="4"/>
        <v>438000</v>
      </c>
      <c r="X8" s="136">
        <f t="shared" si="5"/>
        <v>499320</v>
      </c>
      <c r="Y8" s="153">
        <f t="shared" si="6"/>
        <v>61320</v>
      </c>
      <c r="Z8" s="152">
        <v>43.0</v>
      </c>
      <c r="AA8" s="155">
        <v>20000.0</v>
      </c>
      <c r="AB8" s="156">
        <f t="shared" si="7"/>
        <v>8600</v>
      </c>
      <c r="AC8" s="154">
        <v>0.0</v>
      </c>
      <c r="AD8" s="27">
        <v>50000.0</v>
      </c>
      <c r="AE8" s="27">
        <v>0.15</v>
      </c>
      <c r="AF8" s="27">
        <f t="shared" si="8"/>
        <v>7500</v>
      </c>
      <c r="AG8" s="150">
        <f t="shared" si="9"/>
        <v>0</v>
      </c>
      <c r="AH8" s="154">
        <v>0.0</v>
      </c>
      <c r="AI8" s="27">
        <v>5000.0</v>
      </c>
      <c r="AJ8" s="150">
        <f t="shared" si="10"/>
        <v>0</v>
      </c>
      <c r="AK8" s="154">
        <v>0.0</v>
      </c>
      <c r="AL8" s="150">
        <f t="shared" si="11"/>
        <v>0</v>
      </c>
      <c r="AM8" s="154">
        <v>0.0</v>
      </c>
      <c r="AN8" s="27">
        <v>40000.0</v>
      </c>
      <c r="AO8" s="150">
        <f t="shared" si="12"/>
        <v>0</v>
      </c>
      <c r="AP8" s="154">
        <v>0.0</v>
      </c>
      <c r="AQ8" s="27">
        <v>3000.0</v>
      </c>
      <c r="AR8" s="150">
        <f t="shared" si="13"/>
        <v>0</v>
      </c>
      <c r="AS8" s="154">
        <v>0.0</v>
      </c>
      <c r="AT8" s="27">
        <v>7000.0</v>
      </c>
      <c r="AU8" s="150">
        <f t="shared" si="14"/>
        <v>0</v>
      </c>
      <c r="AV8" s="154">
        <v>0.0</v>
      </c>
      <c r="AW8" s="27">
        <v>2000.0</v>
      </c>
      <c r="AX8" s="150">
        <f t="shared" si="15"/>
        <v>0</v>
      </c>
      <c r="AY8" s="157">
        <v>0.0</v>
      </c>
      <c r="AZ8" s="158">
        <v>50000.0</v>
      </c>
      <c r="BA8" s="159">
        <f t="shared" si="16"/>
        <v>0</v>
      </c>
      <c r="BB8" s="139">
        <f t="shared" si="17"/>
        <v>56720</v>
      </c>
      <c r="BC8" s="147">
        <f t="shared" si="18"/>
        <v>1.031272727</v>
      </c>
      <c r="BD8" s="148">
        <f t="shared" si="19"/>
        <v>0.9696755994</v>
      </c>
      <c r="BE8" s="27" t="str">
        <f t="shared" si="20"/>
        <v>YES</v>
      </c>
      <c r="BF8" s="27"/>
      <c r="BG8" s="27"/>
      <c r="BH8" s="27"/>
      <c r="BI8" s="27"/>
      <c r="BJ8" s="27"/>
    </row>
    <row r="9" ht="15.75" customHeight="1">
      <c r="A9" s="22"/>
      <c r="B9" s="23" t="s">
        <v>76</v>
      </c>
      <c r="C9" s="24" t="s">
        <v>77</v>
      </c>
      <c r="D9" s="24" t="s">
        <v>62</v>
      </c>
      <c r="E9" s="160" t="s">
        <v>78</v>
      </c>
      <c r="F9" s="149" t="s">
        <v>483</v>
      </c>
      <c r="G9" s="27"/>
      <c r="H9" s="27" t="s">
        <v>26</v>
      </c>
      <c r="I9" s="150" t="s">
        <v>74</v>
      </c>
      <c r="J9" s="151">
        <v>2000000.0</v>
      </c>
      <c r="K9" s="27">
        <v>100.0</v>
      </c>
      <c r="L9" s="27">
        <v>5.0</v>
      </c>
      <c r="M9" s="27">
        <v>2000000.0</v>
      </c>
      <c r="N9" s="27">
        <v>0.0</v>
      </c>
      <c r="O9" s="27">
        <v>0.0</v>
      </c>
      <c r="P9" s="15">
        <f t="shared" si="1"/>
        <v>400000</v>
      </c>
      <c r="Q9" s="15">
        <f t="shared" si="2"/>
        <v>80000</v>
      </c>
      <c r="R9" s="27">
        <v>1.0</v>
      </c>
      <c r="S9" s="136">
        <f t="shared" si="3"/>
        <v>2000000</v>
      </c>
      <c r="T9" s="152">
        <v>14.0</v>
      </c>
      <c r="U9" s="27">
        <v>0.6</v>
      </c>
      <c r="V9" s="27">
        <v>20.0</v>
      </c>
      <c r="W9" s="15">
        <f t="shared" si="4"/>
        <v>438000</v>
      </c>
      <c r="X9" s="136">
        <f t="shared" si="5"/>
        <v>499320</v>
      </c>
      <c r="Y9" s="153">
        <f t="shared" si="6"/>
        <v>61320</v>
      </c>
      <c r="Z9" s="152">
        <v>43.0</v>
      </c>
      <c r="AA9" s="155">
        <v>20000.0</v>
      </c>
      <c r="AB9" s="156">
        <f t="shared" si="7"/>
        <v>8600</v>
      </c>
      <c r="AC9" s="154">
        <v>0.0</v>
      </c>
      <c r="AD9" s="27">
        <v>50000.0</v>
      </c>
      <c r="AE9" s="27">
        <v>0.15</v>
      </c>
      <c r="AF9" s="27">
        <f t="shared" si="8"/>
        <v>7500</v>
      </c>
      <c r="AG9" s="150">
        <f t="shared" si="9"/>
        <v>0</v>
      </c>
      <c r="AH9" s="154">
        <v>0.0</v>
      </c>
      <c r="AI9" s="27">
        <v>5000.0</v>
      </c>
      <c r="AJ9" s="150">
        <f t="shared" si="10"/>
        <v>0</v>
      </c>
      <c r="AK9" s="154">
        <v>0.0</v>
      </c>
      <c r="AL9" s="150">
        <f t="shared" si="11"/>
        <v>0</v>
      </c>
      <c r="AM9" s="154">
        <v>0.0</v>
      </c>
      <c r="AN9" s="27">
        <v>40000.0</v>
      </c>
      <c r="AO9" s="150">
        <f t="shared" si="12"/>
        <v>0</v>
      </c>
      <c r="AP9" s="154">
        <v>0.0</v>
      </c>
      <c r="AQ9" s="27">
        <v>3000.0</v>
      </c>
      <c r="AR9" s="150">
        <f t="shared" si="13"/>
        <v>0</v>
      </c>
      <c r="AS9" s="154">
        <v>0.0</v>
      </c>
      <c r="AT9" s="27">
        <v>7000.0</v>
      </c>
      <c r="AU9" s="150">
        <f t="shared" si="14"/>
        <v>0</v>
      </c>
      <c r="AV9" s="154">
        <v>0.0</v>
      </c>
      <c r="AW9" s="27">
        <v>2000.0</v>
      </c>
      <c r="AX9" s="150">
        <f t="shared" si="15"/>
        <v>0</v>
      </c>
      <c r="AY9" s="157">
        <v>0.0</v>
      </c>
      <c r="AZ9" s="158">
        <v>50000.0</v>
      </c>
      <c r="BA9" s="159">
        <f t="shared" si="16"/>
        <v>0</v>
      </c>
      <c r="BB9" s="139">
        <f t="shared" si="17"/>
        <v>-410080</v>
      </c>
      <c r="BC9" s="147">
        <f t="shared" si="18"/>
        <v>-0.20504</v>
      </c>
      <c r="BD9" s="148" t="str">
        <f t="shared" si="19"/>
        <v>Payback period not applicable: the investment does not recover its cost under current conditions.</v>
      </c>
      <c r="BE9" s="164" t="str">
        <f t="shared" si="20"/>
        <v>NO</v>
      </c>
      <c r="BF9" s="27"/>
      <c r="BG9" s="27"/>
      <c r="BH9" s="27"/>
      <c r="BI9" s="27"/>
      <c r="BJ9" s="27"/>
    </row>
    <row r="10" ht="18.0" customHeight="1">
      <c r="A10" s="39"/>
      <c r="B10" s="61" t="s">
        <v>80</v>
      </c>
      <c r="C10" s="40" t="s">
        <v>81</v>
      </c>
      <c r="D10" s="35" t="s">
        <v>44</v>
      </c>
      <c r="E10" s="165" t="s">
        <v>82</v>
      </c>
      <c r="F10" s="166" t="s">
        <v>484</v>
      </c>
      <c r="G10" s="43"/>
      <c r="H10" s="43" t="s">
        <v>26</v>
      </c>
      <c r="I10" s="167" t="s">
        <v>485</v>
      </c>
      <c r="J10" s="168">
        <v>188000.0</v>
      </c>
      <c r="K10" s="43">
        <v>100.0</v>
      </c>
      <c r="L10" s="27">
        <v>5.0</v>
      </c>
      <c r="M10" s="43">
        <v>188000.0</v>
      </c>
      <c r="N10" s="43">
        <v>0.0</v>
      </c>
      <c r="O10" s="43">
        <v>0.0</v>
      </c>
      <c r="P10" s="15">
        <f t="shared" si="1"/>
        <v>37600</v>
      </c>
      <c r="Q10" s="15">
        <f t="shared" si="2"/>
        <v>7520</v>
      </c>
      <c r="R10" s="43">
        <v>1.0</v>
      </c>
      <c r="S10" s="136">
        <f t="shared" si="3"/>
        <v>188000</v>
      </c>
      <c r="T10" s="169">
        <v>7.0</v>
      </c>
      <c r="U10" s="27">
        <v>0.6</v>
      </c>
      <c r="V10" s="27">
        <v>20.0</v>
      </c>
      <c r="W10" s="15">
        <f t="shared" si="4"/>
        <v>438000</v>
      </c>
      <c r="X10" s="136">
        <f t="shared" si="5"/>
        <v>468660</v>
      </c>
      <c r="Y10" s="170">
        <f t="shared" si="6"/>
        <v>30660</v>
      </c>
      <c r="Z10" s="169">
        <v>29.0</v>
      </c>
      <c r="AA10" s="155">
        <v>20000.0</v>
      </c>
      <c r="AB10" s="171">
        <f t="shared" si="7"/>
        <v>5800</v>
      </c>
      <c r="AC10" s="172">
        <v>0.0</v>
      </c>
      <c r="AD10" s="27">
        <v>50000.0</v>
      </c>
      <c r="AE10" s="27">
        <v>0.15</v>
      </c>
      <c r="AF10" s="43">
        <f t="shared" si="8"/>
        <v>7500</v>
      </c>
      <c r="AG10" s="167">
        <f t="shared" si="9"/>
        <v>0</v>
      </c>
      <c r="AH10" s="172">
        <v>0.0</v>
      </c>
      <c r="AI10" s="27">
        <v>5000.0</v>
      </c>
      <c r="AJ10" s="167">
        <f t="shared" si="10"/>
        <v>0</v>
      </c>
      <c r="AK10" s="172">
        <v>0.0</v>
      </c>
      <c r="AL10" s="167">
        <f t="shared" si="11"/>
        <v>0</v>
      </c>
      <c r="AM10" s="172">
        <v>0.0</v>
      </c>
      <c r="AN10" s="27">
        <v>40000.0</v>
      </c>
      <c r="AO10" s="167">
        <f t="shared" si="12"/>
        <v>0</v>
      </c>
      <c r="AP10" s="172">
        <v>0.0</v>
      </c>
      <c r="AQ10" s="27">
        <v>3000.0</v>
      </c>
      <c r="AR10" s="167">
        <f t="shared" si="13"/>
        <v>0</v>
      </c>
      <c r="AS10" s="172">
        <v>0.0</v>
      </c>
      <c r="AT10" s="27">
        <v>7000.0</v>
      </c>
      <c r="AU10" s="167">
        <f t="shared" si="14"/>
        <v>0</v>
      </c>
      <c r="AV10" s="172">
        <v>0.0</v>
      </c>
      <c r="AW10" s="27">
        <v>2000.0</v>
      </c>
      <c r="AX10" s="167">
        <f t="shared" si="15"/>
        <v>0</v>
      </c>
      <c r="AY10" s="173">
        <v>0.0</v>
      </c>
      <c r="AZ10" s="158">
        <v>50000.0</v>
      </c>
      <c r="BA10" s="174">
        <f t="shared" si="16"/>
        <v>0</v>
      </c>
      <c r="BB10" s="139">
        <f t="shared" si="17"/>
        <v>-8660</v>
      </c>
      <c r="BC10" s="147">
        <f t="shared" si="18"/>
        <v>-0.04606382979</v>
      </c>
      <c r="BD10" s="148" t="str">
        <f t="shared" si="19"/>
        <v>Payback period not applicable: the investment does not recover its cost under current conditions.</v>
      </c>
      <c r="BE10" s="164" t="str">
        <f t="shared" si="20"/>
        <v>NO</v>
      </c>
      <c r="BF10" s="27"/>
      <c r="BG10" s="27"/>
      <c r="BH10" s="27"/>
      <c r="BI10" s="27"/>
      <c r="BJ10" s="27"/>
    </row>
    <row r="11" ht="15.75" customHeight="1">
      <c r="A11" s="10" t="s">
        <v>107</v>
      </c>
      <c r="B11" s="50" t="s">
        <v>108</v>
      </c>
      <c r="C11" s="12" t="s">
        <v>109</v>
      </c>
      <c r="D11" s="12" t="s">
        <v>110</v>
      </c>
      <c r="E11" s="15" t="s">
        <v>111</v>
      </c>
      <c r="F11" s="135" t="s">
        <v>486</v>
      </c>
      <c r="G11" s="52" t="s">
        <v>113</v>
      </c>
      <c r="H11" s="15" t="s">
        <v>26</v>
      </c>
      <c r="I11" s="136" t="s">
        <v>114</v>
      </c>
      <c r="J11" s="175" t="s">
        <v>115</v>
      </c>
      <c r="K11" s="15">
        <v>100.0</v>
      </c>
      <c r="L11" s="15">
        <v>5.0</v>
      </c>
      <c r="M11" s="15">
        <v>0.0</v>
      </c>
      <c r="N11" s="15">
        <v>40.0</v>
      </c>
      <c r="O11" s="15">
        <v>4.0</v>
      </c>
      <c r="P11" s="15">
        <f t="shared" si="1"/>
        <v>5600</v>
      </c>
      <c r="Q11" s="15">
        <f t="shared" si="2"/>
        <v>1120</v>
      </c>
      <c r="R11" s="15">
        <v>1.0</v>
      </c>
      <c r="S11" s="136">
        <f t="shared" si="3"/>
        <v>28000</v>
      </c>
      <c r="T11" s="141">
        <v>0.0</v>
      </c>
      <c r="U11" s="15">
        <v>0.6</v>
      </c>
      <c r="V11" s="15">
        <v>20.0</v>
      </c>
      <c r="W11" s="15">
        <f t="shared" si="4"/>
        <v>438000</v>
      </c>
      <c r="X11" s="136">
        <f t="shared" si="5"/>
        <v>438000</v>
      </c>
      <c r="Y11" s="140">
        <f t="shared" si="6"/>
        <v>0</v>
      </c>
      <c r="Z11" s="139">
        <v>30.0</v>
      </c>
      <c r="AA11" s="142">
        <v>20000.0</v>
      </c>
      <c r="AB11" s="143">
        <f t="shared" si="7"/>
        <v>6000</v>
      </c>
      <c r="AC11" s="141">
        <v>0.0</v>
      </c>
      <c r="AD11" s="15">
        <v>50000.0</v>
      </c>
      <c r="AE11" s="15">
        <v>0.15</v>
      </c>
      <c r="AF11" s="15">
        <f t="shared" si="8"/>
        <v>7500</v>
      </c>
      <c r="AG11" s="136">
        <f t="shared" si="9"/>
        <v>0</v>
      </c>
      <c r="AH11" s="141">
        <v>0.0</v>
      </c>
      <c r="AI11" s="15">
        <v>5000.0</v>
      </c>
      <c r="AJ11" s="136">
        <f t="shared" si="10"/>
        <v>0</v>
      </c>
      <c r="AK11" s="139">
        <v>40.0</v>
      </c>
      <c r="AL11" s="136">
        <f t="shared" si="11"/>
        <v>4000</v>
      </c>
      <c r="AM11" s="141">
        <v>0.0</v>
      </c>
      <c r="AN11" s="15">
        <v>40000.0</v>
      </c>
      <c r="AO11" s="136">
        <f t="shared" si="12"/>
        <v>0</v>
      </c>
      <c r="AP11" s="141">
        <v>0.0</v>
      </c>
      <c r="AQ11" s="15">
        <v>3000.0</v>
      </c>
      <c r="AR11" s="136">
        <f t="shared" si="13"/>
        <v>0</v>
      </c>
      <c r="AS11" s="141">
        <v>0.0</v>
      </c>
      <c r="AT11" s="15">
        <v>7000.0</v>
      </c>
      <c r="AU11" s="136">
        <f t="shared" si="14"/>
        <v>0</v>
      </c>
      <c r="AV11" s="141">
        <v>0.0</v>
      </c>
      <c r="AW11" s="15">
        <v>2000.0</v>
      </c>
      <c r="AX11" s="136">
        <f t="shared" si="15"/>
        <v>0</v>
      </c>
      <c r="AY11" s="144">
        <v>0.0</v>
      </c>
      <c r="AZ11" s="145">
        <v>50000.0</v>
      </c>
      <c r="BA11" s="146">
        <f t="shared" si="16"/>
        <v>0</v>
      </c>
      <c r="BB11" s="139">
        <f t="shared" si="17"/>
        <v>3280</v>
      </c>
      <c r="BC11" s="147">
        <f t="shared" si="18"/>
        <v>0.1171428571</v>
      </c>
      <c r="BD11" s="148">
        <f t="shared" si="19"/>
        <v>8.536585366</v>
      </c>
      <c r="BE11" s="27" t="str">
        <f t="shared" si="20"/>
        <v>NO</v>
      </c>
      <c r="BF11" s="27"/>
      <c r="BG11" s="27"/>
      <c r="BH11" s="27"/>
      <c r="BI11" s="27"/>
      <c r="BJ11" s="27"/>
    </row>
    <row r="12" ht="16.5" customHeight="1">
      <c r="A12" s="22"/>
      <c r="B12" s="23" t="s">
        <v>120</v>
      </c>
      <c r="C12" s="24" t="s">
        <v>121</v>
      </c>
      <c r="D12" s="24" t="s">
        <v>122</v>
      </c>
      <c r="E12" s="54" t="s">
        <v>487</v>
      </c>
      <c r="F12" s="54" t="s">
        <v>488</v>
      </c>
      <c r="G12" s="27"/>
      <c r="H12" s="27" t="s">
        <v>26</v>
      </c>
      <c r="I12" s="150" t="s">
        <v>489</v>
      </c>
      <c r="J12" s="176" t="s">
        <v>126</v>
      </c>
      <c r="K12" s="27">
        <v>100.0</v>
      </c>
      <c r="L12" s="27">
        <v>5.0</v>
      </c>
      <c r="M12" s="27">
        <v>250.0</v>
      </c>
      <c r="N12" s="27">
        <v>0.0</v>
      </c>
      <c r="O12" s="27">
        <v>0.0</v>
      </c>
      <c r="P12" s="15">
        <f t="shared" si="1"/>
        <v>0</v>
      </c>
      <c r="Q12" s="15">
        <f t="shared" si="2"/>
        <v>10</v>
      </c>
      <c r="R12" s="27">
        <v>1.0</v>
      </c>
      <c r="S12" s="136">
        <f t="shared" si="3"/>
        <v>250</v>
      </c>
      <c r="T12" s="154">
        <v>0.0</v>
      </c>
      <c r="U12" s="27">
        <v>0.6</v>
      </c>
      <c r="V12" s="27">
        <v>20.0</v>
      </c>
      <c r="W12" s="15">
        <f t="shared" si="4"/>
        <v>438000</v>
      </c>
      <c r="X12" s="136">
        <f t="shared" si="5"/>
        <v>438000</v>
      </c>
      <c r="Y12" s="153">
        <f t="shared" si="6"/>
        <v>0</v>
      </c>
      <c r="Z12" s="152">
        <v>30.0</v>
      </c>
      <c r="AA12" s="155">
        <v>20000.0</v>
      </c>
      <c r="AB12" s="156">
        <f t="shared" si="7"/>
        <v>6000</v>
      </c>
      <c r="AC12" s="154">
        <v>0.0</v>
      </c>
      <c r="AD12" s="27">
        <v>50000.0</v>
      </c>
      <c r="AE12" s="27">
        <v>0.15</v>
      </c>
      <c r="AF12" s="27">
        <f t="shared" si="8"/>
        <v>7500</v>
      </c>
      <c r="AG12" s="150">
        <f t="shared" si="9"/>
        <v>0</v>
      </c>
      <c r="AH12" s="154">
        <v>0.0</v>
      </c>
      <c r="AI12" s="27">
        <v>5000.0</v>
      </c>
      <c r="AJ12" s="150">
        <f t="shared" si="10"/>
        <v>0</v>
      </c>
      <c r="AK12" s="152">
        <v>40.0</v>
      </c>
      <c r="AL12" s="150">
        <f t="shared" si="11"/>
        <v>4000</v>
      </c>
      <c r="AM12" s="154">
        <v>0.0</v>
      </c>
      <c r="AN12" s="27">
        <v>40000.0</v>
      </c>
      <c r="AO12" s="150">
        <f t="shared" si="12"/>
        <v>0</v>
      </c>
      <c r="AP12" s="154">
        <v>0.0</v>
      </c>
      <c r="AQ12" s="27">
        <v>3000.0</v>
      </c>
      <c r="AR12" s="150">
        <f t="shared" si="13"/>
        <v>0</v>
      </c>
      <c r="AS12" s="154">
        <v>0.0</v>
      </c>
      <c r="AT12" s="27">
        <v>7000.0</v>
      </c>
      <c r="AU12" s="150">
        <f t="shared" si="14"/>
        <v>0</v>
      </c>
      <c r="AV12" s="154">
        <v>0.0</v>
      </c>
      <c r="AW12" s="27">
        <v>2000.0</v>
      </c>
      <c r="AX12" s="150">
        <f t="shared" si="15"/>
        <v>0</v>
      </c>
      <c r="AY12" s="157">
        <v>0.0</v>
      </c>
      <c r="AZ12" s="158">
        <v>50000.0</v>
      </c>
      <c r="BA12" s="159">
        <f t="shared" si="16"/>
        <v>0</v>
      </c>
      <c r="BB12" s="139">
        <f t="shared" si="17"/>
        <v>9990</v>
      </c>
      <c r="BC12" s="147">
        <f t="shared" si="18"/>
        <v>39.96</v>
      </c>
      <c r="BD12" s="148">
        <f t="shared" si="19"/>
        <v>0.02502502503</v>
      </c>
      <c r="BE12" s="27" t="str">
        <f t="shared" si="20"/>
        <v>YES</v>
      </c>
      <c r="BF12" s="27"/>
      <c r="BG12" s="27"/>
      <c r="BH12" s="27"/>
      <c r="BI12" s="27"/>
      <c r="BJ12" s="27"/>
    </row>
    <row r="13" ht="16.5" customHeight="1">
      <c r="A13" s="22"/>
      <c r="B13" s="23" t="s">
        <v>120</v>
      </c>
      <c r="C13" s="24" t="s">
        <v>131</v>
      </c>
      <c r="D13" s="24" t="s">
        <v>62</v>
      </c>
      <c r="E13" s="27" t="s">
        <v>133</v>
      </c>
      <c r="F13" s="54" t="s">
        <v>490</v>
      </c>
      <c r="G13" s="54" t="s">
        <v>135</v>
      </c>
      <c r="H13" s="27" t="s">
        <v>26</v>
      </c>
      <c r="I13" s="150" t="s">
        <v>491</v>
      </c>
      <c r="J13" s="151">
        <v>2925.0</v>
      </c>
      <c r="K13" s="27">
        <v>100.0</v>
      </c>
      <c r="L13" s="27">
        <v>5.0</v>
      </c>
      <c r="M13" s="27">
        <v>2925.0</v>
      </c>
      <c r="N13" s="27">
        <v>80.0</v>
      </c>
      <c r="O13" s="27">
        <v>0.0</v>
      </c>
      <c r="P13" s="15">
        <f t="shared" si="1"/>
        <v>2185</v>
      </c>
      <c r="Q13" s="15">
        <f t="shared" si="2"/>
        <v>437</v>
      </c>
      <c r="R13" s="27">
        <v>1.0</v>
      </c>
      <c r="S13" s="136">
        <f t="shared" si="3"/>
        <v>10925</v>
      </c>
      <c r="T13" s="154">
        <v>0.0</v>
      </c>
      <c r="U13" s="27">
        <v>0.6</v>
      </c>
      <c r="V13" s="27">
        <v>20.0</v>
      </c>
      <c r="W13" s="15">
        <f t="shared" si="4"/>
        <v>438000</v>
      </c>
      <c r="X13" s="136">
        <f t="shared" si="5"/>
        <v>438000</v>
      </c>
      <c r="Y13" s="153">
        <f t="shared" si="6"/>
        <v>0</v>
      </c>
      <c r="Z13" s="152">
        <v>30.0</v>
      </c>
      <c r="AA13" s="155">
        <v>20000.0</v>
      </c>
      <c r="AB13" s="156">
        <f t="shared" si="7"/>
        <v>6000</v>
      </c>
      <c r="AC13" s="154">
        <v>0.0</v>
      </c>
      <c r="AD13" s="27">
        <v>50000.0</v>
      </c>
      <c r="AE13" s="27">
        <v>0.15</v>
      </c>
      <c r="AF13" s="27">
        <f t="shared" si="8"/>
        <v>7500</v>
      </c>
      <c r="AG13" s="150">
        <f t="shared" si="9"/>
        <v>0</v>
      </c>
      <c r="AH13" s="154">
        <v>0.0</v>
      </c>
      <c r="AI13" s="27">
        <v>5000.0</v>
      </c>
      <c r="AJ13" s="150">
        <f t="shared" si="10"/>
        <v>0</v>
      </c>
      <c r="AK13" s="152">
        <v>40.0</v>
      </c>
      <c r="AL13" s="150">
        <f t="shared" si="11"/>
        <v>4000</v>
      </c>
      <c r="AM13" s="154">
        <v>0.0</v>
      </c>
      <c r="AN13" s="27">
        <v>40000.0</v>
      </c>
      <c r="AO13" s="150">
        <f t="shared" si="12"/>
        <v>0</v>
      </c>
      <c r="AP13" s="154">
        <v>0.0</v>
      </c>
      <c r="AQ13" s="27">
        <v>3000.0</v>
      </c>
      <c r="AR13" s="150">
        <f t="shared" si="13"/>
        <v>0</v>
      </c>
      <c r="AS13" s="154">
        <v>0.0</v>
      </c>
      <c r="AT13" s="27">
        <v>7000.0</v>
      </c>
      <c r="AU13" s="150">
        <f t="shared" si="14"/>
        <v>0</v>
      </c>
      <c r="AV13" s="154">
        <v>0.0</v>
      </c>
      <c r="AW13" s="27">
        <v>2000.0</v>
      </c>
      <c r="AX13" s="150">
        <f t="shared" si="15"/>
        <v>0</v>
      </c>
      <c r="AY13" s="157">
        <v>0.0</v>
      </c>
      <c r="AZ13" s="158">
        <v>50000.0</v>
      </c>
      <c r="BA13" s="159">
        <f t="shared" si="16"/>
        <v>0</v>
      </c>
      <c r="BB13" s="139">
        <f t="shared" si="17"/>
        <v>7378</v>
      </c>
      <c r="BC13" s="147">
        <f t="shared" si="18"/>
        <v>0.6753318078</v>
      </c>
      <c r="BD13" s="148">
        <f t="shared" si="19"/>
        <v>1.480753592</v>
      </c>
      <c r="BE13" s="27" t="str">
        <f t="shared" si="20"/>
        <v>YES</v>
      </c>
      <c r="BF13" s="27"/>
      <c r="BG13" s="27"/>
      <c r="BH13" s="27"/>
      <c r="BI13" s="27"/>
      <c r="BJ13" s="27"/>
    </row>
    <row r="14" ht="15.75" customHeight="1">
      <c r="A14" s="39"/>
      <c r="B14" s="61" t="s">
        <v>140</v>
      </c>
      <c r="C14" s="40" t="s">
        <v>141</v>
      </c>
      <c r="D14" s="40" t="s">
        <v>132</v>
      </c>
      <c r="E14" s="43" t="s">
        <v>142</v>
      </c>
      <c r="F14" s="43" t="s">
        <v>492</v>
      </c>
      <c r="G14" s="43"/>
      <c r="H14" s="43" t="s">
        <v>26</v>
      </c>
      <c r="I14" s="167" t="s">
        <v>493</v>
      </c>
      <c r="J14" s="177" t="s">
        <v>145</v>
      </c>
      <c r="K14" s="27">
        <v>100.0</v>
      </c>
      <c r="L14" s="43">
        <v>5.0</v>
      </c>
      <c r="M14" s="43">
        <v>0.0</v>
      </c>
      <c r="N14" s="43">
        <v>65.0</v>
      </c>
      <c r="O14" s="43">
        <v>0.0</v>
      </c>
      <c r="P14" s="15">
        <f t="shared" si="1"/>
        <v>1300</v>
      </c>
      <c r="Q14" s="15">
        <f t="shared" si="2"/>
        <v>260</v>
      </c>
      <c r="R14" s="43">
        <v>1.0</v>
      </c>
      <c r="S14" s="136">
        <f t="shared" si="3"/>
        <v>6500</v>
      </c>
      <c r="T14" s="172">
        <v>0.0</v>
      </c>
      <c r="U14" s="27">
        <v>0.6</v>
      </c>
      <c r="V14" s="43">
        <v>20.0</v>
      </c>
      <c r="W14" s="15">
        <f t="shared" si="4"/>
        <v>438000</v>
      </c>
      <c r="X14" s="136">
        <f t="shared" si="5"/>
        <v>438000</v>
      </c>
      <c r="Y14" s="170">
        <f t="shared" si="6"/>
        <v>0</v>
      </c>
      <c r="Z14" s="169">
        <v>30.0</v>
      </c>
      <c r="AA14" s="155">
        <v>20000.0</v>
      </c>
      <c r="AB14" s="171">
        <f t="shared" si="7"/>
        <v>6000</v>
      </c>
      <c r="AC14" s="172">
        <v>0.0</v>
      </c>
      <c r="AD14" s="27">
        <v>50000.0</v>
      </c>
      <c r="AE14" s="27">
        <v>0.15</v>
      </c>
      <c r="AF14" s="43">
        <f t="shared" si="8"/>
        <v>7500</v>
      </c>
      <c r="AG14" s="167">
        <f t="shared" si="9"/>
        <v>0</v>
      </c>
      <c r="AH14" s="172">
        <v>0.0</v>
      </c>
      <c r="AI14" s="27">
        <v>5000.0</v>
      </c>
      <c r="AJ14" s="167">
        <f t="shared" si="10"/>
        <v>0</v>
      </c>
      <c r="AK14" s="169">
        <v>40.0</v>
      </c>
      <c r="AL14" s="167">
        <f t="shared" si="11"/>
        <v>4000</v>
      </c>
      <c r="AM14" s="172">
        <v>0.0</v>
      </c>
      <c r="AN14" s="27">
        <v>40000.0</v>
      </c>
      <c r="AO14" s="167">
        <f t="shared" si="12"/>
        <v>0</v>
      </c>
      <c r="AP14" s="172">
        <v>0.0</v>
      </c>
      <c r="AQ14" s="27">
        <v>3000.0</v>
      </c>
      <c r="AR14" s="167">
        <f t="shared" si="13"/>
        <v>0</v>
      </c>
      <c r="AS14" s="172">
        <v>0.0</v>
      </c>
      <c r="AT14" s="27">
        <v>7000.0</v>
      </c>
      <c r="AU14" s="167">
        <f t="shared" si="14"/>
        <v>0</v>
      </c>
      <c r="AV14" s="172">
        <v>0.0</v>
      </c>
      <c r="AW14" s="27">
        <v>2000.0</v>
      </c>
      <c r="AX14" s="167">
        <f t="shared" si="15"/>
        <v>0</v>
      </c>
      <c r="AY14" s="173">
        <v>0.0</v>
      </c>
      <c r="AZ14" s="158">
        <v>50000.0</v>
      </c>
      <c r="BA14" s="174">
        <f t="shared" si="16"/>
        <v>0</v>
      </c>
      <c r="BB14" s="139">
        <f t="shared" si="17"/>
        <v>8440</v>
      </c>
      <c r="BC14" s="147">
        <f t="shared" si="18"/>
        <v>1.298461538</v>
      </c>
      <c r="BD14" s="148">
        <f t="shared" si="19"/>
        <v>0.7701421801</v>
      </c>
      <c r="BE14" s="27" t="str">
        <f t="shared" si="20"/>
        <v>YES</v>
      </c>
      <c r="BF14" s="27"/>
      <c r="BG14" s="27"/>
      <c r="BH14" s="27"/>
      <c r="BI14" s="27"/>
      <c r="BJ14" s="27"/>
    </row>
    <row r="15" ht="15.75" customHeight="1">
      <c r="A15" s="10" t="s">
        <v>170</v>
      </c>
      <c r="B15" s="50" t="s">
        <v>171</v>
      </c>
      <c r="C15" s="12" t="s">
        <v>172</v>
      </c>
      <c r="D15" s="12" t="s">
        <v>173</v>
      </c>
      <c r="E15" s="15" t="s">
        <v>174</v>
      </c>
      <c r="F15" s="135" t="s">
        <v>494</v>
      </c>
      <c r="G15" s="15"/>
      <c r="H15" s="15" t="s">
        <v>26</v>
      </c>
      <c r="I15" s="136" t="s">
        <v>176</v>
      </c>
      <c r="J15" s="175" t="s">
        <v>177</v>
      </c>
      <c r="K15" s="15">
        <v>100.0</v>
      </c>
      <c r="L15" s="15">
        <v>5.0</v>
      </c>
      <c r="M15" s="15">
        <v>400.0</v>
      </c>
      <c r="N15" s="15">
        <v>0.0</v>
      </c>
      <c r="O15" s="15">
        <v>0.0</v>
      </c>
      <c r="P15" s="15">
        <f t="shared" si="1"/>
        <v>0</v>
      </c>
      <c r="Q15" s="15">
        <f t="shared" si="2"/>
        <v>16</v>
      </c>
      <c r="R15" s="15">
        <v>1.0</v>
      </c>
      <c r="S15" s="136">
        <f t="shared" si="3"/>
        <v>400</v>
      </c>
      <c r="T15" s="139">
        <v>10.0</v>
      </c>
      <c r="U15" s="15">
        <v>0.6</v>
      </c>
      <c r="V15" s="15">
        <v>20.0</v>
      </c>
      <c r="W15" s="15">
        <f t="shared" si="4"/>
        <v>438000</v>
      </c>
      <c r="X15" s="136">
        <f t="shared" si="5"/>
        <v>481800</v>
      </c>
      <c r="Y15" s="140">
        <f t="shared" si="6"/>
        <v>43800</v>
      </c>
      <c r="Z15" s="139">
        <v>0.0</v>
      </c>
      <c r="AA15" s="142">
        <v>20000.0</v>
      </c>
      <c r="AB15" s="143">
        <f t="shared" si="7"/>
        <v>0</v>
      </c>
      <c r="AC15" s="139">
        <v>39.0</v>
      </c>
      <c r="AD15" s="15">
        <v>50000.0</v>
      </c>
      <c r="AE15" s="15">
        <v>0.15</v>
      </c>
      <c r="AF15" s="15">
        <f t="shared" si="8"/>
        <v>7500</v>
      </c>
      <c r="AG15" s="136">
        <f t="shared" si="9"/>
        <v>2925</v>
      </c>
      <c r="AH15" s="141">
        <v>0.0</v>
      </c>
      <c r="AI15" s="15">
        <v>5000.0</v>
      </c>
      <c r="AJ15" s="136">
        <f t="shared" si="10"/>
        <v>0</v>
      </c>
      <c r="AK15" s="139">
        <v>146.0</v>
      </c>
      <c r="AL15" s="136">
        <f t="shared" si="11"/>
        <v>14600</v>
      </c>
      <c r="AM15" s="141">
        <v>0.0</v>
      </c>
      <c r="AN15" s="15">
        <v>40000.0</v>
      </c>
      <c r="AO15" s="136">
        <f t="shared" si="12"/>
        <v>0</v>
      </c>
      <c r="AP15" s="141">
        <v>0.0</v>
      </c>
      <c r="AQ15" s="15">
        <v>3000.0</v>
      </c>
      <c r="AR15" s="136">
        <f t="shared" si="13"/>
        <v>0</v>
      </c>
      <c r="AS15" s="141">
        <v>0.0</v>
      </c>
      <c r="AT15" s="15">
        <v>7000.0</v>
      </c>
      <c r="AU15" s="136">
        <f t="shared" si="14"/>
        <v>0</v>
      </c>
      <c r="AV15" s="141">
        <v>0.0</v>
      </c>
      <c r="AW15" s="15">
        <v>2000.0</v>
      </c>
      <c r="AX15" s="136">
        <f t="shared" si="15"/>
        <v>0</v>
      </c>
      <c r="AY15" s="144">
        <v>0.0</v>
      </c>
      <c r="AZ15" s="145">
        <v>50000.0</v>
      </c>
      <c r="BA15" s="146">
        <f t="shared" si="16"/>
        <v>0</v>
      </c>
      <c r="BB15" s="139">
        <f t="shared" si="17"/>
        <v>61309</v>
      </c>
      <c r="BC15" s="147">
        <f t="shared" si="18"/>
        <v>153.2725</v>
      </c>
      <c r="BD15" s="148">
        <f t="shared" si="19"/>
        <v>0.006524327586</v>
      </c>
      <c r="BE15" s="27" t="str">
        <f t="shared" si="20"/>
        <v>YES</v>
      </c>
      <c r="BF15" s="27"/>
      <c r="BG15" s="27"/>
      <c r="BH15" s="27"/>
      <c r="BI15" s="27"/>
      <c r="BJ15" s="27"/>
    </row>
    <row r="16" ht="15.75" customHeight="1">
      <c r="A16" s="22"/>
      <c r="B16" s="23" t="s">
        <v>171</v>
      </c>
      <c r="C16" s="24" t="s">
        <v>183</v>
      </c>
      <c r="D16" s="24" t="s">
        <v>44</v>
      </c>
      <c r="E16" s="178" t="s">
        <v>184</v>
      </c>
      <c r="F16" s="149" t="s">
        <v>495</v>
      </c>
      <c r="G16" s="27"/>
      <c r="H16" s="27" t="s">
        <v>186</v>
      </c>
      <c r="I16" s="150" t="s">
        <v>496</v>
      </c>
      <c r="J16" s="176" t="s">
        <v>188</v>
      </c>
      <c r="K16" s="27">
        <v>100.0</v>
      </c>
      <c r="L16" s="27">
        <v>5.0</v>
      </c>
      <c r="M16" s="27">
        <v>180000.0</v>
      </c>
      <c r="N16" s="27">
        <v>0.0</v>
      </c>
      <c r="O16" s="27">
        <v>0.0</v>
      </c>
      <c r="P16" s="15">
        <f t="shared" si="1"/>
        <v>36000</v>
      </c>
      <c r="Q16" s="15">
        <f t="shared" si="2"/>
        <v>7200</v>
      </c>
      <c r="R16" s="27">
        <v>1.0</v>
      </c>
      <c r="S16" s="136">
        <f t="shared" si="3"/>
        <v>180000</v>
      </c>
      <c r="T16" s="152">
        <v>10.0</v>
      </c>
      <c r="U16" s="27">
        <v>0.6</v>
      </c>
      <c r="V16" s="27">
        <v>20.0</v>
      </c>
      <c r="W16" s="15">
        <f t="shared" si="4"/>
        <v>438000</v>
      </c>
      <c r="X16" s="136">
        <f t="shared" si="5"/>
        <v>481800</v>
      </c>
      <c r="Y16" s="153">
        <f t="shared" si="6"/>
        <v>43800</v>
      </c>
      <c r="Z16" s="152">
        <v>79.0</v>
      </c>
      <c r="AA16" s="155">
        <v>20000.0</v>
      </c>
      <c r="AB16" s="156">
        <f t="shared" si="7"/>
        <v>15800</v>
      </c>
      <c r="AC16" s="152">
        <v>97.0</v>
      </c>
      <c r="AD16" s="27">
        <v>50000.0</v>
      </c>
      <c r="AE16" s="27">
        <v>0.15</v>
      </c>
      <c r="AF16" s="27">
        <f t="shared" si="8"/>
        <v>7500</v>
      </c>
      <c r="AG16" s="150">
        <f t="shared" si="9"/>
        <v>7275</v>
      </c>
      <c r="AH16" s="154">
        <v>0.0</v>
      </c>
      <c r="AI16" s="27">
        <v>5000.0</v>
      </c>
      <c r="AJ16" s="150">
        <f t="shared" si="10"/>
        <v>0</v>
      </c>
      <c r="AK16" s="154">
        <v>0.0</v>
      </c>
      <c r="AL16" s="150">
        <f t="shared" si="11"/>
        <v>0</v>
      </c>
      <c r="AM16" s="152">
        <v>33.0</v>
      </c>
      <c r="AN16" s="27">
        <v>40000.0</v>
      </c>
      <c r="AO16" s="150">
        <f t="shared" si="12"/>
        <v>13200</v>
      </c>
      <c r="AP16" s="154">
        <v>0.0</v>
      </c>
      <c r="AQ16" s="27">
        <v>3000.0</v>
      </c>
      <c r="AR16" s="150">
        <f t="shared" si="13"/>
        <v>0</v>
      </c>
      <c r="AS16" s="154">
        <v>0.0</v>
      </c>
      <c r="AT16" s="27">
        <v>7000.0</v>
      </c>
      <c r="AU16" s="150">
        <f t="shared" si="14"/>
        <v>0</v>
      </c>
      <c r="AV16" s="154">
        <v>0.0</v>
      </c>
      <c r="AW16" s="27">
        <v>2000.0</v>
      </c>
      <c r="AX16" s="150">
        <f t="shared" si="15"/>
        <v>0</v>
      </c>
      <c r="AY16" s="157">
        <v>0.0</v>
      </c>
      <c r="AZ16" s="158">
        <v>50000.0</v>
      </c>
      <c r="BA16" s="159">
        <f t="shared" si="16"/>
        <v>0</v>
      </c>
      <c r="BB16" s="139">
        <f t="shared" si="17"/>
        <v>36875</v>
      </c>
      <c r="BC16" s="147">
        <f t="shared" si="18"/>
        <v>0.2048611111</v>
      </c>
      <c r="BD16" s="148">
        <f t="shared" si="19"/>
        <v>4.881355932</v>
      </c>
      <c r="BE16" s="27" t="str">
        <f t="shared" si="20"/>
        <v>YES</v>
      </c>
      <c r="BF16" s="27"/>
      <c r="BG16" s="27"/>
      <c r="BH16" s="27"/>
      <c r="BI16" s="27"/>
      <c r="BJ16" s="27"/>
    </row>
    <row r="17" ht="15.75" customHeight="1">
      <c r="A17" s="22"/>
      <c r="B17" s="23" t="s">
        <v>171</v>
      </c>
      <c r="C17" s="24" t="s">
        <v>190</v>
      </c>
      <c r="D17" s="24" t="s">
        <v>191</v>
      </c>
      <c r="E17" s="27" t="s">
        <v>192</v>
      </c>
      <c r="F17" s="149" t="s">
        <v>497</v>
      </c>
      <c r="G17" s="27"/>
      <c r="H17" s="27" t="s">
        <v>186</v>
      </c>
      <c r="I17" s="150" t="s">
        <v>194</v>
      </c>
      <c r="J17" s="176" t="s">
        <v>195</v>
      </c>
      <c r="K17" s="27">
        <v>100.0</v>
      </c>
      <c r="L17" s="27">
        <v>5.0</v>
      </c>
      <c r="M17" s="27">
        <v>85000.0</v>
      </c>
      <c r="N17" s="27">
        <v>0.0</v>
      </c>
      <c r="O17" s="27">
        <v>0.0</v>
      </c>
      <c r="P17" s="15">
        <f t="shared" si="1"/>
        <v>17000</v>
      </c>
      <c r="Q17" s="15">
        <f t="shared" si="2"/>
        <v>3400</v>
      </c>
      <c r="R17" s="27">
        <v>1.0</v>
      </c>
      <c r="S17" s="136">
        <f t="shared" si="3"/>
        <v>85000</v>
      </c>
      <c r="T17" s="152">
        <v>10.0</v>
      </c>
      <c r="U17" s="27">
        <v>0.6</v>
      </c>
      <c r="V17" s="27">
        <v>20.0</v>
      </c>
      <c r="W17" s="15">
        <f t="shared" si="4"/>
        <v>438000</v>
      </c>
      <c r="X17" s="136">
        <f t="shared" si="5"/>
        <v>481800</v>
      </c>
      <c r="Y17" s="153">
        <f t="shared" si="6"/>
        <v>43800</v>
      </c>
      <c r="Z17" s="152">
        <v>20.0</v>
      </c>
      <c r="AA17" s="155">
        <v>20000.0</v>
      </c>
      <c r="AB17" s="156">
        <f t="shared" si="7"/>
        <v>4000</v>
      </c>
      <c r="AC17" s="152">
        <v>39.0</v>
      </c>
      <c r="AD17" s="27">
        <v>50000.0</v>
      </c>
      <c r="AE17" s="27">
        <v>0.15</v>
      </c>
      <c r="AF17" s="27">
        <f t="shared" si="8"/>
        <v>7500</v>
      </c>
      <c r="AG17" s="150">
        <f t="shared" si="9"/>
        <v>2925</v>
      </c>
      <c r="AH17" s="154">
        <v>0.0</v>
      </c>
      <c r="AI17" s="27">
        <v>5000.0</v>
      </c>
      <c r="AJ17" s="150">
        <f t="shared" si="10"/>
        <v>0</v>
      </c>
      <c r="AK17" s="154">
        <v>0.0</v>
      </c>
      <c r="AL17" s="150">
        <f t="shared" si="11"/>
        <v>0</v>
      </c>
      <c r="AM17" s="154">
        <v>0.0</v>
      </c>
      <c r="AN17" s="27">
        <v>40000.0</v>
      </c>
      <c r="AO17" s="150">
        <f t="shared" si="12"/>
        <v>0</v>
      </c>
      <c r="AP17" s="154">
        <v>0.0</v>
      </c>
      <c r="AQ17" s="27">
        <v>3000.0</v>
      </c>
      <c r="AR17" s="150">
        <f t="shared" si="13"/>
        <v>0</v>
      </c>
      <c r="AS17" s="154">
        <v>0.0</v>
      </c>
      <c r="AT17" s="27">
        <v>7000.0</v>
      </c>
      <c r="AU17" s="150">
        <f t="shared" si="14"/>
        <v>0</v>
      </c>
      <c r="AV17" s="154">
        <v>0.0</v>
      </c>
      <c r="AW17" s="27">
        <v>2000.0</v>
      </c>
      <c r="AX17" s="150">
        <f t="shared" si="15"/>
        <v>0</v>
      </c>
      <c r="AY17" s="157">
        <v>0.0</v>
      </c>
      <c r="AZ17" s="158">
        <v>50000.0</v>
      </c>
      <c r="BA17" s="159">
        <f t="shared" si="16"/>
        <v>0</v>
      </c>
      <c r="BB17" s="139">
        <f t="shared" si="17"/>
        <v>30325</v>
      </c>
      <c r="BC17" s="147">
        <f t="shared" si="18"/>
        <v>0.3567647059</v>
      </c>
      <c r="BD17" s="148">
        <f t="shared" si="19"/>
        <v>2.802967848</v>
      </c>
      <c r="BE17" s="27" t="str">
        <f t="shared" si="20"/>
        <v>YES</v>
      </c>
      <c r="BF17" s="27"/>
      <c r="BG17" s="27"/>
      <c r="BH17" s="27"/>
      <c r="BI17" s="27"/>
      <c r="BJ17" s="27"/>
    </row>
    <row r="18" ht="15.75" customHeight="1">
      <c r="A18" s="22"/>
      <c r="B18" s="23" t="s">
        <v>171</v>
      </c>
      <c r="C18" s="24" t="s">
        <v>197</v>
      </c>
      <c r="D18" s="24" t="s">
        <v>44</v>
      </c>
      <c r="E18" s="179" t="s">
        <v>198</v>
      </c>
      <c r="F18" s="54" t="s">
        <v>498</v>
      </c>
      <c r="G18" s="27"/>
      <c r="H18" s="27" t="s">
        <v>186</v>
      </c>
      <c r="I18" s="150" t="s">
        <v>499</v>
      </c>
      <c r="J18" s="176" t="s">
        <v>201</v>
      </c>
      <c r="K18" s="27">
        <v>100.0</v>
      </c>
      <c r="L18" s="27">
        <v>5.0</v>
      </c>
      <c r="M18" s="27">
        <v>8500.0</v>
      </c>
      <c r="N18" s="27">
        <v>0.0</v>
      </c>
      <c r="O18" s="27">
        <v>0.0</v>
      </c>
      <c r="P18" s="15">
        <f t="shared" si="1"/>
        <v>1700</v>
      </c>
      <c r="Q18" s="15">
        <f t="shared" si="2"/>
        <v>340</v>
      </c>
      <c r="R18" s="27">
        <v>1.0</v>
      </c>
      <c r="S18" s="136">
        <f t="shared" si="3"/>
        <v>8500</v>
      </c>
      <c r="T18" s="152">
        <v>10.0</v>
      </c>
      <c r="U18" s="27">
        <v>0.6</v>
      </c>
      <c r="V18" s="27">
        <v>20.0</v>
      </c>
      <c r="W18" s="15">
        <f t="shared" si="4"/>
        <v>438000</v>
      </c>
      <c r="X18" s="136">
        <f t="shared" si="5"/>
        <v>481800</v>
      </c>
      <c r="Y18" s="153">
        <f t="shared" si="6"/>
        <v>43800</v>
      </c>
      <c r="Z18" s="152">
        <v>65.0</v>
      </c>
      <c r="AA18" s="155">
        <v>20000.0</v>
      </c>
      <c r="AB18" s="156">
        <f t="shared" si="7"/>
        <v>13000</v>
      </c>
      <c r="AC18" s="152">
        <v>39.0</v>
      </c>
      <c r="AD18" s="27">
        <v>50000.0</v>
      </c>
      <c r="AE18" s="27">
        <v>0.15</v>
      </c>
      <c r="AF18" s="27">
        <f t="shared" si="8"/>
        <v>7500</v>
      </c>
      <c r="AG18" s="150">
        <f t="shared" si="9"/>
        <v>2925</v>
      </c>
      <c r="AH18" s="154">
        <v>0.0</v>
      </c>
      <c r="AI18" s="27">
        <v>5000.0</v>
      </c>
      <c r="AJ18" s="150">
        <f t="shared" si="10"/>
        <v>0</v>
      </c>
      <c r="AK18" s="154">
        <v>0.0</v>
      </c>
      <c r="AL18" s="150">
        <f t="shared" si="11"/>
        <v>0</v>
      </c>
      <c r="AM18" s="154">
        <v>0.0</v>
      </c>
      <c r="AN18" s="27">
        <v>40000.0</v>
      </c>
      <c r="AO18" s="150">
        <f t="shared" si="12"/>
        <v>0</v>
      </c>
      <c r="AP18" s="154">
        <v>0.0</v>
      </c>
      <c r="AQ18" s="27">
        <v>3000.0</v>
      </c>
      <c r="AR18" s="150">
        <f t="shared" si="13"/>
        <v>0</v>
      </c>
      <c r="AS18" s="154">
        <v>0.0</v>
      </c>
      <c r="AT18" s="27">
        <v>7000.0</v>
      </c>
      <c r="AU18" s="150">
        <f t="shared" si="14"/>
        <v>0</v>
      </c>
      <c r="AV18" s="154">
        <v>0.0</v>
      </c>
      <c r="AW18" s="27">
        <v>2000.0</v>
      </c>
      <c r="AX18" s="150">
        <f t="shared" si="15"/>
        <v>0</v>
      </c>
      <c r="AY18" s="157">
        <v>0.0</v>
      </c>
      <c r="AZ18" s="158">
        <v>50000.0</v>
      </c>
      <c r="BA18" s="159">
        <f t="shared" si="16"/>
        <v>0</v>
      </c>
      <c r="BB18" s="139">
        <f t="shared" si="17"/>
        <v>57685</v>
      </c>
      <c r="BC18" s="147">
        <f t="shared" si="18"/>
        <v>6.786470588</v>
      </c>
      <c r="BD18" s="148">
        <f t="shared" si="19"/>
        <v>0.1473519979</v>
      </c>
      <c r="BE18" s="27" t="str">
        <f t="shared" si="20"/>
        <v>YES</v>
      </c>
      <c r="BF18" s="27"/>
      <c r="BG18" s="27"/>
      <c r="BH18" s="27"/>
      <c r="BI18" s="27"/>
      <c r="BJ18" s="27"/>
    </row>
    <row r="19" ht="15.75" customHeight="1">
      <c r="A19" s="22"/>
      <c r="B19" s="23" t="s">
        <v>203</v>
      </c>
      <c r="C19" s="24" t="s">
        <v>204</v>
      </c>
      <c r="D19" s="24" t="s">
        <v>90</v>
      </c>
      <c r="E19" s="27" t="s">
        <v>205</v>
      </c>
      <c r="F19" s="54" t="s">
        <v>500</v>
      </c>
      <c r="G19" s="27"/>
      <c r="H19" s="27" t="s">
        <v>186</v>
      </c>
      <c r="I19" s="150" t="s">
        <v>501</v>
      </c>
      <c r="J19" s="176" t="s">
        <v>208</v>
      </c>
      <c r="K19" s="27">
        <v>100.0</v>
      </c>
      <c r="L19" s="27">
        <v>5.0</v>
      </c>
      <c r="M19" s="27">
        <v>175000.0</v>
      </c>
      <c r="N19" s="27">
        <v>0.0</v>
      </c>
      <c r="O19" s="27">
        <v>0.0</v>
      </c>
      <c r="P19" s="15">
        <f t="shared" si="1"/>
        <v>35000</v>
      </c>
      <c r="Q19" s="15">
        <f t="shared" si="2"/>
        <v>7000</v>
      </c>
      <c r="R19" s="27">
        <v>1.0</v>
      </c>
      <c r="S19" s="136">
        <f t="shared" si="3"/>
        <v>175000</v>
      </c>
      <c r="T19" s="152">
        <v>10.0</v>
      </c>
      <c r="U19" s="27">
        <v>0.6</v>
      </c>
      <c r="V19" s="27">
        <v>20.0</v>
      </c>
      <c r="W19" s="15">
        <f t="shared" si="4"/>
        <v>438000</v>
      </c>
      <c r="X19" s="136">
        <f t="shared" si="5"/>
        <v>481800</v>
      </c>
      <c r="Y19" s="153">
        <f t="shared" si="6"/>
        <v>43800</v>
      </c>
      <c r="Z19" s="152">
        <v>20.0</v>
      </c>
      <c r="AA19" s="155">
        <v>20000.0</v>
      </c>
      <c r="AB19" s="156">
        <f t="shared" si="7"/>
        <v>4000</v>
      </c>
      <c r="AC19" s="152">
        <v>39.0</v>
      </c>
      <c r="AD19" s="27">
        <v>50000.0</v>
      </c>
      <c r="AE19" s="27">
        <v>0.15</v>
      </c>
      <c r="AF19" s="27">
        <f t="shared" si="8"/>
        <v>7500</v>
      </c>
      <c r="AG19" s="150">
        <f t="shared" si="9"/>
        <v>2925</v>
      </c>
      <c r="AH19" s="154">
        <v>0.0</v>
      </c>
      <c r="AI19" s="27">
        <v>5000.0</v>
      </c>
      <c r="AJ19" s="150">
        <f t="shared" si="10"/>
        <v>0</v>
      </c>
      <c r="AK19" s="154">
        <v>0.0</v>
      </c>
      <c r="AL19" s="150">
        <f t="shared" si="11"/>
        <v>0</v>
      </c>
      <c r="AM19" s="154">
        <v>0.0</v>
      </c>
      <c r="AN19" s="27">
        <v>40000.0</v>
      </c>
      <c r="AO19" s="150">
        <f t="shared" si="12"/>
        <v>0</v>
      </c>
      <c r="AP19" s="152">
        <v>75.0</v>
      </c>
      <c r="AQ19" s="27">
        <v>3000.0</v>
      </c>
      <c r="AR19" s="150">
        <f t="shared" si="13"/>
        <v>2250</v>
      </c>
      <c r="AS19" s="154">
        <v>0.0</v>
      </c>
      <c r="AT19" s="27">
        <v>7000.0</v>
      </c>
      <c r="AU19" s="150">
        <f t="shared" si="14"/>
        <v>0</v>
      </c>
      <c r="AV19" s="154">
        <v>0.0</v>
      </c>
      <c r="AW19" s="27">
        <v>2000.0</v>
      </c>
      <c r="AX19" s="150">
        <f t="shared" si="15"/>
        <v>0</v>
      </c>
      <c r="AY19" s="157">
        <v>0.0</v>
      </c>
      <c r="AZ19" s="158">
        <v>50000.0</v>
      </c>
      <c r="BA19" s="159">
        <f t="shared" si="16"/>
        <v>0</v>
      </c>
      <c r="BB19" s="139">
        <f t="shared" si="17"/>
        <v>10975</v>
      </c>
      <c r="BC19" s="147">
        <f t="shared" si="18"/>
        <v>0.06271428571</v>
      </c>
      <c r="BD19" s="148">
        <f t="shared" si="19"/>
        <v>15.9453303</v>
      </c>
      <c r="BE19" s="27" t="str">
        <f t="shared" si="20"/>
        <v>NO</v>
      </c>
      <c r="BF19" s="27"/>
      <c r="BG19" s="27"/>
      <c r="BH19" s="27"/>
      <c r="BI19" s="27"/>
      <c r="BJ19" s="27"/>
    </row>
    <row r="20" ht="15.75" customHeight="1">
      <c r="A20" s="22"/>
      <c r="B20" s="23" t="s">
        <v>203</v>
      </c>
      <c r="C20" s="24" t="s">
        <v>211</v>
      </c>
      <c r="D20" s="24" t="s">
        <v>212</v>
      </c>
      <c r="E20" s="24" t="s">
        <v>213</v>
      </c>
      <c r="F20" s="149" t="s">
        <v>502</v>
      </c>
      <c r="G20" s="27"/>
      <c r="H20" s="27" t="s">
        <v>186</v>
      </c>
      <c r="I20" s="150" t="s">
        <v>503</v>
      </c>
      <c r="J20" s="176" t="s">
        <v>216</v>
      </c>
      <c r="K20" s="27">
        <v>100.0</v>
      </c>
      <c r="L20" s="27">
        <v>5.0</v>
      </c>
      <c r="M20" s="27">
        <v>50000.0</v>
      </c>
      <c r="N20" s="27">
        <v>0.0</v>
      </c>
      <c r="O20" s="27">
        <v>0.0</v>
      </c>
      <c r="P20" s="15">
        <f t="shared" si="1"/>
        <v>10000</v>
      </c>
      <c r="Q20" s="15">
        <f t="shared" si="2"/>
        <v>2000</v>
      </c>
      <c r="R20" s="27">
        <v>1.0</v>
      </c>
      <c r="S20" s="136">
        <f t="shared" si="3"/>
        <v>50000</v>
      </c>
      <c r="T20" s="152">
        <v>10.0</v>
      </c>
      <c r="U20" s="27">
        <v>0.6</v>
      </c>
      <c r="V20" s="27">
        <v>20.0</v>
      </c>
      <c r="W20" s="15">
        <f t="shared" si="4"/>
        <v>438000</v>
      </c>
      <c r="X20" s="136">
        <f t="shared" si="5"/>
        <v>481800</v>
      </c>
      <c r="Y20" s="153">
        <f t="shared" si="6"/>
        <v>43800</v>
      </c>
      <c r="Z20" s="152">
        <v>25.0</v>
      </c>
      <c r="AA20" s="155">
        <v>20000.0</v>
      </c>
      <c r="AB20" s="156">
        <f t="shared" si="7"/>
        <v>5000</v>
      </c>
      <c r="AC20" s="152">
        <v>39.0</v>
      </c>
      <c r="AD20" s="27">
        <v>50000.0</v>
      </c>
      <c r="AE20" s="27">
        <v>0.15</v>
      </c>
      <c r="AF20" s="27">
        <f t="shared" si="8"/>
        <v>7500</v>
      </c>
      <c r="AG20" s="150">
        <f t="shared" si="9"/>
        <v>2925</v>
      </c>
      <c r="AH20" s="154">
        <v>0.0</v>
      </c>
      <c r="AI20" s="27">
        <v>5000.0</v>
      </c>
      <c r="AJ20" s="150">
        <f t="shared" si="10"/>
        <v>0</v>
      </c>
      <c r="AK20" s="154">
        <v>0.0</v>
      </c>
      <c r="AL20" s="150">
        <f t="shared" si="11"/>
        <v>0</v>
      </c>
      <c r="AM20" s="152">
        <v>33.0</v>
      </c>
      <c r="AN20" s="27">
        <v>40000.0</v>
      </c>
      <c r="AO20" s="150">
        <f t="shared" si="12"/>
        <v>13200</v>
      </c>
      <c r="AP20" s="154">
        <v>0.0</v>
      </c>
      <c r="AQ20" s="27">
        <v>3000.0</v>
      </c>
      <c r="AR20" s="150">
        <f t="shared" si="13"/>
        <v>0</v>
      </c>
      <c r="AS20" s="154">
        <v>0.0</v>
      </c>
      <c r="AT20" s="27">
        <v>7000.0</v>
      </c>
      <c r="AU20" s="150">
        <f t="shared" si="14"/>
        <v>0</v>
      </c>
      <c r="AV20" s="154">
        <v>0.0</v>
      </c>
      <c r="AW20" s="27">
        <v>2000.0</v>
      </c>
      <c r="AX20" s="150">
        <f t="shared" si="15"/>
        <v>0</v>
      </c>
      <c r="AY20" s="157">
        <v>0.0</v>
      </c>
      <c r="AZ20" s="158">
        <v>50000.0</v>
      </c>
      <c r="BA20" s="159">
        <f t="shared" si="16"/>
        <v>0</v>
      </c>
      <c r="BB20" s="139">
        <f t="shared" si="17"/>
        <v>52925</v>
      </c>
      <c r="BC20" s="147">
        <f t="shared" si="18"/>
        <v>1.0585</v>
      </c>
      <c r="BD20" s="148">
        <f t="shared" si="19"/>
        <v>0.9447331129</v>
      </c>
      <c r="BE20" s="27" t="str">
        <f t="shared" si="20"/>
        <v>YES</v>
      </c>
      <c r="BF20" s="27"/>
      <c r="BG20" s="27"/>
      <c r="BH20" s="27"/>
      <c r="BI20" s="27"/>
      <c r="BJ20" s="27"/>
    </row>
    <row r="21" ht="15.75" customHeight="1">
      <c r="A21" s="22"/>
      <c r="B21" s="24" t="s">
        <v>203</v>
      </c>
      <c r="C21" s="24" t="s">
        <v>219</v>
      </c>
      <c r="D21" s="24" t="s">
        <v>220</v>
      </c>
      <c r="E21" s="27" t="s">
        <v>221</v>
      </c>
      <c r="F21" s="54" t="s">
        <v>504</v>
      </c>
      <c r="G21" s="54" t="s">
        <v>135</v>
      </c>
      <c r="H21" s="27" t="s">
        <v>223</v>
      </c>
      <c r="I21" s="150" t="s">
        <v>224</v>
      </c>
      <c r="J21" s="176" t="s">
        <v>225</v>
      </c>
      <c r="K21" s="27">
        <v>100.0</v>
      </c>
      <c r="L21" s="27">
        <v>5.0</v>
      </c>
      <c r="M21" s="27">
        <v>75000.0</v>
      </c>
      <c r="N21" s="27">
        <v>0.0</v>
      </c>
      <c r="O21" s="27">
        <v>0.0</v>
      </c>
      <c r="P21" s="15">
        <f t="shared" si="1"/>
        <v>15000</v>
      </c>
      <c r="Q21" s="15">
        <f t="shared" si="2"/>
        <v>3000</v>
      </c>
      <c r="R21" s="27">
        <v>1.0</v>
      </c>
      <c r="S21" s="136">
        <f t="shared" si="3"/>
        <v>75000</v>
      </c>
      <c r="T21" s="152">
        <v>10.0</v>
      </c>
      <c r="U21" s="27">
        <v>0.6</v>
      </c>
      <c r="V21" s="27">
        <v>20.0</v>
      </c>
      <c r="W21" s="15">
        <f t="shared" si="4"/>
        <v>438000</v>
      </c>
      <c r="X21" s="136">
        <f t="shared" si="5"/>
        <v>481800</v>
      </c>
      <c r="Y21" s="153">
        <f t="shared" si="6"/>
        <v>43800</v>
      </c>
      <c r="Z21" s="152">
        <v>20.0</v>
      </c>
      <c r="AA21" s="155">
        <v>20000.0</v>
      </c>
      <c r="AB21" s="156">
        <f t="shared" si="7"/>
        <v>4000</v>
      </c>
      <c r="AC21" s="152">
        <v>39.0</v>
      </c>
      <c r="AD21" s="27">
        <v>50000.0</v>
      </c>
      <c r="AE21" s="27">
        <v>0.15</v>
      </c>
      <c r="AF21" s="27">
        <f t="shared" si="8"/>
        <v>7500</v>
      </c>
      <c r="AG21" s="150">
        <f t="shared" si="9"/>
        <v>2925</v>
      </c>
      <c r="AH21" s="154">
        <v>0.0</v>
      </c>
      <c r="AI21" s="27">
        <v>5000.0</v>
      </c>
      <c r="AJ21" s="150">
        <f t="shared" si="10"/>
        <v>0</v>
      </c>
      <c r="AK21" s="154">
        <v>0.0</v>
      </c>
      <c r="AL21" s="150">
        <f t="shared" si="11"/>
        <v>0</v>
      </c>
      <c r="AM21" s="154">
        <v>0.0</v>
      </c>
      <c r="AN21" s="27">
        <v>40000.0</v>
      </c>
      <c r="AO21" s="150">
        <f t="shared" si="12"/>
        <v>0</v>
      </c>
      <c r="AP21" s="154">
        <v>0.0</v>
      </c>
      <c r="AQ21" s="27">
        <v>3000.0</v>
      </c>
      <c r="AR21" s="150">
        <f t="shared" si="13"/>
        <v>0</v>
      </c>
      <c r="AS21" s="154">
        <v>0.0</v>
      </c>
      <c r="AT21" s="27">
        <v>7000.0</v>
      </c>
      <c r="AU21" s="150">
        <f t="shared" si="14"/>
        <v>0</v>
      </c>
      <c r="AV21" s="154">
        <v>0.0</v>
      </c>
      <c r="AW21" s="27">
        <v>2000.0</v>
      </c>
      <c r="AX21" s="150">
        <f t="shared" si="15"/>
        <v>0</v>
      </c>
      <c r="AY21" s="157">
        <v>0.0</v>
      </c>
      <c r="AZ21" s="158">
        <v>50000.0</v>
      </c>
      <c r="BA21" s="159">
        <f t="shared" si="16"/>
        <v>0</v>
      </c>
      <c r="BB21" s="139">
        <f t="shared" si="17"/>
        <v>32725</v>
      </c>
      <c r="BC21" s="147">
        <f t="shared" si="18"/>
        <v>0.4363333333</v>
      </c>
      <c r="BD21" s="148">
        <f t="shared" si="19"/>
        <v>2.291825821</v>
      </c>
      <c r="BE21" s="27" t="str">
        <f t="shared" si="20"/>
        <v>YES</v>
      </c>
      <c r="BF21" s="27"/>
      <c r="BG21" s="27"/>
      <c r="BH21" s="27"/>
      <c r="BI21" s="27"/>
      <c r="BJ21" s="27"/>
    </row>
    <row r="22" ht="15.75" customHeight="1">
      <c r="A22" s="22"/>
      <c r="B22" s="23" t="s">
        <v>227</v>
      </c>
      <c r="C22" s="24" t="s">
        <v>228</v>
      </c>
      <c r="D22" s="24" t="s">
        <v>212</v>
      </c>
      <c r="E22" s="27" t="s">
        <v>229</v>
      </c>
      <c r="F22" s="149" t="s">
        <v>505</v>
      </c>
      <c r="G22" s="27"/>
      <c r="H22" s="74" t="s">
        <v>231</v>
      </c>
      <c r="I22" s="150" t="s">
        <v>506</v>
      </c>
      <c r="J22" s="176" t="s">
        <v>233</v>
      </c>
      <c r="K22" s="27">
        <v>100.0</v>
      </c>
      <c r="L22" s="27">
        <v>5.0</v>
      </c>
      <c r="M22" s="27">
        <v>35000.0</v>
      </c>
      <c r="N22" s="27">
        <v>0.0</v>
      </c>
      <c r="O22" s="27">
        <v>0.0</v>
      </c>
      <c r="P22" s="15">
        <f t="shared" si="1"/>
        <v>7000</v>
      </c>
      <c r="Q22" s="15">
        <f t="shared" si="2"/>
        <v>1400</v>
      </c>
      <c r="R22" s="27">
        <v>1.0</v>
      </c>
      <c r="S22" s="136">
        <f t="shared" si="3"/>
        <v>35000</v>
      </c>
      <c r="T22" s="152">
        <v>10.0</v>
      </c>
      <c r="U22" s="27">
        <v>0.6</v>
      </c>
      <c r="V22" s="27">
        <v>20.0</v>
      </c>
      <c r="W22" s="15">
        <f t="shared" si="4"/>
        <v>438000</v>
      </c>
      <c r="X22" s="136">
        <f t="shared" si="5"/>
        <v>481800</v>
      </c>
      <c r="Y22" s="153">
        <f t="shared" si="6"/>
        <v>43800</v>
      </c>
      <c r="Z22" s="152">
        <v>20.0</v>
      </c>
      <c r="AA22" s="155">
        <v>20000.0</v>
      </c>
      <c r="AB22" s="156">
        <f t="shared" si="7"/>
        <v>4000</v>
      </c>
      <c r="AC22" s="152">
        <v>39.0</v>
      </c>
      <c r="AD22" s="27">
        <v>50000.0</v>
      </c>
      <c r="AE22" s="27">
        <v>0.15</v>
      </c>
      <c r="AF22" s="27">
        <f t="shared" si="8"/>
        <v>7500</v>
      </c>
      <c r="AG22" s="150">
        <f t="shared" si="9"/>
        <v>2925</v>
      </c>
      <c r="AH22" s="154">
        <v>0.0</v>
      </c>
      <c r="AI22" s="27">
        <v>5000.0</v>
      </c>
      <c r="AJ22" s="150">
        <f t="shared" si="10"/>
        <v>0</v>
      </c>
      <c r="AK22" s="154">
        <v>0.0</v>
      </c>
      <c r="AL22" s="150">
        <f t="shared" si="11"/>
        <v>0</v>
      </c>
      <c r="AM22" s="154">
        <v>0.0</v>
      </c>
      <c r="AN22" s="27">
        <v>40000.0</v>
      </c>
      <c r="AO22" s="150">
        <f t="shared" si="12"/>
        <v>0</v>
      </c>
      <c r="AP22" s="154">
        <v>0.0</v>
      </c>
      <c r="AQ22" s="27">
        <v>3000.0</v>
      </c>
      <c r="AR22" s="150">
        <f t="shared" si="13"/>
        <v>0</v>
      </c>
      <c r="AS22" s="154">
        <v>0.0</v>
      </c>
      <c r="AT22" s="27">
        <v>7000.0</v>
      </c>
      <c r="AU22" s="150">
        <f t="shared" si="14"/>
        <v>0</v>
      </c>
      <c r="AV22" s="154">
        <v>0.0</v>
      </c>
      <c r="AW22" s="27">
        <v>2000.0</v>
      </c>
      <c r="AX22" s="150">
        <f t="shared" si="15"/>
        <v>0</v>
      </c>
      <c r="AY22" s="157">
        <v>0.0</v>
      </c>
      <c r="AZ22" s="158">
        <v>50000.0</v>
      </c>
      <c r="BA22" s="159">
        <f t="shared" si="16"/>
        <v>0</v>
      </c>
      <c r="BB22" s="139">
        <f t="shared" si="17"/>
        <v>42325</v>
      </c>
      <c r="BC22" s="147">
        <f t="shared" si="18"/>
        <v>1.209285714</v>
      </c>
      <c r="BD22" s="148">
        <f t="shared" si="19"/>
        <v>0.8269344359</v>
      </c>
      <c r="BE22" s="27" t="str">
        <f t="shared" si="20"/>
        <v>YES</v>
      </c>
      <c r="BF22" s="27"/>
      <c r="BG22" s="27"/>
      <c r="BH22" s="27"/>
      <c r="BI22" s="27"/>
      <c r="BJ22" s="27"/>
    </row>
    <row r="23" ht="15.0" customHeight="1">
      <c r="A23" s="22"/>
      <c r="B23" s="23" t="s">
        <v>171</v>
      </c>
      <c r="C23" s="24" t="s">
        <v>235</v>
      </c>
      <c r="D23" s="24" t="s">
        <v>236</v>
      </c>
      <c r="E23" s="24" t="s">
        <v>237</v>
      </c>
      <c r="F23" s="54" t="s">
        <v>507</v>
      </c>
      <c r="G23" s="27"/>
      <c r="H23" s="74" t="s">
        <v>231</v>
      </c>
      <c r="I23" s="150" t="s">
        <v>239</v>
      </c>
      <c r="J23" s="176" t="s">
        <v>225</v>
      </c>
      <c r="K23" s="27">
        <v>100.0</v>
      </c>
      <c r="L23" s="27">
        <v>5.0</v>
      </c>
      <c r="M23" s="27">
        <v>75000.0</v>
      </c>
      <c r="N23" s="27">
        <v>0.0</v>
      </c>
      <c r="O23" s="27">
        <v>0.0</v>
      </c>
      <c r="P23" s="15">
        <f t="shared" si="1"/>
        <v>15000</v>
      </c>
      <c r="Q23" s="15">
        <f t="shared" si="2"/>
        <v>3000</v>
      </c>
      <c r="R23" s="27">
        <v>1.0</v>
      </c>
      <c r="S23" s="136">
        <f t="shared" si="3"/>
        <v>75000</v>
      </c>
      <c r="T23" s="152">
        <v>10.0</v>
      </c>
      <c r="U23" s="27">
        <v>0.6</v>
      </c>
      <c r="V23" s="27">
        <v>20.0</v>
      </c>
      <c r="W23" s="15">
        <f t="shared" si="4"/>
        <v>438000</v>
      </c>
      <c r="X23" s="136">
        <f t="shared" si="5"/>
        <v>481800</v>
      </c>
      <c r="Y23" s="153">
        <f t="shared" si="6"/>
        <v>43800</v>
      </c>
      <c r="Z23" s="152">
        <v>20.0</v>
      </c>
      <c r="AA23" s="155">
        <v>20000.0</v>
      </c>
      <c r="AB23" s="156">
        <f t="shared" si="7"/>
        <v>4000</v>
      </c>
      <c r="AC23" s="152">
        <v>39.0</v>
      </c>
      <c r="AD23" s="27">
        <v>50000.0</v>
      </c>
      <c r="AE23" s="27">
        <v>0.15</v>
      </c>
      <c r="AF23" s="27">
        <f t="shared" si="8"/>
        <v>7500</v>
      </c>
      <c r="AG23" s="150">
        <f t="shared" si="9"/>
        <v>2925</v>
      </c>
      <c r="AH23" s="154">
        <v>0.0</v>
      </c>
      <c r="AI23" s="27">
        <v>5000.0</v>
      </c>
      <c r="AJ23" s="150">
        <f t="shared" si="10"/>
        <v>0</v>
      </c>
      <c r="AK23" s="154">
        <v>0.0</v>
      </c>
      <c r="AL23" s="150">
        <f t="shared" si="11"/>
        <v>0</v>
      </c>
      <c r="AM23" s="154">
        <v>0.0</v>
      </c>
      <c r="AN23" s="27">
        <v>40000.0</v>
      </c>
      <c r="AO23" s="150">
        <f t="shared" si="12"/>
        <v>0</v>
      </c>
      <c r="AP23" s="154">
        <v>0.0</v>
      </c>
      <c r="AQ23" s="27">
        <v>3000.0</v>
      </c>
      <c r="AR23" s="150">
        <f t="shared" si="13"/>
        <v>0</v>
      </c>
      <c r="AS23" s="154">
        <v>0.0</v>
      </c>
      <c r="AT23" s="27">
        <v>7000.0</v>
      </c>
      <c r="AU23" s="150">
        <f t="shared" si="14"/>
        <v>0</v>
      </c>
      <c r="AV23" s="154">
        <v>0.0</v>
      </c>
      <c r="AW23" s="27">
        <v>2000.0</v>
      </c>
      <c r="AX23" s="150">
        <f t="shared" si="15"/>
        <v>0</v>
      </c>
      <c r="AY23" s="157">
        <v>0.0</v>
      </c>
      <c r="AZ23" s="158">
        <v>50000.0</v>
      </c>
      <c r="BA23" s="159">
        <f t="shared" si="16"/>
        <v>0</v>
      </c>
      <c r="BB23" s="139">
        <f t="shared" si="17"/>
        <v>32725</v>
      </c>
      <c r="BC23" s="147">
        <f t="shared" si="18"/>
        <v>0.4363333333</v>
      </c>
      <c r="BD23" s="148">
        <f t="shared" si="19"/>
        <v>2.291825821</v>
      </c>
      <c r="BE23" s="27" t="str">
        <f t="shared" si="20"/>
        <v>YES</v>
      </c>
      <c r="BF23" s="27"/>
      <c r="BG23" s="27"/>
      <c r="BH23" s="27"/>
      <c r="BI23" s="27"/>
      <c r="BJ23" s="27"/>
    </row>
    <row r="24" ht="17.25" customHeight="1">
      <c r="A24" s="39"/>
      <c r="B24" s="61" t="s">
        <v>203</v>
      </c>
      <c r="C24" s="40" t="s">
        <v>242</v>
      </c>
      <c r="D24" s="40" t="s">
        <v>243</v>
      </c>
      <c r="E24" s="40" t="s">
        <v>244</v>
      </c>
      <c r="F24" s="180" t="s">
        <v>508</v>
      </c>
      <c r="G24" s="43"/>
      <c r="H24" s="43" t="s">
        <v>186</v>
      </c>
      <c r="I24" s="167" t="s">
        <v>246</v>
      </c>
      <c r="J24" s="177" t="s">
        <v>247</v>
      </c>
      <c r="K24" s="43">
        <v>100.0</v>
      </c>
      <c r="L24" s="43">
        <v>5.0</v>
      </c>
      <c r="M24" s="43">
        <v>15000.0</v>
      </c>
      <c r="N24" s="43">
        <v>0.0</v>
      </c>
      <c r="O24" s="43">
        <v>0.0</v>
      </c>
      <c r="P24" s="15">
        <f t="shared" si="1"/>
        <v>3000</v>
      </c>
      <c r="Q24" s="15">
        <f t="shared" si="2"/>
        <v>600</v>
      </c>
      <c r="R24" s="43">
        <v>1.0</v>
      </c>
      <c r="S24" s="136">
        <f t="shared" si="3"/>
        <v>15000</v>
      </c>
      <c r="T24" s="169">
        <v>10.0</v>
      </c>
      <c r="U24" s="27">
        <v>0.6</v>
      </c>
      <c r="V24" s="27">
        <v>20.0</v>
      </c>
      <c r="W24" s="15">
        <f t="shared" si="4"/>
        <v>438000</v>
      </c>
      <c r="X24" s="136">
        <f t="shared" si="5"/>
        <v>481800</v>
      </c>
      <c r="Y24" s="170">
        <f t="shared" si="6"/>
        <v>43800</v>
      </c>
      <c r="Z24" s="169">
        <v>70.0</v>
      </c>
      <c r="AA24" s="181">
        <v>20000.0</v>
      </c>
      <c r="AB24" s="171">
        <f t="shared" si="7"/>
        <v>14000</v>
      </c>
      <c r="AC24" s="169">
        <v>20.0</v>
      </c>
      <c r="AD24" s="27">
        <v>50000.0</v>
      </c>
      <c r="AE24" s="27">
        <v>0.15</v>
      </c>
      <c r="AF24" s="43">
        <f t="shared" si="8"/>
        <v>7500</v>
      </c>
      <c r="AG24" s="167">
        <f t="shared" si="9"/>
        <v>1500</v>
      </c>
      <c r="AH24" s="172">
        <v>0.0</v>
      </c>
      <c r="AI24" s="27">
        <v>5000.0</v>
      </c>
      <c r="AJ24" s="167">
        <f t="shared" si="10"/>
        <v>0</v>
      </c>
      <c r="AK24" s="172">
        <v>0.0</v>
      </c>
      <c r="AL24" s="167">
        <f t="shared" si="11"/>
        <v>0</v>
      </c>
      <c r="AM24" s="172">
        <v>0.0</v>
      </c>
      <c r="AN24" s="27">
        <v>40000.0</v>
      </c>
      <c r="AO24" s="167">
        <f t="shared" si="12"/>
        <v>0</v>
      </c>
      <c r="AP24" s="172">
        <v>0.0</v>
      </c>
      <c r="AQ24" s="27">
        <v>3000.0</v>
      </c>
      <c r="AR24" s="167">
        <f t="shared" si="13"/>
        <v>0</v>
      </c>
      <c r="AS24" s="172">
        <v>0.0</v>
      </c>
      <c r="AT24" s="27">
        <v>7000.0</v>
      </c>
      <c r="AU24" s="167">
        <f t="shared" si="14"/>
        <v>0</v>
      </c>
      <c r="AV24" s="172">
        <v>0.0</v>
      </c>
      <c r="AW24" s="27">
        <v>2000.0</v>
      </c>
      <c r="AX24" s="167">
        <f t="shared" si="15"/>
        <v>0</v>
      </c>
      <c r="AY24" s="173">
        <v>0.0</v>
      </c>
      <c r="AZ24" s="158">
        <v>50000.0</v>
      </c>
      <c r="BA24" s="174">
        <f t="shared" si="16"/>
        <v>0</v>
      </c>
      <c r="BB24" s="139">
        <f t="shared" si="17"/>
        <v>55700</v>
      </c>
      <c r="BC24" s="147">
        <f t="shared" si="18"/>
        <v>3.713333333</v>
      </c>
      <c r="BD24" s="148">
        <f t="shared" si="19"/>
        <v>0.2692998205</v>
      </c>
      <c r="BE24" s="27" t="str">
        <f t="shared" si="20"/>
        <v>YES</v>
      </c>
      <c r="BF24" s="27"/>
      <c r="BG24" s="27"/>
      <c r="BH24" s="27"/>
      <c r="BI24" s="27"/>
      <c r="BJ24" s="27"/>
    </row>
    <row r="25" ht="15.75" customHeight="1">
      <c r="A25" s="10" t="s">
        <v>323</v>
      </c>
      <c r="B25" s="50" t="s">
        <v>324</v>
      </c>
      <c r="C25" s="12" t="s">
        <v>325</v>
      </c>
      <c r="D25" s="12" t="s">
        <v>326</v>
      </c>
      <c r="E25" s="12" t="s">
        <v>327</v>
      </c>
      <c r="F25" s="135" t="s">
        <v>509</v>
      </c>
      <c r="G25" s="15"/>
      <c r="H25" s="15" t="s">
        <v>329</v>
      </c>
      <c r="I25" s="136" t="s">
        <v>510</v>
      </c>
      <c r="J25" s="176" t="s">
        <v>331</v>
      </c>
      <c r="K25" s="27">
        <v>100.0</v>
      </c>
      <c r="L25" s="27">
        <v>5.0</v>
      </c>
      <c r="M25" s="27">
        <v>0.0</v>
      </c>
      <c r="N25" s="27">
        <v>0.0</v>
      </c>
      <c r="O25" s="27">
        <v>3.75</v>
      </c>
      <c r="P25" s="15">
        <f t="shared" si="1"/>
        <v>4500</v>
      </c>
      <c r="Q25" s="15">
        <f t="shared" si="2"/>
        <v>900</v>
      </c>
      <c r="R25" s="27">
        <v>1.0</v>
      </c>
      <c r="S25" s="136">
        <f t="shared" si="3"/>
        <v>22500</v>
      </c>
      <c r="T25" s="154">
        <v>0.0</v>
      </c>
      <c r="U25" s="15">
        <v>0.6</v>
      </c>
      <c r="V25" s="15">
        <v>20.0</v>
      </c>
      <c r="W25" s="15">
        <f t="shared" si="4"/>
        <v>438000</v>
      </c>
      <c r="X25" s="136">
        <f t="shared" si="5"/>
        <v>438000</v>
      </c>
      <c r="Y25" s="153">
        <f t="shared" si="6"/>
        <v>0</v>
      </c>
      <c r="Z25" s="152">
        <v>25.0</v>
      </c>
      <c r="AA25" s="155">
        <v>20000.0</v>
      </c>
      <c r="AB25" s="156">
        <f t="shared" si="7"/>
        <v>5000</v>
      </c>
      <c r="AC25" s="154">
        <v>0.0</v>
      </c>
      <c r="AD25" s="15">
        <v>50000.0</v>
      </c>
      <c r="AE25" s="15">
        <v>0.15</v>
      </c>
      <c r="AF25" s="27">
        <f t="shared" si="8"/>
        <v>7500</v>
      </c>
      <c r="AG25" s="150">
        <f t="shared" si="9"/>
        <v>0</v>
      </c>
      <c r="AH25" s="154">
        <v>0.0</v>
      </c>
      <c r="AI25" s="15">
        <v>5000.0</v>
      </c>
      <c r="AJ25" s="150">
        <f t="shared" si="10"/>
        <v>0</v>
      </c>
      <c r="AK25" s="154">
        <v>0.0</v>
      </c>
      <c r="AL25" s="150">
        <f t="shared" si="11"/>
        <v>0</v>
      </c>
      <c r="AM25" s="154">
        <v>0.0</v>
      </c>
      <c r="AN25" s="15">
        <v>40000.0</v>
      </c>
      <c r="AO25" s="150">
        <f t="shared" si="12"/>
        <v>0</v>
      </c>
      <c r="AP25" s="154">
        <v>0.0</v>
      </c>
      <c r="AQ25" s="15">
        <v>3000.0</v>
      </c>
      <c r="AR25" s="150">
        <f t="shared" si="13"/>
        <v>0</v>
      </c>
      <c r="AS25" s="154">
        <v>0.0</v>
      </c>
      <c r="AT25" s="15">
        <v>7000.0</v>
      </c>
      <c r="AU25" s="150">
        <f t="shared" si="14"/>
        <v>0</v>
      </c>
      <c r="AV25" s="154">
        <v>0.0</v>
      </c>
      <c r="AW25" s="15">
        <v>2000.0</v>
      </c>
      <c r="AX25" s="150">
        <f t="shared" si="15"/>
        <v>0</v>
      </c>
      <c r="AY25" s="157">
        <v>0.0</v>
      </c>
      <c r="AZ25" s="145">
        <v>50000.0</v>
      </c>
      <c r="BA25" s="159">
        <f t="shared" si="16"/>
        <v>0</v>
      </c>
      <c r="BB25" s="139">
        <f t="shared" si="17"/>
        <v>-400</v>
      </c>
      <c r="BC25" s="147">
        <f t="shared" si="18"/>
        <v>-0.01777777778</v>
      </c>
      <c r="BD25" s="148" t="str">
        <f t="shared" si="19"/>
        <v>Payback period not applicable: the investment does not recover its cost under current conditions.</v>
      </c>
      <c r="BE25" s="27" t="str">
        <f t="shared" si="20"/>
        <v>NO</v>
      </c>
      <c r="BF25" s="27"/>
      <c r="BG25" s="27"/>
      <c r="BH25" s="27"/>
      <c r="BI25" s="27"/>
      <c r="BJ25" s="27"/>
    </row>
    <row r="26" ht="15.75" customHeight="1">
      <c r="A26" s="22"/>
      <c r="B26" s="23" t="s">
        <v>335</v>
      </c>
      <c r="C26" s="24" t="s">
        <v>336</v>
      </c>
      <c r="D26" s="24" t="s">
        <v>337</v>
      </c>
      <c r="E26" s="27" t="s">
        <v>338</v>
      </c>
      <c r="F26" s="149" t="s">
        <v>511</v>
      </c>
      <c r="G26" s="27"/>
      <c r="H26" s="27" t="s">
        <v>340</v>
      </c>
      <c r="I26" s="150" t="s">
        <v>341</v>
      </c>
      <c r="J26" s="176" t="s">
        <v>342</v>
      </c>
      <c r="K26" s="27">
        <v>100.0</v>
      </c>
      <c r="L26" s="27">
        <v>5.0</v>
      </c>
      <c r="M26" s="27">
        <v>3000.0</v>
      </c>
      <c r="N26" s="27">
        <v>0.0</v>
      </c>
      <c r="O26" s="27">
        <v>0.0</v>
      </c>
      <c r="P26" s="15">
        <f t="shared" si="1"/>
        <v>600</v>
      </c>
      <c r="Q26" s="15">
        <f t="shared" si="2"/>
        <v>120</v>
      </c>
      <c r="R26" s="27">
        <v>1.0</v>
      </c>
      <c r="S26" s="136">
        <f t="shared" si="3"/>
        <v>3000</v>
      </c>
      <c r="T26" s="152">
        <v>0.0</v>
      </c>
      <c r="U26" s="27">
        <v>0.6</v>
      </c>
      <c r="V26" s="27">
        <v>20.0</v>
      </c>
      <c r="W26" s="15">
        <f t="shared" si="4"/>
        <v>438000</v>
      </c>
      <c r="X26" s="136">
        <f t="shared" si="5"/>
        <v>438000</v>
      </c>
      <c r="Y26" s="153">
        <f t="shared" si="6"/>
        <v>0</v>
      </c>
      <c r="Z26" s="152">
        <v>0.0</v>
      </c>
      <c r="AA26" s="155">
        <v>20000.0</v>
      </c>
      <c r="AB26" s="156">
        <f t="shared" si="7"/>
        <v>0</v>
      </c>
      <c r="AC26" s="152">
        <v>0.0</v>
      </c>
      <c r="AD26" s="27">
        <v>50000.0</v>
      </c>
      <c r="AE26" s="27">
        <v>0.15</v>
      </c>
      <c r="AF26" s="27">
        <f t="shared" si="8"/>
        <v>7500</v>
      </c>
      <c r="AG26" s="150">
        <f t="shared" si="9"/>
        <v>0</v>
      </c>
      <c r="AH26" s="152">
        <v>0.0</v>
      </c>
      <c r="AI26" s="27">
        <v>5000.0</v>
      </c>
      <c r="AJ26" s="150">
        <f t="shared" si="10"/>
        <v>0</v>
      </c>
      <c r="AK26" s="152">
        <v>0.0</v>
      </c>
      <c r="AL26" s="150">
        <f t="shared" si="11"/>
        <v>0</v>
      </c>
      <c r="AM26" s="152">
        <v>0.0</v>
      </c>
      <c r="AN26" s="27">
        <v>40000.0</v>
      </c>
      <c r="AO26" s="150">
        <f t="shared" si="12"/>
        <v>0</v>
      </c>
      <c r="AP26" s="152">
        <v>0.0</v>
      </c>
      <c r="AQ26" s="27">
        <v>3000.0</v>
      </c>
      <c r="AR26" s="150">
        <f t="shared" si="13"/>
        <v>0</v>
      </c>
      <c r="AS26" s="152">
        <v>0.0</v>
      </c>
      <c r="AT26" s="27">
        <v>7000.0</v>
      </c>
      <c r="AU26" s="150">
        <f t="shared" si="14"/>
        <v>0</v>
      </c>
      <c r="AV26" s="152">
        <v>0.0</v>
      </c>
      <c r="AW26" s="27">
        <v>2000.0</v>
      </c>
      <c r="AX26" s="150">
        <f t="shared" si="15"/>
        <v>0</v>
      </c>
      <c r="AY26" s="157">
        <v>5.0</v>
      </c>
      <c r="AZ26" s="158">
        <v>50000.0</v>
      </c>
      <c r="BA26" s="159">
        <f t="shared" si="16"/>
        <v>2500</v>
      </c>
      <c r="BB26" s="139">
        <f t="shared" si="17"/>
        <v>1780</v>
      </c>
      <c r="BC26" s="147">
        <f t="shared" si="18"/>
        <v>0.5933333333</v>
      </c>
      <c r="BD26" s="148">
        <f t="shared" si="19"/>
        <v>1.685393258</v>
      </c>
      <c r="BE26" s="27" t="str">
        <f t="shared" si="20"/>
        <v>YES</v>
      </c>
      <c r="BF26" s="27"/>
      <c r="BG26" s="27"/>
      <c r="BH26" s="27"/>
      <c r="BI26" s="27"/>
      <c r="BJ26" s="27"/>
    </row>
    <row r="27" ht="16.5" customHeight="1">
      <c r="A27" s="22"/>
      <c r="B27" s="23" t="s">
        <v>108</v>
      </c>
      <c r="C27" s="24" t="s">
        <v>109</v>
      </c>
      <c r="D27" s="24" t="s">
        <v>343</v>
      </c>
      <c r="E27" s="27" t="s">
        <v>344</v>
      </c>
      <c r="F27" s="149" t="s">
        <v>486</v>
      </c>
      <c r="G27" s="27"/>
      <c r="H27" s="27" t="s">
        <v>346</v>
      </c>
      <c r="I27" s="150" t="s">
        <v>347</v>
      </c>
      <c r="J27" s="176" t="s">
        <v>348</v>
      </c>
      <c r="K27" s="27">
        <v>100.0</v>
      </c>
      <c r="L27" s="27">
        <v>5.0</v>
      </c>
      <c r="M27" s="27">
        <v>0.0</v>
      </c>
      <c r="N27" s="27">
        <v>40.0</v>
      </c>
      <c r="O27" s="27">
        <v>4.0</v>
      </c>
      <c r="P27" s="15">
        <f t="shared" si="1"/>
        <v>5600</v>
      </c>
      <c r="Q27" s="15">
        <f t="shared" si="2"/>
        <v>1120</v>
      </c>
      <c r="R27" s="27">
        <v>1.0</v>
      </c>
      <c r="S27" s="136">
        <f t="shared" si="3"/>
        <v>28000</v>
      </c>
      <c r="T27" s="154">
        <v>0.0</v>
      </c>
      <c r="U27" s="27">
        <v>0.6</v>
      </c>
      <c r="V27" s="27">
        <v>20.0</v>
      </c>
      <c r="W27" s="15">
        <f t="shared" si="4"/>
        <v>438000</v>
      </c>
      <c r="X27" s="136">
        <f t="shared" si="5"/>
        <v>438000</v>
      </c>
      <c r="Y27" s="153">
        <f t="shared" si="6"/>
        <v>0</v>
      </c>
      <c r="Z27" s="154">
        <v>0.0</v>
      </c>
      <c r="AA27" s="155">
        <v>20000.0</v>
      </c>
      <c r="AB27" s="156">
        <f t="shared" si="7"/>
        <v>0</v>
      </c>
      <c r="AC27" s="154">
        <v>0.0</v>
      </c>
      <c r="AD27" s="27">
        <v>50000.0</v>
      </c>
      <c r="AE27" s="27">
        <v>0.15</v>
      </c>
      <c r="AF27" s="27">
        <f t="shared" si="8"/>
        <v>7500</v>
      </c>
      <c r="AG27" s="150">
        <f t="shared" si="9"/>
        <v>0</v>
      </c>
      <c r="AH27" s="154">
        <v>0.0</v>
      </c>
      <c r="AI27" s="27">
        <v>5000.0</v>
      </c>
      <c r="AJ27" s="150">
        <f t="shared" si="10"/>
        <v>0</v>
      </c>
      <c r="AK27" s="154">
        <v>0.0</v>
      </c>
      <c r="AL27" s="150">
        <f t="shared" si="11"/>
        <v>0</v>
      </c>
      <c r="AM27" s="154">
        <v>0.0</v>
      </c>
      <c r="AN27" s="27">
        <v>40000.0</v>
      </c>
      <c r="AO27" s="150">
        <f t="shared" si="12"/>
        <v>0</v>
      </c>
      <c r="AP27" s="154">
        <v>0.0</v>
      </c>
      <c r="AQ27" s="27">
        <v>3000.0</v>
      </c>
      <c r="AR27" s="150">
        <f t="shared" si="13"/>
        <v>0</v>
      </c>
      <c r="AS27" s="152">
        <v>60.0</v>
      </c>
      <c r="AT27" s="27">
        <v>7000.0</v>
      </c>
      <c r="AU27" s="150">
        <f t="shared" si="14"/>
        <v>4200</v>
      </c>
      <c r="AV27" s="154">
        <v>0.0</v>
      </c>
      <c r="AW27" s="27">
        <v>2000.0</v>
      </c>
      <c r="AX27" s="150">
        <f t="shared" si="15"/>
        <v>0</v>
      </c>
      <c r="AY27" s="157">
        <v>0.0</v>
      </c>
      <c r="AZ27" s="158">
        <v>50000.0</v>
      </c>
      <c r="BA27" s="159">
        <f t="shared" si="16"/>
        <v>0</v>
      </c>
      <c r="BB27" s="139">
        <f t="shared" si="17"/>
        <v>-2520</v>
      </c>
      <c r="BC27" s="147">
        <f t="shared" si="18"/>
        <v>-0.09</v>
      </c>
      <c r="BD27" s="148" t="str">
        <f t="shared" si="19"/>
        <v>Payback period not applicable: the investment does not recover its cost under current conditions.</v>
      </c>
      <c r="BE27" s="164" t="str">
        <f t="shared" si="20"/>
        <v>NO</v>
      </c>
      <c r="BF27" s="27"/>
      <c r="BG27" s="27"/>
      <c r="BH27" s="27"/>
      <c r="BI27" s="27"/>
      <c r="BJ27" s="27"/>
    </row>
    <row r="28" ht="14.25" customHeight="1">
      <c r="A28" s="39"/>
      <c r="B28" s="61" t="s">
        <v>352</v>
      </c>
      <c r="C28" s="40" t="s">
        <v>353</v>
      </c>
      <c r="D28" s="40" t="s">
        <v>44</v>
      </c>
      <c r="E28" s="182" t="s">
        <v>198</v>
      </c>
      <c r="F28" s="166" t="s">
        <v>512</v>
      </c>
      <c r="G28" s="43"/>
      <c r="H28" s="43" t="s">
        <v>355</v>
      </c>
      <c r="I28" s="167" t="s">
        <v>356</v>
      </c>
      <c r="J28" s="177" t="s">
        <v>357</v>
      </c>
      <c r="K28" s="43">
        <v>100.0</v>
      </c>
      <c r="L28" s="43">
        <v>5.0</v>
      </c>
      <c r="M28" s="43">
        <v>150.0</v>
      </c>
      <c r="N28" s="43">
        <v>0.0</v>
      </c>
      <c r="O28" s="43">
        <v>0.0</v>
      </c>
      <c r="P28" s="15">
        <f t="shared" si="1"/>
        <v>0</v>
      </c>
      <c r="Q28" s="15">
        <f t="shared" si="2"/>
        <v>6</v>
      </c>
      <c r="R28" s="43">
        <v>1.0</v>
      </c>
      <c r="S28" s="136">
        <f t="shared" si="3"/>
        <v>150</v>
      </c>
      <c r="T28" s="169">
        <v>10.0</v>
      </c>
      <c r="U28" s="43">
        <v>0.6</v>
      </c>
      <c r="V28" s="43">
        <v>20.0</v>
      </c>
      <c r="W28" s="15">
        <f t="shared" si="4"/>
        <v>438000</v>
      </c>
      <c r="X28" s="136">
        <f t="shared" si="5"/>
        <v>481800</v>
      </c>
      <c r="Y28" s="170">
        <f t="shared" si="6"/>
        <v>43800</v>
      </c>
      <c r="Z28" s="172">
        <v>0.0</v>
      </c>
      <c r="AA28" s="181">
        <v>20000.0</v>
      </c>
      <c r="AB28" s="171">
        <f t="shared" si="7"/>
        <v>0</v>
      </c>
      <c r="AC28" s="172">
        <v>0.0</v>
      </c>
      <c r="AD28" s="43">
        <v>50000.0</v>
      </c>
      <c r="AE28" s="43">
        <v>0.15</v>
      </c>
      <c r="AF28" s="43">
        <f t="shared" si="8"/>
        <v>7500</v>
      </c>
      <c r="AG28" s="167">
        <f t="shared" si="9"/>
        <v>0</v>
      </c>
      <c r="AH28" s="172">
        <v>0.0</v>
      </c>
      <c r="AI28" s="27">
        <v>5000.0</v>
      </c>
      <c r="AJ28" s="167">
        <f t="shared" si="10"/>
        <v>0</v>
      </c>
      <c r="AK28" s="172">
        <v>0.0</v>
      </c>
      <c r="AL28" s="167">
        <f t="shared" si="11"/>
        <v>0</v>
      </c>
      <c r="AM28" s="172">
        <v>0.0</v>
      </c>
      <c r="AN28" s="27">
        <v>40000.0</v>
      </c>
      <c r="AO28" s="167">
        <f t="shared" si="12"/>
        <v>0</v>
      </c>
      <c r="AP28" s="172">
        <v>0.0</v>
      </c>
      <c r="AQ28" s="27">
        <v>3000.0</v>
      </c>
      <c r="AR28" s="167">
        <f t="shared" si="13"/>
        <v>0</v>
      </c>
      <c r="AS28" s="172">
        <v>0.0</v>
      </c>
      <c r="AT28" s="27">
        <v>7000.0</v>
      </c>
      <c r="AU28" s="167">
        <f t="shared" si="14"/>
        <v>0</v>
      </c>
      <c r="AV28" s="172">
        <v>0.0</v>
      </c>
      <c r="AW28" s="27">
        <v>2000.0</v>
      </c>
      <c r="AX28" s="167">
        <f t="shared" si="15"/>
        <v>0</v>
      </c>
      <c r="AY28" s="173">
        <v>0.0</v>
      </c>
      <c r="AZ28" s="158">
        <v>50000.0</v>
      </c>
      <c r="BA28" s="174">
        <f t="shared" si="16"/>
        <v>0</v>
      </c>
      <c r="BB28" s="139">
        <f t="shared" si="17"/>
        <v>43794</v>
      </c>
      <c r="BC28" s="147">
        <f t="shared" si="18"/>
        <v>291.96</v>
      </c>
      <c r="BD28" s="148">
        <f t="shared" si="19"/>
        <v>0.00342512673</v>
      </c>
      <c r="BE28" s="27" t="str">
        <f t="shared" si="20"/>
        <v>YES</v>
      </c>
      <c r="BF28" s="27"/>
      <c r="BG28" s="27"/>
      <c r="BH28" s="27"/>
      <c r="BI28" s="27"/>
      <c r="BJ28" s="27"/>
    </row>
    <row r="29" ht="21.75" customHeight="1">
      <c r="A29" s="111"/>
      <c r="B29" s="23"/>
      <c r="C29" s="24"/>
      <c r="D29" s="24"/>
      <c r="E29" s="27"/>
      <c r="F29" s="27"/>
      <c r="G29" s="27"/>
      <c r="H29" s="27"/>
      <c r="I29" s="27"/>
      <c r="J29" s="24"/>
      <c r="K29" s="27"/>
      <c r="L29" s="27"/>
      <c r="M29" s="27"/>
      <c r="N29" s="27"/>
      <c r="O29" s="27"/>
      <c r="P29" s="27"/>
      <c r="Q29" s="27"/>
      <c r="R29" s="27"/>
      <c r="S29" s="27"/>
      <c r="T29" s="27"/>
      <c r="U29" s="27"/>
      <c r="V29" s="27"/>
      <c r="W29" s="27"/>
      <c r="X29" s="27"/>
      <c r="Y29" s="27"/>
      <c r="Z29" s="27"/>
      <c r="AA29" s="27"/>
      <c r="AB29" s="27"/>
      <c r="AC29" s="27"/>
      <c r="AD29" s="27"/>
      <c r="AE29" s="27"/>
      <c r="AF29" s="27"/>
      <c r="AG29" s="27"/>
      <c r="AH29" s="183" t="s">
        <v>513</v>
      </c>
      <c r="AI29" s="184"/>
      <c r="AJ29" s="185"/>
      <c r="AK29" s="27"/>
      <c r="AL29" s="27"/>
      <c r="AM29" s="27"/>
      <c r="AN29" s="27"/>
      <c r="AO29" s="27"/>
      <c r="AP29" s="27"/>
      <c r="AQ29" s="27"/>
      <c r="AR29" s="27"/>
      <c r="AS29" s="27"/>
      <c r="AT29" s="27"/>
      <c r="AU29" s="27"/>
      <c r="AV29" s="183" t="s">
        <v>513</v>
      </c>
      <c r="AW29" s="184"/>
      <c r="AX29" s="185"/>
      <c r="AY29" s="186"/>
      <c r="AZ29" s="187"/>
      <c r="BA29" s="188"/>
      <c r="BB29" s="27"/>
      <c r="BC29" s="27"/>
      <c r="BD29" s="189"/>
      <c r="BE29" s="27"/>
      <c r="BF29" s="27"/>
      <c r="BG29" s="27"/>
      <c r="BH29" s="27"/>
      <c r="BI29" s="27"/>
      <c r="BJ29" s="27"/>
    </row>
    <row r="30" ht="15.75" customHeight="1">
      <c r="A30" s="111"/>
      <c r="B30" s="23"/>
      <c r="C30" s="24"/>
      <c r="D30" s="24"/>
      <c r="E30" s="27"/>
      <c r="F30" s="27"/>
      <c r="G30" s="27"/>
      <c r="H30" s="27"/>
      <c r="I30" s="27"/>
      <c r="J30" s="24"/>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189"/>
      <c r="BE30" s="27"/>
      <c r="BF30" s="27"/>
      <c r="BG30" s="27"/>
      <c r="BH30" s="27"/>
      <c r="BI30" s="27"/>
      <c r="BJ30" s="27"/>
    </row>
    <row r="31" ht="15.75" customHeight="1">
      <c r="A31" s="111"/>
      <c r="B31" s="23"/>
      <c r="C31" s="24"/>
      <c r="D31" s="24"/>
      <c r="E31" s="27"/>
      <c r="F31" s="27"/>
      <c r="G31" s="27"/>
      <c r="H31" s="27"/>
      <c r="I31" s="27"/>
      <c r="J31" s="24"/>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189"/>
      <c r="BE31" s="27"/>
      <c r="BF31" s="27"/>
      <c r="BG31" s="27"/>
      <c r="BH31" s="27"/>
      <c r="BI31" s="27"/>
      <c r="BJ31" s="27"/>
    </row>
    <row r="32" ht="15.75" customHeight="1">
      <c r="A32" s="111"/>
      <c r="B32" s="23"/>
      <c r="C32" s="24"/>
      <c r="D32" s="24"/>
      <c r="E32" s="27"/>
      <c r="F32" s="27"/>
      <c r="G32" s="27"/>
      <c r="H32" s="27"/>
      <c r="I32" s="27"/>
      <c r="J32" s="24"/>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189"/>
      <c r="BE32" s="27"/>
      <c r="BF32" s="27"/>
      <c r="BG32" s="27"/>
      <c r="BH32" s="27"/>
      <c r="BI32" s="27"/>
      <c r="BJ32" s="27"/>
    </row>
    <row r="33" ht="15.75" customHeight="1">
      <c r="A33" s="111"/>
      <c r="B33" s="23"/>
      <c r="C33" s="24"/>
      <c r="D33" s="24"/>
      <c r="E33" s="27"/>
      <c r="F33" s="27"/>
      <c r="G33" s="27"/>
      <c r="H33" s="27"/>
      <c r="I33" s="27"/>
      <c r="J33" s="24"/>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189"/>
      <c r="BE33" s="27"/>
      <c r="BF33" s="27"/>
      <c r="BG33" s="27"/>
      <c r="BH33" s="27"/>
      <c r="BI33" s="27"/>
      <c r="BJ33" s="27"/>
    </row>
    <row r="34" ht="15.75" customHeight="1">
      <c r="A34" s="111"/>
      <c r="B34" s="23"/>
      <c r="C34" s="24"/>
      <c r="D34" s="24"/>
      <c r="E34" s="27"/>
      <c r="F34" s="27"/>
      <c r="G34" s="27"/>
      <c r="H34" s="27"/>
      <c r="I34" s="27"/>
      <c r="J34" s="24"/>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189"/>
      <c r="BE34" s="27"/>
      <c r="BF34" s="27"/>
      <c r="BG34" s="27"/>
      <c r="BH34" s="27"/>
      <c r="BI34" s="27"/>
      <c r="BJ34" s="27"/>
    </row>
    <row r="35" ht="15.75" customHeight="1">
      <c r="A35" s="111"/>
      <c r="B35" s="23"/>
      <c r="C35" s="24"/>
      <c r="D35" s="24"/>
      <c r="E35" s="27"/>
      <c r="F35" s="27"/>
      <c r="G35" s="27"/>
      <c r="H35" s="27"/>
      <c r="I35" s="27"/>
      <c r="J35" s="24"/>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189"/>
      <c r="BE35" s="27"/>
      <c r="BF35" s="27"/>
      <c r="BG35" s="27"/>
      <c r="BH35" s="27"/>
      <c r="BI35" s="27"/>
      <c r="BJ35" s="27"/>
    </row>
    <row r="36" ht="15.75" customHeight="1">
      <c r="A36" s="111"/>
      <c r="B36" s="23"/>
      <c r="C36" s="24"/>
      <c r="D36" s="24"/>
      <c r="E36" s="27"/>
      <c r="F36" s="27"/>
      <c r="G36" s="27"/>
      <c r="H36" s="27"/>
      <c r="I36" s="27"/>
      <c r="J36" s="24"/>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189"/>
      <c r="BE36" s="27"/>
      <c r="BF36" s="27"/>
      <c r="BG36" s="27"/>
      <c r="BH36" s="27"/>
      <c r="BI36" s="27"/>
      <c r="BJ36" s="27"/>
    </row>
    <row r="37" ht="15.75" customHeight="1">
      <c r="A37" s="111"/>
      <c r="B37" s="23"/>
      <c r="C37" s="24"/>
      <c r="D37" s="24"/>
      <c r="E37" s="27"/>
      <c r="F37" s="27"/>
      <c r="G37" s="27"/>
      <c r="H37" s="27"/>
      <c r="I37" s="27"/>
      <c r="J37" s="24"/>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189"/>
      <c r="BE37" s="27"/>
      <c r="BF37" s="27"/>
      <c r="BG37" s="27"/>
      <c r="BH37" s="27"/>
      <c r="BI37" s="27"/>
      <c r="BJ37" s="27"/>
    </row>
    <row r="38" ht="15.75" customHeight="1">
      <c r="A38" s="111"/>
      <c r="B38" s="23"/>
      <c r="C38" s="24"/>
      <c r="D38" s="24"/>
      <c r="E38" s="27"/>
      <c r="F38" s="27"/>
      <c r="G38" s="27"/>
      <c r="H38" s="27"/>
      <c r="I38" s="27"/>
      <c r="J38" s="24"/>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189"/>
      <c r="BE38" s="27"/>
      <c r="BF38" s="27"/>
      <c r="BG38" s="27"/>
      <c r="BH38" s="27"/>
      <c r="BI38" s="27"/>
      <c r="BJ38" s="27"/>
    </row>
    <row r="39" ht="15.75" customHeight="1">
      <c r="A39" s="111"/>
      <c r="B39" s="23"/>
      <c r="C39" s="24"/>
      <c r="D39" s="24"/>
      <c r="E39" s="27"/>
      <c r="F39" s="27"/>
      <c r="G39" s="27"/>
      <c r="H39" s="27"/>
      <c r="I39" s="27"/>
      <c r="J39" s="24"/>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189"/>
      <c r="BE39" s="27"/>
      <c r="BF39" s="27"/>
      <c r="BG39" s="27"/>
      <c r="BH39" s="27"/>
      <c r="BI39" s="27"/>
      <c r="BJ39" s="27"/>
    </row>
    <row r="40" ht="15.75" customHeight="1">
      <c r="A40" s="111"/>
      <c r="B40" s="23"/>
      <c r="C40" s="24"/>
      <c r="D40" s="24"/>
      <c r="E40" s="27"/>
      <c r="F40" s="27"/>
      <c r="G40" s="27"/>
      <c r="H40" s="27"/>
      <c r="I40" s="27"/>
      <c r="J40" s="24"/>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189"/>
      <c r="BE40" s="27"/>
      <c r="BF40" s="27"/>
      <c r="BG40" s="27"/>
      <c r="BH40" s="27"/>
      <c r="BI40" s="27"/>
      <c r="BJ40" s="27"/>
    </row>
    <row r="41" ht="15.75" customHeight="1">
      <c r="BD41" s="190"/>
    </row>
    <row r="42" ht="15.75" customHeight="1">
      <c r="BD42" s="190"/>
    </row>
    <row r="43" ht="15.75" customHeight="1">
      <c r="BD43" s="190"/>
    </row>
    <row r="44" ht="15.75" customHeight="1">
      <c r="BD44" s="190"/>
    </row>
    <row r="45" ht="15.75" customHeight="1">
      <c r="BD45" s="190"/>
    </row>
    <row r="46" ht="15.75" customHeight="1">
      <c r="BD46" s="190"/>
    </row>
    <row r="47" ht="15.75" customHeight="1">
      <c r="BD47" s="190"/>
    </row>
    <row r="48" ht="15.75" customHeight="1">
      <c r="BD48" s="190"/>
    </row>
    <row r="49" ht="15.75" customHeight="1">
      <c r="BD49" s="190"/>
    </row>
    <row r="50" ht="15.75" customHeight="1">
      <c r="BD50" s="190"/>
    </row>
    <row r="51" ht="15.75" customHeight="1">
      <c r="BD51" s="190"/>
    </row>
    <row r="52" ht="15.75" customHeight="1">
      <c r="BD52" s="190"/>
    </row>
    <row r="53" ht="15.75" customHeight="1">
      <c r="BD53" s="190"/>
    </row>
    <row r="54" ht="15.75" customHeight="1">
      <c r="BD54" s="190"/>
    </row>
    <row r="55" ht="15.75" customHeight="1">
      <c r="BD55" s="190"/>
    </row>
    <row r="56" ht="15.75" customHeight="1">
      <c r="BD56" s="190"/>
    </row>
    <row r="57" ht="15.75" customHeight="1">
      <c r="BD57" s="190"/>
    </row>
    <row r="58" ht="15.75" customHeight="1">
      <c r="BD58" s="190"/>
    </row>
    <row r="59" ht="15.75" customHeight="1">
      <c r="BD59" s="190"/>
    </row>
    <row r="60" ht="15.75" customHeight="1">
      <c r="BD60" s="190"/>
    </row>
    <row r="61" ht="15.75" customHeight="1">
      <c r="BD61" s="190"/>
    </row>
    <row r="62" ht="15.75" customHeight="1">
      <c r="BD62" s="190"/>
    </row>
    <row r="63" ht="15.75" customHeight="1">
      <c r="BD63" s="190"/>
    </row>
    <row r="64" ht="15.75" customHeight="1">
      <c r="BD64" s="190"/>
    </row>
    <row r="65" ht="15.75" customHeight="1">
      <c r="BD65" s="190"/>
    </row>
    <row r="66" ht="15.75" customHeight="1">
      <c r="BD66" s="190"/>
    </row>
    <row r="67" ht="15.75" customHeight="1">
      <c r="BD67" s="190"/>
    </row>
    <row r="68" ht="15.75" customHeight="1">
      <c r="BD68" s="190"/>
    </row>
    <row r="69" ht="15.75" customHeight="1">
      <c r="BD69" s="190"/>
    </row>
    <row r="70" ht="15.75" customHeight="1">
      <c r="BD70" s="190"/>
    </row>
    <row r="71" ht="15.75" customHeight="1">
      <c r="BD71" s="190"/>
    </row>
    <row r="72" ht="15.75" customHeight="1">
      <c r="BD72" s="190"/>
    </row>
    <row r="73" ht="15.75" customHeight="1">
      <c r="BD73" s="190"/>
    </row>
    <row r="74" ht="15.75" customHeight="1">
      <c r="BD74" s="190"/>
    </row>
    <row r="75" ht="15.75" customHeight="1">
      <c r="BD75" s="190"/>
    </row>
    <row r="76" ht="15.75" customHeight="1">
      <c r="BD76" s="190"/>
    </row>
    <row r="77" ht="15.75" customHeight="1">
      <c r="BD77" s="190"/>
    </row>
    <row r="78" ht="15.75" customHeight="1">
      <c r="BD78" s="190"/>
    </row>
    <row r="79" ht="15.75" customHeight="1">
      <c r="BD79" s="190"/>
    </row>
    <row r="80" ht="15.75" customHeight="1">
      <c r="BD80" s="190"/>
    </row>
    <row r="81" ht="15.75" customHeight="1">
      <c r="BD81" s="190"/>
    </row>
    <row r="82" ht="15.75" customHeight="1">
      <c r="BD82" s="190"/>
    </row>
    <row r="83" ht="15.75" customHeight="1">
      <c r="BD83" s="190"/>
    </row>
    <row r="84" ht="15.75" customHeight="1">
      <c r="BD84" s="190"/>
    </row>
    <row r="85" ht="15.75" customHeight="1">
      <c r="BD85" s="190"/>
    </row>
    <row r="86" ht="15.75" customHeight="1">
      <c r="BD86" s="190"/>
    </row>
    <row r="87" ht="15.75" customHeight="1">
      <c r="BD87" s="190"/>
    </row>
    <row r="88" ht="15.75" customHeight="1">
      <c r="BD88" s="190"/>
    </row>
    <row r="89" ht="15.75" customHeight="1">
      <c r="BD89" s="190"/>
    </row>
    <row r="90" ht="15.75" customHeight="1">
      <c r="BD90" s="190"/>
    </row>
    <row r="91" ht="15.75" customHeight="1">
      <c r="BD91" s="190"/>
    </row>
    <row r="92" ht="15.75" customHeight="1">
      <c r="BD92" s="190"/>
    </row>
    <row r="93" ht="15.75" customHeight="1">
      <c r="BD93" s="190"/>
    </row>
    <row r="94" ht="15.75" customHeight="1">
      <c r="BD94" s="190"/>
    </row>
    <row r="95" ht="15.75" customHeight="1">
      <c r="BD95" s="190"/>
    </row>
    <row r="96" ht="15.75" customHeight="1">
      <c r="BD96" s="190"/>
    </row>
    <row r="97" ht="15.75" customHeight="1">
      <c r="BD97" s="190"/>
    </row>
    <row r="98" ht="15.75" customHeight="1">
      <c r="BD98" s="190"/>
    </row>
    <row r="99" ht="15.75" customHeight="1">
      <c r="BD99" s="190"/>
    </row>
    <row r="100" ht="15.75" customHeight="1">
      <c r="BD100" s="190"/>
    </row>
    <row r="101" ht="15.75" customHeight="1">
      <c r="BD101" s="190"/>
    </row>
    <row r="102" ht="15.75" customHeight="1">
      <c r="BD102" s="190"/>
    </row>
    <row r="103" ht="15.75" customHeight="1">
      <c r="BD103" s="190"/>
    </row>
    <row r="104" ht="15.75" customHeight="1">
      <c r="BD104" s="190"/>
    </row>
    <row r="105" ht="15.75" customHeight="1">
      <c r="BD105" s="190"/>
    </row>
    <row r="106" ht="15.75" customHeight="1">
      <c r="BD106" s="190"/>
    </row>
    <row r="107" ht="15.75" customHeight="1">
      <c r="BD107" s="190"/>
    </row>
    <row r="108" ht="15.75" customHeight="1">
      <c r="BD108" s="190"/>
    </row>
    <row r="109" ht="15.75" customHeight="1">
      <c r="BD109" s="190"/>
    </row>
    <row r="110" ht="15.75" customHeight="1">
      <c r="BD110" s="190"/>
    </row>
    <row r="111" ht="15.75" customHeight="1">
      <c r="BD111" s="190"/>
    </row>
    <row r="112" ht="15.75" customHeight="1">
      <c r="BD112" s="190"/>
    </row>
    <row r="113" ht="15.75" customHeight="1">
      <c r="BD113" s="190"/>
    </row>
    <row r="114" ht="15.75" customHeight="1">
      <c r="BD114" s="190"/>
    </row>
    <row r="115" ht="15.75" customHeight="1">
      <c r="BD115" s="190"/>
    </row>
    <row r="116" ht="15.75" customHeight="1">
      <c r="BD116" s="190"/>
    </row>
    <row r="117" ht="15.75" customHeight="1">
      <c r="BD117" s="190"/>
    </row>
    <row r="118" ht="15.75" customHeight="1">
      <c r="BD118" s="190"/>
    </row>
    <row r="119" ht="15.75" customHeight="1">
      <c r="BD119" s="190"/>
    </row>
    <row r="120" ht="15.75" customHeight="1">
      <c r="BD120" s="190"/>
    </row>
    <row r="121" ht="15.75" customHeight="1">
      <c r="BD121" s="190"/>
    </row>
    <row r="122" ht="15.75" customHeight="1">
      <c r="BD122" s="190"/>
    </row>
    <row r="123" ht="15.75" customHeight="1">
      <c r="BD123" s="190"/>
    </row>
    <row r="124" ht="15.75" customHeight="1">
      <c r="BD124" s="190"/>
    </row>
    <row r="125" ht="15.75" customHeight="1">
      <c r="BD125" s="190"/>
    </row>
    <row r="126" ht="15.75" customHeight="1">
      <c r="BD126" s="190"/>
    </row>
    <row r="127" ht="15.75" customHeight="1">
      <c r="BD127" s="190"/>
    </row>
    <row r="128" ht="15.75" customHeight="1">
      <c r="BD128" s="190"/>
    </row>
    <row r="129" ht="15.75" customHeight="1">
      <c r="BD129" s="190"/>
    </row>
    <row r="130" ht="15.75" customHeight="1">
      <c r="BD130" s="190"/>
    </row>
    <row r="131" ht="15.75" customHeight="1">
      <c r="BD131" s="190"/>
    </row>
    <row r="132" ht="15.75" customHeight="1">
      <c r="BD132" s="190"/>
    </row>
    <row r="133" ht="15.75" customHeight="1">
      <c r="BD133" s="190"/>
    </row>
    <row r="134" ht="15.75" customHeight="1">
      <c r="BD134" s="190"/>
    </row>
    <row r="135" ht="15.75" customHeight="1">
      <c r="BD135" s="190"/>
    </row>
    <row r="136" ht="15.75" customHeight="1">
      <c r="BD136" s="190"/>
    </row>
    <row r="137" ht="15.75" customHeight="1">
      <c r="BD137" s="190"/>
    </row>
    <row r="138" ht="15.75" customHeight="1">
      <c r="BD138" s="190"/>
    </row>
    <row r="139" ht="15.75" customHeight="1">
      <c r="BD139" s="190"/>
    </row>
    <row r="140" ht="15.75" customHeight="1">
      <c r="BD140" s="190"/>
    </row>
    <row r="141" ht="15.75" customHeight="1">
      <c r="BD141" s="190"/>
    </row>
    <row r="142" ht="15.75" customHeight="1">
      <c r="BD142" s="190"/>
    </row>
    <row r="143" ht="15.75" customHeight="1">
      <c r="BD143" s="190"/>
    </row>
    <row r="144" ht="15.75" customHeight="1">
      <c r="BD144" s="190"/>
    </row>
    <row r="145" ht="15.75" customHeight="1">
      <c r="BD145" s="190"/>
    </row>
    <row r="146" ht="15.75" customHeight="1">
      <c r="BD146" s="190"/>
    </row>
    <row r="147" ht="15.75" customHeight="1">
      <c r="BD147" s="190"/>
    </row>
    <row r="148" ht="15.75" customHeight="1">
      <c r="BD148" s="190"/>
    </row>
    <row r="149" ht="15.75" customHeight="1">
      <c r="BD149" s="190"/>
    </row>
    <row r="150" ht="15.75" customHeight="1">
      <c r="BD150" s="190"/>
    </row>
    <row r="151" ht="15.75" customHeight="1">
      <c r="BD151" s="190"/>
    </row>
    <row r="152" ht="15.75" customHeight="1">
      <c r="BD152" s="190"/>
    </row>
    <row r="153" ht="15.75" customHeight="1">
      <c r="BD153" s="190"/>
    </row>
    <row r="154" ht="15.75" customHeight="1">
      <c r="BD154" s="190"/>
    </row>
    <row r="155" ht="15.75" customHeight="1">
      <c r="BD155" s="190"/>
    </row>
    <row r="156" ht="15.75" customHeight="1">
      <c r="BD156" s="190"/>
    </row>
    <row r="157" ht="15.75" customHeight="1">
      <c r="BD157" s="190"/>
    </row>
    <row r="158" ht="15.75" customHeight="1">
      <c r="BD158" s="190"/>
    </row>
    <row r="159" ht="15.75" customHeight="1">
      <c r="BD159" s="190"/>
    </row>
    <row r="160" ht="15.75" customHeight="1">
      <c r="BD160" s="190"/>
    </row>
    <row r="161" ht="15.75" customHeight="1">
      <c r="BD161" s="190"/>
    </row>
    <row r="162" ht="15.75" customHeight="1">
      <c r="BD162" s="190"/>
    </row>
    <row r="163" ht="15.75" customHeight="1">
      <c r="BD163" s="190"/>
    </row>
    <row r="164" ht="15.75" customHeight="1">
      <c r="BD164" s="190"/>
    </row>
    <row r="165" ht="15.75" customHeight="1">
      <c r="BD165" s="190"/>
    </row>
    <row r="166" ht="15.75" customHeight="1">
      <c r="BD166" s="190"/>
    </row>
    <row r="167" ht="15.75" customHeight="1">
      <c r="BD167" s="190"/>
    </row>
    <row r="168" ht="15.75" customHeight="1">
      <c r="BD168" s="190"/>
    </row>
    <row r="169" ht="15.75" customHeight="1">
      <c r="BD169" s="190"/>
    </row>
    <row r="170" ht="15.75" customHeight="1">
      <c r="BD170" s="190"/>
    </row>
    <row r="171" ht="15.75" customHeight="1">
      <c r="BD171" s="190"/>
    </row>
    <row r="172" ht="15.75" customHeight="1">
      <c r="BD172" s="190"/>
    </row>
    <row r="173" ht="15.75" customHeight="1">
      <c r="BD173" s="190"/>
    </row>
    <row r="174" ht="15.75" customHeight="1">
      <c r="BD174" s="190"/>
    </row>
    <row r="175" ht="15.75" customHeight="1">
      <c r="BD175" s="190"/>
    </row>
    <row r="176" ht="15.75" customHeight="1">
      <c r="BD176" s="190"/>
    </row>
    <row r="177" ht="15.75" customHeight="1">
      <c r="BD177" s="190"/>
    </row>
    <row r="178" ht="15.75" customHeight="1">
      <c r="BD178" s="190"/>
    </row>
    <row r="179" ht="15.75" customHeight="1">
      <c r="BD179" s="190"/>
    </row>
    <row r="180" ht="15.75" customHeight="1">
      <c r="BD180" s="190"/>
    </row>
    <row r="181" ht="15.75" customHeight="1">
      <c r="BD181" s="190"/>
    </row>
    <row r="182" ht="15.75" customHeight="1">
      <c r="BD182" s="190"/>
    </row>
    <row r="183" ht="15.75" customHeight="1">
      <c r="BD183" s="190"/>
    </row>
    <row r="184" ht="15.75" customHeight="1">
      <c r="BD184" s="190"/>
    </row>
    <row r="185" ht="15.75" customHeight="1">
      <c r="BD185" s="190"/>
    </row>
    <row r="186" ht="15.75" customHeight="1">
      <c r="BD186" s="190"/>
    </row>
    <row r="187" ht="15.75" customHeight="1">
      <c r="BD187" s="190"/>
    </row>
    <row r="188" ht="15.75" customHeight="1">
      <c r="BD188" s="190"/>
    </row>
    <row r="189" ht="15.75" customHeight="1">
      <c r="BD189" s="190"/>
    </row>
    <row r="190" ht="15.75" customHeight="1">
      <c r="BD190" s="190"/>
    </row>
    <row r="191" ht="15.75" customHeight="1">
      <c r="BD191" s="190"/>
    </row>
    <row r="192" ht="15.75" customHeight="1">
      <c r="BD192" s="190"/>
    </row>
    <row r="193" ht="15.75" customHeight="1">
      <c r="BD193" s="190"/>
    </row>
    <row r="194" ht="15.75" customHeight="1">
      <c r="BD194" s="190"/>
    </row>
    <row r="195" ht="15.75" customHeight="1">
      <c r="BD195" s="190"/>
    </row>
    <row r="196" ht="15.75" customHeight="1">
      <c r="BD196" s="190"/>
    </row>
    <row r="197" ht="15.75" customHeight="1">
      <c r="BD197" s="190"/>
    </row>
    <row r="198" ht="15.75" customHeight="1">
      <c r="BD198" s="190"/>
    </row>
    <row r="199" ht="15.75" customHeight="1">
      <c r="BD199" s="190"/>
    </row>
    <row r="200" ht="15.75" customHeight="1">
      <c r="BD200" s="190"/>
    </row>
    <row r="201" ht="15.75" customHeight="1">
      <c r="BD201" s="190"/>
    </row>
    <row r="202" ht="15.75" customHeight="1">
      <c r="BD202" s="190"/>
    </row>
    <row r="203" ht="15.75" customHeight="1">
      <c r="BD203" s="190"/>
    </row>
    <row r="204" ht="15.75" customHeight="1">
      <c r="BD204" s="190"/>
    </row>
    <row r="205" ht="15.75" customHeight="1">
      <c r="BD205" s="190"/>
    </row>
    <row r="206" ht="15.75" customHeight="1">
      <c r="BD206" s="190"/>
    </row>
    <row r="207" ht="15.75" customHeight="1">
      <c r="BD207" s="190"/>
    </row>
    <row r="208" ht="15.75" customHeight="1">
      <c r="BD208" s="190"/>
    </row>
    <row r="209" ht="15.75" customHeight="1">
      <c r="BD209" s="190"/>
    </row>
    <row r="210" ht="15.75" customHeight="1">
      <c r="BD210" s="190"/>
    </row>
    <row r="211" ht="15.75" customHeight="1">
      <c r="BD211" s="190"/>
    </row>
    <row r="212" ht="15.75" customHeight="1">
      <c r="BD212" s="190"/>
    </row>
    <row r="213" ht="15.75" customHeight="1">
      <c r="BD213" s="190"/>
    </row>
    <row r="214" ht="15.75" customHeight="1">
      <c r="BD214" s="190"/>
    </row>
    <row r="215" ht="15.75" customHeight="1">
      <c r="BD215" s="190"/>
    </row>
    <row r="216" ht="15.75" customHeight="1">
      <c r="BD216" s="190"/>
    </row>
    <row r="217" ht="15.75" customHeight="1">
      <c r="BD217" s="190"/>
    </row>
    <row r="218" ht="15.75" customHeight="1">
      <c r="BD218" s="190"/>
    </row>
    <row r="219" ht="15.75" customHeight="1">
      <c r="BD219" s="190"/>
    </row>
    <row r="220" ht="15.75" customHeight="1">
      <c r="BD220" s="190"/>
    </row>
    <row r="221" ht="15.75" customHeight="1">
      <c r="BD221" s="190"/>
    </row>
    <row r="222" ht="15.75" customHeight="1">
      <c r="BD222" s="190"/>
    </row>
    <row r="223" ht="15.75" customHeight="1">
      <c r="BD223" s="190"/>
    </row>
    <row r="224" ht="15.75" customHeight="1">
      <c r="BD224" s="190"/>
    </row>
    <row r="225" ht="15.75" customHeight="1">
      <c r="BD225" s="190"/>
    </row>
    <row r="226" ht="15.75" customHeight="1">
      <c r="BD226" s="190"/>
    </row>
    <row r="227" ht="15.75" customHeight="1">
      <c r="BD227" s="190"/>
    </row>
    <row r="228" ht="15.75" customHeight="1">
      <c r="BD228" s="190"/>
    </row>
    <row r="229" ht="15.75" customHeight="1">
      <c r="BD229" s="190"/>
    </row>
    <row r="230" ht="15.75" customHeight="1">
      <c r="BD230" s="190"/>
    </row>
    <row r="231" ht="15.75" customHeight="1">
      <c r="BD231" s="190"/>
    </row>
    <row r="232" ht="15.75" customHeight="1">
      <c r="BD232" s="190"/>
    </row>
    <row r="233" ht="15.75" customHeight="1">
      <c r="BD233" s="190"/>
    </row>
    <row r="234" ht="15.75" customHeight="1">
      <c r="BD234" s="190"/>
    </row>
    <row r="235" ht="15.75" customHeight="1">
      <c r="BD235" s="190"/>
    </row>
    <row r="236" ht="15.75" customHeight="1">
      <c r="BD236" s="190"/>
    </row>
    <row r="237" ht="15.75" customHeight="1">
      <c r="BD237" s="190"/>
    </row>
    <row r="238" ht="15.75" customHeight="1">
      <c r="BD238" s="190"/>
    </row>
    <row r="239" ht="15.75" customHeight="1">
      <c r="BD239" s="190"/>
    </row>
    <row r="240" ht="15.75" customHeight="1">
      <c r="BD240" s="190"/>
    </row>
    <row r="241" ht="15.75" customHeight="1">
      <c r="BD241" s="190"/>
    </row>
    <row r="242" ht="15.75" customHeight="1">
      <c r="BD242" s="190"/>
    </row>
    <row r="243" ht="15.75" customHeight="1">
      <c r="BD243" s="190"/>
    </row>
    <row r="244" ht="15.75" customHeight="1">
      <c r="BD244" s="190"/>
    </row>
    <row r="245" ht="15.75" customHeight="1">
      <c r="BD245" s="190"/>
    </row>
    <row r="246" ht="15.75" customHeight="1">
      <c r="BD246" s="190"/>
    </row>
    <row r="247" ht="15.75" customHeight="1">
      <c r="BD247" s="190"/>
    </row>
    <row r="248" ht="15.75" customHeight="1">
      <c r="BD248" s="190"/>
    </row>
    <row r="249" ht="15.75" customHeight="1">
      <c r="BD249" s="190"/>
    </row>
    <row r="250" ht="15.75" customHeight="1">
      <c r="BD250" s="190"/>
    </row>
    <row r="251" ht="15.75" customHeight="1">
      <c r="BD251" s="190"/>
    </row>
    <row r="252" ht="15.75" customHeight="1">
      <c r="BD252" s="190"/>
    </row>
    <row r="253" ht="15.75" customHeight="1">
      <c r="BD253" s="190"/>
    </row>
    <row r="254" ht="15.75" customHeight="1">
      <c r="BD254" s="190"/>
    </row>
    <row r="255" ht="15.75" customHeight="1">
      <c r="BD255" s="190"/>
    </row>
    <row r="256" ht="15.75" customHeight="1">
      <c r="BD256" s="190"/>
    </row>
    <row r="257" ht="15.75" customHeight="1">
      <c r="BD257" s="190"/>
    </row>
    <row r="258" ht="15.75" customHeight="1">
      <c r="BD258" s="190"/>
    </row>
    <row r="259" ht="15.75" customHeight="1">
      <c r="BD259" s="190"/>
    </row>
    <row r="260" ht="15.75" customHeight="1">
      <c r="BD260" s="190"/>
    </row>
    <row r="261" ht="15.75" customHeight="1">
      <c r="BD261" s="190"/>
    </row>
    <row r="262" ht="15.75" customHeight="1">
      <c r="BD262" s="190"/>
    </row>
    <row r="263" ht="15.75" customHeight="1">
      <c r="BD263" s="190"/>
    </row>
    <row r="264" ht="15.75" customHeight="1">
      <c r="BD264" s="190"/>
    </row>
    <row r="265" ht="15.75" customHeight="1">
      <c r="BD265" s="190"/>
    </row>
    <row r="266" ht="15.75" customHeight="1">
      <c r="BD266" s="190"/>
    </row>
    <row r="267" ht="15.75" customHeight="1">
      <c r="BD267" s="190"/>
    </row>
    <row r="268" ht="15.75" customHeight="1">
      <c r="BD268" s="190"/>
    </row>
    <row r="269" ht="15.75" customHeight="1">
      <c r="BD269" s="190"/>
    </row>
    <row r="270" ht="15.75" customHeight="1">
      <c r="BD270" s="190"/>
    </row>
    <row r="271" ht="15.75" customHeight="1">
      <c r="BD271" s="190"/>
    </row>
    <row r="272" ht="15.75" customHeight="1">
      <c r="BD272" s="190"/>
    </row>
    <row r="273" ht="15.75" customHeight="1">
      <c r="BD273" s="190"/>
    </row>
    <row r="274" ht="15.75" customHeight="1">
      <c r="BD274" s="190"/>
    </row>
    <row r="275" ht="15.75" customHeight="1">
      <c r="BD275" s="190"/>
    </row>
    <row r="276" ht="15.75" customHeight="1">
      <c r="BD276" s="190"/>
    </row>
    <row r="277" ht="15.75" customHeight="1">
      <c r="BD277" s="190"/>
    </row>
    <row r="278" ht="15.75" customHeight="1">
      <c r="BD278" s="190"/>
    </row>
    <row r="279" ht="15.75" customHeight="1">
      <c r="BD279" s="190"/>
    </row>
    <row r="280" ht="15.75" customHeight="1">
      <c r="BD280" s="190"/>
    </row>
    <row r="281" ht="15.75" customHeight="1">
      <c r="BD281" s="190"/>
    </row>
    <row r="282" ht="15.75" customHeight="1">
      <c r="BD282" s="190"/>
    </row>
    <row r="283" ht="15.75" customHeight="1">
      <c r="BD283" s="190"/>
    </row>
    <row r="284" ht="15.75" customHeight="1">
      <c r="BD284" s="190"/>
    </row>
    <row r="285" ht="15.75" customHeight="1">
      <c r="BD285" s="190"/>
    </row>
    <row r="286" ht="15.75" customHeight="1">
      <c r="BD286" s="190"/>
    </row>
    <row r="287" ht="15.75" customHeight="1">
      <c r="BD287" s="190"/>
    </row>
    <row r="288" ht="15.75" customHeight="1">
      <c r="BD288" s="190"/>
    </row>
    <row r="289" ht="15.75" customHeight="1">
      <c r="BD289" s="190"/>
    </row>
    <row r="290" ht="15.75" customHeight="1">
      <c r="BD290" s="190"/>
    </row>
    <row r="291" ht="15.75" customHeight="1">
      <c r="BD291" s="190"/>
    </row>
    <row r="292" ht="15.75" customHeight="1">
      <c r="BD292" s="190"/>
    </row>
    <row r="293" ht="15.75" customHeight="1">
      <c r="BD293" s="190"/>
    </row>
    <row r="294" ht="15.75" customHeight="1">
      <c r="BD294" s="190"/>
    </row>
    <row r="295" ht="15.75" customHeight="1">
      <c r="BD295" s="190"/>
    </row>
    <row r="296" ht="15.75" customHeight="1">
      <c r="BD296" s="190"/>
    </row>
    <row r="297" ht="15.75" customHeight="1">
      <c r="BD297" s="190"/>
    </row>
    <row r="298" ht="15.75" customHeight="1">
      <c r="BD298" s="190"/>
    </row>
    <row r="299" ht="15.75" customHeight="1">
      <c r="BD299" s="190"/>
    </row>
    <row r="300" ht="15.75" customHeight="1">
      <c r="BD300" s="190"/>
    </row>
    <row r="301" ht="15.75" customHeight="1">
      <c r="BD301" s="190"/>
    </row>
    <row r="302" ht="15.75" customHeight="1">
      <c r="BD302" s="190"/>
    </row>
    <row r="303" ht="15.75" customHeight="1">
      <c r="BD303" s="190"/>
    </row>
    <row r="304" ht="15.75" customHeight="1">
      <c r="BD304" s="190"/>
    </row>
    <row r="305" ht="15.75" customHeight="1">
      <c r="BD305" s="190"/>
    </row>
    <row r="306" ht="15.75" customHeight="1">
      <c r="BD306" s="190"/>
    </row>
    <row r="307" ht="15.75" customHeight="1">
      <c r="BD307" s="190"/>
    </row>
    <row r="308" ht="15.75" customHeight="1">
      <c r="BD308" s="190"/>
    </row>
    <row r="309" ht="15.75" customHeight="1">
      <c r="BD309" s="190"/>
    </row>
    <row r="310" ht="15.75" customHeight="1">
      <c r="BD310" s="190"/>
    </row>
    <row r="311" ht="15.75" customHeight="1">
      <c r="BD311" s="190"/>
    </row>
    <row r="312" ht="15.75" customHeight="1">
      <c r="BD312" s="190"/>
    </row>
    <row r="313" ht="15.75" customHeight="1">
      <c r="BD313" s="190"/>
    </row>
    <row r="314" ht="15.75" customHeight="1">
      <c r="BD314" s="190"/>
    </row>
    <row r="315" ht="15.75" customHeight="1">
      <c r="BD315" s="190"/>
    </row>
    <row r="316" ht="15.75" customHeight="1">
      <c r="BD316" s="190"/>
    </row>
    <row r="317" ht="15.75" customHeight="1">
      <c r="BD317" s="190"/>
    </row>
    <row r="318" ht="15.75" customHeight="1">
      <c r="BD318" s="190"/>
    </row>
    <row r="319" ht="15.75" customHeight="1">
      <c r="BD319" s="190"/>
    </row>
    <row r="320" ht="15.75" customHeight="1">
      <c r="BD320" s="190"/>
    </row>
    <row r="321" ht="15.75" customHeight="1">
      <c r="BD321" s="190"/>
    </row>
    <row r="322" ht="15.75" customHeight="1">
      <c r="BD322" s="190"/>
    </row>
    <row r="323" ht="15.75" customHeight="1">
      <c r="BD323" s="190"/>
    </row>
    <row r="324" ht="15.75" customHeight="1">
      <c r="BD324" s="190"/>
    </row>
    <row r="325" ht="15.75" customHeight="1">
      <c r="BD325" s="190"/>
    </row>
    <row r="326" ht="15.75" customHeight="1">
      <c r="BD326" s="190"/>
    </row>
    <row r="327" ht="15.75" customHeight="1">
      <c r="BD327" s="190"/>
    </row>
    <row r="328" ht="15.75" customHeight="1">
      <c r="BD328" s="190"/>
    </row>
    <row r="329" ht="15.75" customHeight="1">
      <c r="BD329" s="190"/>
    </row>
    <row r="330" ht="15.75" customHeight="1">
      <c r="BD330" s="190"/>
    </row>
    <row r="331" ht="15.75" customHeight="1">
      <c r="BD331" s="190"/>
    </row>
    <row r="332" ht="15.75" customHeight="1">
      <c r="BD332" s="190"/>
    </row>
    <row r="333" ht="15.75" customHeight="1">
      <c r="BD333" s="190"/>
    </row>
    <row r="334" ht="15.75" customHeight="1">
      <c r="BD334" s="190"/>
    </row>
    <row r="335" ht="15.75" customHeight="1">
      <c r="BD335" s="190"/>
    </row>
    <row r="336" ht="15.75" customHeight="1">
      <c r="BD336" s="190"/>
    </row>
    <row r="337" ht="15.75" customHeight="1">
      <c r="BD337" s="190"/>
    </row>
    <row r="338" ht="15.75" customHeight="1">
      <c r="BD338" s="190"/>
    </row>
    <row r="339" ht="15.75" customHeight="1">
      <c r="BD339" s="190"/>
    </row>
    <row r="340" ht="15.75" customHeight="1">
      <c r="BD340" s="190"/>
    </row>
    <row r="341" ht="15.75" customHeight="1">
      <c r="BD341" s="190"/>
    </row>
    <row r="342" ht="15.75" customHeight="1">
      <c r="BD342" s="190"/>
    </row>
    <row r="343" ht="15.75" customHeight="1">
      <c r="BD343" s="190"/>
    </row>
    <row r="344" ht="15.75" customHeight="1">
      <c r="BD344" s="190"/>
    </row>
    <row r="345" ht="15.75" customHeight="1">
      <c r="BD345" s="190"/>
    </row>
    <row r="346" ht="15.75" customHeight="1">
      <c r="BD346" s="190"/>
    </row>
    <row r="347" ht="15.75" customHeight="1">
      <c r="BD347" s="190"/>
    </row>
    <row r="348" ht="15.75" customHeight="1">
      <c r="BD348" s="190"/>
    </row>
    <row r="349" ht="15.75" customHeight="1">
      <c r="BD349" s="190"/>
    </row>
    <row r="350" ht="15.75" customHeight="1">
      <c r="BD350" s="190"/>
    </row>
    <row r="351" ht="15.75" customHeight="1">
      <c r="BD351" s="190"/>
    </row>
    <row r="352" ht="15.75" customHeight="1">
      <c r="BD352" s="190"/>
    </row>
    <row r="353" ht="15.75" customHeight="1">
      <c r="BD353" s="190"/>
    </row>
    <row r="354" ht="15.75" customHeight="1">
      <c r="BD354" s="190"/>
    </row>
    <row r="355" ht="15.75" customHeight="1">
      <c r="BD355" s="190"/>
    </row>
    <row r="356" ht="15.75" customHeight="1">
      <c r="BD356" s="190"/>
    </row>
    <row r="357" ht="15.75" customHeight="1">
      <c r="BD357" s="190"/>
    </row>
    <row r="358" ht="15.75" customHeight="1">
      <c r="BD358" s="190"/>
    </row>
    <row r="359" ht="15.75" customHeight="1">
      <c r="BD359" s="190"/>
    </row>
    <row r="360" ht="15.75" customHeight="1">
      <c r="BD360" s="190"/>
    </row>
    <row r="361" ht="15.75" customHeight="1">
      <c r="BD361" s="190"/>
    </row>
    <row r="362" ht="15.75" customHeight="1">
      <c r="BD362" s="190"/>
    </row>
    <row r="363" ht="15.75" customHeight="1">
      <c r="BD363" s="190"/>
    </row>
    <row r="364" ht="15.75" customHeight="1">
      <c r="BD364" s="190"/>
    </row>
    <row r="365" ht="15.75" customHeight="1">
      <c r="BD365" s="190"/>
    </row>
    <row r="366" ht="15.75" customHeight="1">
      <c r="BD366" s="190"/>
    </row>
    <row r="367" ht="15.75" customHeight="1">
      <c r="BD367" s="190"/>
    </row>
    <row r="368" ht="15.75" customHeight="1">
      <c r="BD368" s="190"/>
    </row>
    <row r="369" ht="15.75" customHeight="1">
      <c r="BD369" s="190"/>
    </row>
    <row r="370" ht="15.75" customHeight="1">
      <c r="BD370" s="190"/>
    </row>
    <row r="371" ht="15.75" customHeight="1">
      <c r="BD371" s="190"/>
    </row>
    <row r="372" ht="15.75" customHeight="1">
      <c r="BD372" s="190"/>
    </row>
    <row r="373" ht="15.75" customHeight="1">
      <c r="BD373" s="190"/>
    </row>
    <row r="374" ht="15.75" customHeight="1">
      <c r="BD374" s="190"/>
    </row>
    <row r="375" ht="15.75" customHeight="1">
      <c r="BD375" s="190"/>
    </row>
    <row r="376" ht="15.75" customHeight="1">
      <c r="BD376" s="190"/>
    </row>
    <row r="377" ht="15.75" customHeight="1">
      <c r="BD377" s="190"/>
    </row>
    <row r="378" ht="15.75" customHeight="1">
      <c r="BD378" s="190"/>
    </row>
    <row r="379" ht="15.75" customHeight="1">
      <c r="BD379" s="190"/>
    </row>
    <row r="380" ht="15.75" customHeight="1">
      <c r="BD380" s="190"/>
    </row>
    <row r="381" ht="15.75" customHeight="1">
      <c r="BD381" s="190"/>
    </row>
    <row r="382" ht="15.75" customHeight="1">
      <c r="BD382" s="190"/>
    </row>
    <row r="383" ht="15.75" customHeight="1">
      <c r="BD383" s="190"/>
    </row>
    <row r="384" ht="15.75" customHeight="1">
      <c r="BD384" s="190"/>
    </row>
    <row r="385" ht="15.75" customHeight="1">
      <c r="BD385" s="190"/>
    </row>
    <row r="386" ht="15.75" customHeight="1">
      <c r="BD386" s="190"/>
    </row>
    <row r="387" ht="15.75" customHeight="1">
      <c r="BD387" s="190"/>
    </row>
    <row r="388" ht="15.75" customHeight="1">
      <c r="BD388" s="190"/>
    </row>
    <row r="389" ht="15.75" customHeight="1">
      <c r="BD389" s="190"/>
    </row>
    <row r="390" ht="15.75" customHeight="1">
      <c r="BD390" s="190"/>
    </row>
    <row r="391" ht="15.75" customHeight="1">
      <c r="BD391" s="190"/>
    </row>
    <row r="392" ht="15.75" customHeight="1">
      <c r="BD392" s="190"/>
    </row>
    <row r="393" ht="15.75" customHeight="1">
      <c r="BD393" s="190"/>
    </row>
    <row r="394" ht="15.75" customHeight="1">
      <c r="BD394" s="190"/>
    </row>
    <row r="395" ht="15.75" customHeight="1">
      <c r="BD395" s="190"/>
    </row>
    <row r="396" ht="15.75" customHeight="1">
      <c r="BD396" s="190"/>
    </row>
    <row r="397" ht="15.75" customHeight="1">
      <c r="BD397" s="190"/>
    </row>
    <row r="398" ht="15.75" customHeight="1">
      <c r="BD398" s="190"/>
    </row>
    <row r="399" ht="15.75" customHeight="1">
      <c r="BD399" s="190"/>
    </row>
    <row r="400" ht="15.75" customHeight="1">
      <c r="BD400" s="190"/>
    </row>
    <row r="401" ht="15.75" customHeight="1">
      <c r="BD401" s="190"/>
    </row>
    <row r="402" ht="15.75" customHeight="1">
      <c r="BD402" s="190"/>
    </row>
    <row r="403" ht="15.75" customHeight="1">
      <c r="BD403" s="190"/>
    </row>
    <row r="404" ht="15.75" customHeight="1">
      <c r="BD404" s="190"/>
    </row>
    <row r="405" ht="15.75" customHeight="1">
      <c r="BD405" s="190"/>
    </row>
    <row r="406" ht="15.75" customHeight="1">
      <c r="BD406" s="190"/>
    </row>
    <row r="407" ht="15.75" customHeight="1">
      <c r="BD407" s="190"/>
    </row>
    <row r="408" ht="15.75" customHeight="1">
      <c r="BD408" s="190"/>
    </row>
    <row r="409" ht="15.75" customHeight="1">
      <c r="BD409" s="190"/>
    </row>
    <row r="410" ht="15.75" customHeight="1">
      <c r="BD410" s="190"/>
    </row>
    <row r="411" ht="15.75" customHeight="1">
      <c r="BD411" s="190"/>
    </row>
    <row r="412" ht="15.75" customHeight="1">
      <c r="BD412" s="190"/>
    </row>
    <row r="413" ht="15.75" customHeight="1">
      <c r="BD413" s="190"/>
    </row>
    <row r="414" ht="15.75" customHeight="1">
      <c r="BD414" s="190"/>
    </row>
    <row r="415" ht="15.75" customHeight="1">
      <c r="BD415" s="190"/>
    </row>
    <row r="416" ht="15.75" customHeight="1">
      <c r="BD416" s="190"/>
    </row>
    <row r="417" ht="15.75" customHeight="1">
      <c r="BD417" s="190"/>
    </row>
    <row r="418" ht="15.75" customHeight="1">
      <c r="BD418" s="190"/>
    </row>
    <row r="419" ht="15.75" customHeight="1">
      <c r="BD419" s="190"/>
    </row>
    <row r="420" ht="15.75" customHeight="1">
      <c r="BD420" s="190"/>
    </row>
    <row r="421" ht="15.75" customHeight="1">
      <c r="BD421" s="190"/>
    </row>
    <row r="422" ht="15.75" customHeight="1">
      <c r="BD422" s="190"/>
    </row>
    <row r="423" ht="15.75" customHeight="1">
      <c r="BD423" s="190"/>
    </row>
    <row r="424" ht="15.75" customHeight="1">
      <c r="BD424" s="190"/>
    </row>
    <row r="425" ht="15.75" customHeight="1">
      <c r="BD425" s="190"/>
    </row>
    <row r="426" ht="15.75" customHeight="1">
      <c r="BD426" s="190"/>
    </row>
    <row r="427" ht="15.75" customHeight="1">
      <c r="BD427" s="190"/>
    </row>
    <row r="428" ht="15.75" customHeight="1">
      <c r="BD428" s="190"/>
    </row>
    <row r="429" ht="15.75" customHeight="1">
      <c r="BD429" s="190"/>
    </row>
    <row r="430" ht="15.75" customHeight="1">
      <c r="BD430" s="190"/>
    </row>
    <row r="431" ht="15.75" customHeight="1">
      <c r="BD431" s="190"/>
    </row>
    <row r="432" ht="15.75" customHeight="1">
      <c r="BD432" s="190"/>
    </row>
    <row r="433" ht="15.75" customHeight="1">
      <c r="BD433" s="190"/>
    </row>
    <row r="434" ht="15.75" customHeight="1">
      <c r="BD434" s="190"/>
    </row>
    <row r="435" ht="15.75" customHeight="1">
      <c r="BD435" s="190"/>
    </row>
    <row r="436" ht="15.75" customHeight="1">
      <c r="BD436" s="190"/>
    </row>
    <row r="437" ht="15.75" customHeight="1">
      <c r="BD437" s="190"/>
    </row>
    <row r="438" ht="15.75" customHeight="1">
      <c r="BD438" s="190"/>
    </row>
    <row r="439" ht="15.75" customHeight="1">
      <c r="BD439" s="190"/>
    </row>
    <row r="440" ht="15.75" customHeight="1">
      <c r="BD440" s="190"/>
    </row>
    <row r="441" ht="15.75" customHeight="1">
      <c r="BD441" s="190"/>
    </row>
    <row r="442" ht="15.75" customHeight="1">
      <c r="BD442" s="190"/>
    </row>
    <row r="443" ht="15.75" customHeight="1">
      <c r="BD443" s="190"/>
    </row>
    <row r="444" ht="15.75" customHeight="1">
      <c r="BD444" s="190"/>
    </row>
    <row r="445" ht="15.75" customHeight="1">
      <c r="BD445" s="190"/>
    </row>
    <row r="446" ht="15.75" customHeight="1">
      <c r="BD446" s="190"/>
    </row>
    <row r="447" ht="15.75" customHeight="1">
      <c r="BD447" s="190"/>
    </row>
    <row r="448" ht="15.75" customHeight="1">
      <c r="BD448" s="190"/>
    </row>
    <row r="449" ht="15.75" customHeight="1">
      <c r="BD449" s="190"/>
    </row>
    <row r="450" ht="15.75" customHeight="1">
      <c r="BD450" s="190"/>
    </row>
    <row r="451" ht="15.75" customHeight="1">
      <c r="BD451" s="190"/>
    </row>
    <row r="452" ht="15.75" customHeight="1">
      <c r="BD452" s="190"/>
    </row>
    <row r="453" ht="15.75" customHeight="1">
      <c r="BD453" s="190"/>
    </row>
    <row r="454" ht="15.75" customHeight="1">
      <c r="BD454" s="190"/>
    </row>
    <row r="455" ht="15.75" customHeight="1">
      <c r="BD455" s="190"/>
    </row>
    <row r="456" ht="15.75" customHeight="1">
      <c r="BD456" s="190"/>
    </row>
    <row r="457" ht="15.75" customHeight="1">
      <c r="BD457" s="190"/>
    </row>
    <row r="458" ht="15.75" customHeight="1">
      <c r="BD458" s="190"/>
    </row>
    <row r="459" ht="15.75" customHeight="1">
      <c r="BD459" s="190"/>
    </row>
    <row r="460" ht="15.75" customHeight="1">
      <c r="BD460" s="190"/>
    </row>
    <row r="461" ht="15.75" customHeight="1">
      <c r="BD461" s="190"/>
    </row>
    <row r="462" ht="15.75" customHeight="1">
      <c r="BD462" s="190"/>
    </row>
    <row r="463" ht="15.75" customHeight="1">
      <c r="BD463" s="190"/>
    </row>
    <row r="464" ht="15.75" customHeight="1">
      <c r="BD464" s="190"/>
    </row>
    <row r="465" ht="15.75" customHeight="1">
      <c r="BD465" s="190"/>
    </row>
    <row r="466" ht="15.75" customHeight="1">
      <c r="BD466" s="190"/>
    </row>
    <row r="467" ht="15.75" customHeight="1">
      <c r="BD467" s="190"/>
    </row>
    <row r="468" ht="15.75" customHeight="1">
      <c r="BD468" s="190"/>
    </row>
    <row r="469" ht="15.75" customHeight="1">
      <c r="BD469" s="190"/>
    </row>
    <row r="470" ht="15.75" customHeight="1">
      <c r="BD470" s="190"/>
    </row>
    <row r="471" ht="15.75" customHeight="1">
      <c r="BD471" s="190"/>
    </row>
    <row r="472" ht="15.75" customHeight="1">
      <c r="BD472" s="190"/>
    </row>
    <row r="473" ht="15.75" customHeight="1">
      <c r="BD473" s="190"/>
    </row>
    <row r="474" ht="15.75" customHeight="1">
      <c r="BD474" s="190"/>
    </row>
    <row r="475" ht="15.75" customHeight="1">
      <c r="BD475" s="190"/>
    </row>
    <row r="476" ht="15.75" customHeight="1">
      <c r="BD476" s="190"/>
    </row>
    <row r="477" ht="15.75" customHeight="1">
      <c r="BD477" s="190"/>
    </row>
    <row r="478" ht="15.75" customHeight="1">
      <c r="BD478" s="190"/>
    </row>
    <row r="479" ht="15.75" customHeight="1">
      <c r="BD479" s="190"/>
    </row>
    <row r="480" ht="15.75" customHeight="1">
      <c r="BD480" s="190"/>
    </row>
    <row r="481" ht="15.75" customHeight="1">
      <c r="BD481" s="190"/>
    </row>
    <row r="482" ht="15.75" customHeight="1">
      <c r="BD482" s="190"/>
    </row>
    <row r="483" ht="15.75" customHeight="1">
      <c r="BD483" s="190"/>
    </row>
    <row r="484" ht="15.75" customHeight="1">
      <c r="BD484" s="190"/>
    </row>
    <row r="485" ht="15.75" customHeight="1">
      <c r="BD485" s="190"/>
    </row>
    <row r="486" ht="15.75" customHeight="1">
      <c r="BD486" s="190"/>
    </row>
    <row r="487" ht="15.75" customHeight="1">
      <c r="BD487" s="190"/>
    </row>
    <row r="488" ht="15.75" customHeight="1">
      <c r="BD488" s="190"/>
    </row>
    <row r="489" ht="15.75" customHeight="1">
      <c r="BD489" s="190"/>
    </row>
    <row r="490" ht="15.75" customHeight="1">
      <c r="BD490" s="190"/>
    </row>
    <row r="491" ht="15.75" customHeight="1">
      <c r="BD491" s="190"/>
    </row>
    <row r="492" ht="15.75" customHeight="1">
      <c r="BD492" s="190"/>
    </row>
    <row r="493" ht="15.75" customHeight="1">
      <c r="BD493" s="190"/>
    </row>
    <row r="494" ht="15.75" customHeight="1">
      <c r="BD494" s="190"/>
    </row>
    <row r="495" ht="15.75" customHeight="1">
      <c r="BD495" s="190"/>
    </row>
    <row r="496" ht="15.75" customHeight="1">
      <c r="BD496" s="190"/>
    </row>
    <row r="497" ht="15.75" customHeight="1">
      <c r="BD497" s="190"/>
    </row>
    <row r="498" ht="15.75" customHeight="1">
      <c r="BD498" s="190"/>
    </row>
    <row r="499" ht="15.75" customHeight="1">
      <c r="BD499" s="190"/>
    </row>
    <row r="500" ht="15.75" customHeight="1">
      <c r="BD500" s="190"/>
    </row>
    <row r="501" ht="15.75" customHeight="1">
      <c r="BD501" s="190"/>
    </row>
    <row r="502" ht="15.75" customHeight="1">
      <c r="BD502" s="190"/>
    </row>
    <row r="503" ht="15.75" customHeight="1">
      <c r="BD503" s="190"/>
    </row>
    <row r="504" ht="15.75" customHeight="1">
      <c r="BD504" s="190"/>
    </row>
    <row r="505" ht="15.75" customHeight="1">
      <c r="BD505" s="190"/>
    </row>
    <row r="506" ht="15.75" customHeight="1">
      <c r="BD506" s="190"/>
    </row>
    <row r="507" ht="15.75" customHeight="1">
      <c r="BD507" s="190"/>
    </row>
    <row r="508" ht="15.75" customHeight="1">
      <c r="BD508" s="190"/>
    </row>
    <row r="509" ht="15.75" customHeight="1">
      <c r="BD509" s="190"/>
    </row>
    <row r="510" ht="15.75" customHeight="1">
      <c r="BD510" s="190"/>
    </row>
    <row r="511" ht="15.75" customHeight="1">
      <c r="BD511" s="190"/>
    </row>
    <row r="512" ht="15.75" customHeight="1">
      <c r="BD512" s="190"/>
    </row>
    <row r="513" ht="15.75" customHeight="1">
      <c r="BD513" s="190"/>
    </row>
    <row r="514" ht="15.75" customHeight="1">
      <c r="BD514" s="190"/>
    </row>
    <row r="515" ht="15.75" customHeight="1">
      <c r="BD515" s="190"/>
    </row>
    <row r="516" ht="15.75" customHeight="1">
      <c r="BD516" s="190"/>
    </row>
    <row r="517" ht="15.75" customHeight="1">
      <c r="BD517" s="190"/>
    </row>
    <row r="518" ht="15.75" customHeight="1">
      <c r="BD518" s="190"/>
    </row>
    <row r="519" ht="15.75" customHeight="1">
      <c r="BD519" s="190"/>
    </row>
    <row r="520" ht="15.75" customHeight="1">
      <c r="BD520" s="190"/>
    </row>
    <row r="521" ht="15.75" customHeight="1">
      <c r="BD521" s="190"/>
    </row>
    <row r="522" ht="15.75" customHeight="1">
      <c r="BD522" s="190"/>
    </row>
    <row r="523" ht="15.75" customHeight="1">
      <c r="BD523" s="190"/>
    </row>
    <row r="524" ht="15.75" customHeight="1">
      <c r="BD524" s="190"/>
    </row>
    <row r="525" ht="15.75" customHeight="1">
      <c r="BD525" s="190"/>
    </row>
    <row r="526" ht="15.75" customHeight="1">
      <c r="BD526" s="190"/>
    </row>
    <row r="527" ht="15.75" customHeight="1">
      <c r="BD527" s="190"/>
    </row>
    <row r="528" ht="15.75" customHeight="1">
      <c r="BD528" s="190"/>
    </row>
    <row r="529" ht="15.75" customHeight="1">
      <c r="BD529" s="190"/>
    </row>
    <row r="530" ht="15.75" customHeight="1">
      <c r="BD530" s="190"/>
    </row>
    <row r="531" ht="15.75" customHeight="1">
      <c r="BD531" s="190"/>
    </row>
    <row r="532" ht="15.75" customHeight="1">
      <c r="BD532" s="190"/>
    </row>
    <row r="533" ht="15.75" customHeight="1">
      <c r="BD533" s="190"/>
    </row>
    <row r="534" ht="15.75" customHeight="1">
      <c r="BD534" s="190"/>
    </row>
    <row r="535" ht="15.75" customHeight="1">
      <c r="BD535" s="190"/>
    </row>
    <row r="536" ht="15.75" customHeight="1">
      <c r="BD536" s="190"/>
    </row>
    <row r="537" ht="15.75" customHeight="1">
      <c r="BD537" s="190"/>
    </row>
    <row r="538" ht="15.75" customHeight="1">
      <c r="BD538" s="190"/>
    </row>
    <row r="539" ht="15.75" customHeight="1">
      <c r="BD539" s="190"/>
    </row>
    <row r="540" ht="15.75" customHeight="1">
      <c r="BD540" s="190"/>
    </row>
    <row r="541" ht="15.75" customHeight="1">
      <c r="BD541" s="190"/>
    </row>
    <row r="542" ht="15.75" customHeight="1">
      <c r="BD542" s="190"/>
    </row>
    <row r="543" ht="15.75" customHeight="1">
      <c r="BD543" s="190"/>
    </row>
    <row r="544" ht="15.75" customHeight="1">
      <c r="BD544" s="190"/>
    </row>
    <row r="545" ht="15.75" customHeight="1">
      <c r="BD545" s="190"/>
    </row>
    <row r="546" ht="15.75" customHeight="1">
      <c r="BD546" s="190"/>
    </row>
    <row r="547" ht="15.75" customHeight="1">
      <c r="BD547" s="190"/>
    </row>
    <row r="548" ht="15.75" customHeight="1">
      <c r="BD548" s="190"/>
    </row>
    <row r="549" ht="15.75" customHeight="1">
      <c r="BD549" s="190"/>
    </row>
    <row r="550" ht="15.75" customHeight="1">
      <c r="BD550" s="190"/>
    </row>
    <row r="551" ht="15.75" customHeight="1">
      <c r="BD551" s="190"/>
    </row>
    <row r="552" ht="15.75" customHeight="1">
      <c r="BD552" s="190"/>
    </row>
    <row r="553" ht="15.75" customHeight="1">
      <c r="BD553" s="190"/>
    </row>
    <row r="554" ht="15.75" customHeight="1">
      <c r="BD554" s="190"/>
    </row>
    <row r="555" ht="15.75" customHeight="1">
      <c r="BD555" s="190"/>
    </row>
    <row r="556" ht="15.75" customHeight="1">
      <c r="BD556" s="190"/>
    </row>
    <row r="557" ht="15.75" customHeight="1">
      <c r="BD557" s="190"/>
    </row>
    <row r="558" ht="15.75" customHeight="1">
      <c r="BD558" s="190"/>
    </row>
    <row r="559" ht="15.75" customHeight="1">
      <c r="BD559" s="190"/>
    </row>
    <row r="560" ht="15.75" customHeight="1">
      <c r="BD560" s="190"/>
    </row>
    <row r="561" ht="15.75" customHeight="1">
      <c r="BD561" s="190"/>
    </row>
    <row r="562" ht="15.75" customHeight="1">
      <c r="BD562" s="190"/>
    </row>
    <row r="563" ht="15.75" customHeight="1">
      <c r="BD563" s="190"/>
    </row>
    <row r="564" ht="15.75" customHeight="1">
      <c r="BD564" s="190"/>
    </row>
    <row r="565" ht="15.75" customHeight="1">
      <c r="BD565" s="190"/>
    </row>
    <row r="566" ht="15.75" customHeight="1">
      <c r="BD566" s="190"/>
    </row>
    <row r="567" ht="15.75" customHeight="1">
      <c r="BD567" s="190"/>
    </row>
    <row r="568" ht="15.75" customHeight="1">
      <c r="BD568" s="190"/>
    </row>
    <row r="569" ht="15.75" customHeight="1">
      <c r="BD569" s="190"/>
    </row>
    <row r="570" ht="15.75" customHeight="1">
      <c r="BD570" s="190"/>
    </row>
    <row r="571" ht="15.75" customHeight="1">
      <c r="BD571" s="190"/>
    </row>
    <row r="572" ht="15.75" customHeight="1">
      <c r="BD572" s="190"/>
    </row>
    <row r="573" ht="15.75" customHeight="1">
      <c r="BD573" s="190"/>
    </row>
    <row r="574" ht="15.75" customHeight="1">
      <c r="BD574" s="190"/>
    </row>
    <row r="575" ht="15.75" customHeight="1">
      <c r="BD575" s="190"/>
    </row>
    <row r="576" ht="15.75" customHeight="1">
      <c r="BD576" s="190"/>
    </row>
    <row r="577" ht="15.75" customHeight="1">
      <c r="BD577" s="190"/>
    </row>
    <row r="578" ht="15.75" customHeight="1">
      <c r="BD578" s="190"/>
    </row>
    <row r="579" ht="15.75" customHeight="1">
      <c r="BD579" s="190"/>
    </row>
    <row r="580" ht="15.75" customHeight="1">
      <c r="BD580" s="190"/>
    </row>
    <row r="581" ht="15.75" customHeight="1">
      <c r="BD581" s="190"/>
    </row>
    <row r="582" ht="15.75" customHeight="1">
      <c r="BD582" s="190"/>
    </row>
    <row r="583" ht="15.75" customHeight="1">
      <c r="BD583" s="190"/>
    </row>
    <row r="584" ht="15.75" customHeight="1">
      <c r="BD584" s="190"/>
    </row>
    <row r="585" ht="15.75" customHeight="1">
      <c r="BD585" s="190"/>
    </row>
    <row r="586" ht="15.75" customHeight="1">
      <c r="BD586" s="190"/>
    </row>
    <row r="587" ht="15.75" customHeight="1">
      <c r="BD587" s="190"/>
    </row>
    <row r="588" ht="15.75" customHeight="1">
      <c r="BD588" s="190"/>
    </row>
    <row r="589" ht="15.75" customHeight="1">
      <c r="BD589" s="190"/>
    </row>
    <row r="590" ht="15.75" customHeight="1">
      <c r="BD590" s="190"/>
    </row>
    <row r="591" ht="15.75" customHeight="1">
      <c r="BD591" s="190"/>
    </row>
    <row r="592" ht="15.75" customHeight="1">
      <c r="BD592" s="190"/>
    </row>
    <row r="593" ht="15.75" customHeight="1">
      <c r="BD593" s="190"/>
    </row>
    <row r="594" ht="15.75" customHeight="1">
      <c r="BD594" s="190"/>
    </row>
    <row r="595" ht="15.75" customHeight="1">
      <c r="BD595" s="190"/>
    </row>
    <row r="596" ht="15.75" customHeight="1">
      <c r="BD596" s="190"/>
    </row>
    <row r="597" ht="15.75" customHeight="1">
      <c r="BD597" s="190"/>
    </row>
    <row r="598" ht="15.75" customHeight="1">
      <c r="BD598" s="190"/>
    </row>
    <row r="599" ht="15.75" customHeight="1">
      <c r="BD599" s="190"/>
    </row>
    <row r="600" ht="15.75" customHeight="1">
      <c r="BD600" s="190"/>
    </row>
    <row r="601" ht="15.75" customHeight="1">
      <c r="BD601" s="190"/>
    </row>
    <row r="602" ht="15.75" customHeight="1">
      <c r="BD602" s="190"/>
    </row>
    <row r="603" ht="15.75" customHeight="1">
      <c r="BD603" s="190"/>
    </row>
    <row r="604" ht="15.75" customHeight="1">
      <c r="BD604" s="190"/>
    </row>
    <row r="605" ht="15.75" customHeight="1">
      <c r="BD605" s="190"/>
    </row>
    <row r="606" ht="15.75" customHeight="1">
      <c r="BD606" s="190"/>
    </row>
    <row r="607" ht="15.75" customHeight="1">
      <c r="BD607" s="190"/>
    </row>
    <row r="608" ht="15.75" customHeight="1">
      <c r="BD608" s="190"/>
    </row>
    <row r="609" ht="15.75" customHeight="1">
      <c r="BD609" s="190"/>
    </row>
    <row r="610" ht="15.75" customHeight="1">
      <c r="BD610" s="190"/>
    </row>
    <row r="611" ht="15.75" customHeight="1">
      <c r="BD611" s="190"/>
    </row>
    <row r="612" ht="15.75" customHeight="1">
      <c r="BD612" s="190"/>
    </row>
    <row r="613" ht="15.75" customHeight="1">
      <c r="BD613" s="190"/>
    </row>
    <row r="614" ht="15.75" customHeight="1">
      <c r="BD614" s="190"/>
    </row>
    <row r="615" ht="15.75" customHeight="1">
      <c r="BD615" s="190"/>
    </row>
    <row r="616" ht="15.75" customHeight="1">
      <c r="BD616" s="190"/>
    </row>
    <row r="617" ht="15.75" customHeight="1">
      <c r="BD617" s="190"/>
    </row>
    <row r="618" ht="15.75" customHeight="1">
      <c r="BD618" s="190"/>
    </row>
    <row r="619" ht="15.75" customHeight="1">
      <c r="BD619" s="190"/>
    </row>
    <row r="620" ht="15.75" customHeight="1">
      <c r="BD620" s="190"/>
    </row>
    <row r="621" ht="15.75" customHeight="1">
      <c r="BD621" s="190"/>
    </row>
    <row r="622" ht="15.75" customHeight="1">
      <c r="BD622" s="190"/>
    </row>
    <row r="623" ht="15.75" customHeight="1">
      <c r="BD623" s="190"/>
    </row>
    <row r="624" ht="15.75" customHeight="1">
      <c r="BD624" s="190"/>
    </row>
    <row r="625" ht="15.75" customHeight="1">
      <c r="BD625" s="190"/>
    </row>
    <row r="626" ht="15.75" customHeight="1">
      <c r="BD626" s="190"/>
    </row>
    <row r="627" ht="15.75" customHeight="1">
      <c r="BD627" s="190"/>
    </row>
    <row r="628" ht="15.75" customHeight="1">
      <c r="BD628" s="190"/>
    </row>
    <row r="629" ht="15.75" customHeight="1">
      <c r="BD629" s="190"/>
    </row>
    <row r="630" ht="15.75" customHeight="1">
      <c r="BD630" s="190"/>
    </row>
    <row r="631" ht="15.75" customHeight="1">
      <c r="BD631" s="190"/>
    </row>
    <row r="632" ht="15.75" customHeight="1">
      <c r="BD632" s="190"/>
    </row>
    <row r="633" ht="15.75" customHeight="1">
      <c r="BD633" s="190"/>
    </row>
    <row r="634" ht="15.75" customHeight="1">
      <c r="BD634" s="190"/>
    </row>
    <row r="635" ht="15.75" customHeight="1">
      <c r="BD635" s="190"/>
    </row>
    <row r="636" ht="15.75" customHeight="1">
      <c r="BD636" s="190"/>
    </row>
    <row r="637" ht="15.75" customHeight="1">
      <c r="BD637" s="190"/>
    </row>
    <row r="638" ht="15.75" customHeight="1">
      <c r="BD638" s="190"/>
    </row>
    <row r="639" ht="15.75" customHeight="1">
      <c r="BD639" s="190"/>
    </row>
    <row r="640" ht="15.75" customHeight="1">
      <c r="BD640" s="190"/>
    </row>
    <row r="641" ht="15.75" customHeight="1">
      <c r="BD641" s="190"/>
    </row>
    <row r="642" ht="15.75" customHeight="1">
      <c r="BD642" s="190"/>
    </row>
    <row r="643" ht="15.75" customHeight="1">
      <c r="BD643" s="190"/>
    </row>
    <row r="644" ht="15.75" customHeight="1">
      <c r="BD644" s="190"/>
    </row>
    <row r="645" ht="15.75" customHeight="1">
      <c r="BD645" s="190"/>
    </row>
    <row r="646" ht="15.75" customHeight="1">
      <c r="BD646" s="190"/>
    </row>
    <row r="647" ht="15.75" customHeight="1">
      <c r="BD647" s="190"/>
    </row>
    <row r="648" ht="15.75" customHeight="1">
      <c r="BD648" s="190"/>
    </row>
    <row r="649" ht="15.75" customHeight="1">
      <c r="BD649" s="190"/>
    </row>
    <row r="650" ht="15.75" customHeight="1">
      <c r="BD650" s="190"/>
    </row>
    <row r="651" ht="15.75" customHeight="1">
      <c r="BD651" s="190"/>
    </row>
    <row r="652" ht="15.75" customHeight="1">
      <c r="BD652" s="190"/>
    </row>
    <row r="653" ht="15.75" customHeight="1">
      <c r="BD653" s="190"/>
    </row>
    <row r="654" ht="15.75" customHeight="1">
      <c r="BD654" s="190"/>
    </row>
    <row r="655" ht="15.75" customHeight="1">
      <c r="BD655" s="190"/>
    </row>
    <row r="656" ht="15.75" customHeight="1">
      <c r="BD656" s="190"/>
    </row>
    <row r="657" ht="15.75" customHeight="1">
      <c r="BD657" s="190"/>
    </row>
    <row r="658" ht="15.75" customHeight="1">
      <c r="BD658" s="190"/>
    </row>
    <row r="659" ht="15.75" customHeight="1">
      <c r="BD659" s="190"/>
    </row>
    <row r="660" ht="15.75" customHeight="1">
      <c r="BD660" s="190"/>
    </row>
    <row r="661" ht="15.75" customHeight="1">
      <c r="BD661" s="190"/>
    </row>
    <row r="662" ht="15.75" customHeight="1">
      <c r="BD662" s="190"/>
    </row>
    <row r="663" ht="15.75" customHeight="1">
      <c r="BD663" s="190"/>
    </row>
    <row r="664" ht="15.75" customHeight="1">
      <c r="BD664" s="190"/>
    </row>
    <row r="665" ht="15.75" customHeight="1">
      <c r="BD665" s="190"/>
    </row>
    <row r="666" ht="15.75" customHeight="1">
      <c r="BD666" s="190"/>
    </row>
    <row r="667" ht="15.75" customHeight="1">
      <c r="BD667" s="190"/>
    </row>
    <row r="668" ht="15.75" customHeight="1">
      <c r="BD668" s="190"/>
    </row>
    <row r="669" ht="15.75" customHeight="1">
      <c r="BD669" s="190"/>
    </row>
    <row r="670" ht="15.75" customHeight="1">
      <c r="BD670" s="190"/>
    </row>
    <row r="671" ht="15.75" customHeight="1">
      <c r="BD671" s="190"/>
    </row>
    <row r="672" ht="15.75" customHeight="1">
      <c r="BD672" s="190"/>
    </row>
    <row r="673" ht="15.75" customHeight="1">
      <c r="BD673" s="190"/>
    </row>
    <row r="674" ht="15.75" customHeight="1">
      <c r="BD674" s="190"/>
    </row>
    <row r="675" ht="15.75" customHeight="1">
      <c r="BD675" s="190"/>
    </row>
    <row r="676" ht="15.75" customHeight="1">
      <c r="BD676" s="190"/>
    </row>
    <row r="677" ht="15.75" customHeight="1">
      <c r="BD677" s="190"/>
    </row>
    <row r="678" ht="15.75" customHeight="1">
      <c r="BD678" s="190"/>
    </row>
    <row r="679" ht="15.75" customHeight="1">
      <c r="BD679" s="190"/>
    </row>
    <row r="680" ht="15.75" customHeight="1">
      <c r="BD680" s="190"/>
    </row>
    <row r="681" ht="15.75" customHeight="1">
      <c r="BD681" s="190"/>
    </row>
    <row r="682" ht="15.75" customHeight="1">
      <c r="BD682" s="190"/>
    </row>
    <row r="683" ht="15.75" customHeight="1">
      <c r="BD683" s="190"/>
    </row>
    <row r="684" ht="15.75" customHeight="1">
      <c r="BD684" s="190"/>
    </row>
    <row r="685" ht="15.75" customHeight="1">
      <c r="BD685" s="190"/>
    </row>
    <row r="686" ht="15.75" customHeight="1">
      <c r="BD686" s="190"/>
    </row>
    <row r="687" ht="15.75" customHeight="1">
      <c r="BD687" s="190"/>
    </row>
    <row r="688" ht="15.75" customHeight="1">
      <c r="BD688" s="190"/>
    </row>
    <row r="689" ht="15.75" customHeight="1">
      <c r="BD689" s="190"/>
    </row>
    <row r="690" ht="15.75" customHeight="1">
      <c r="BD690" s="190"/>
    </row>
    <row r="691" ht="15.75" customHeight="1">
      <c r="BD691" s="190"/>
    </row>
    <row r="692" ht="15.75" customHeight="1">
      <c r="BD692" s="190"/>
    </row>
    <row r="693" ht="15.75" customHeight="1">
      <c r="BD693" s="190"/>
    </row>
    <row r="694" ht="15.75" customHeight="1">
      <c r="BD694" s="190"/>
    </row>
    <row r="695" ht="15.75" customHeight="1">
      <c r="BD695" s="190"/>
    </row>
    <row r="696" ht="15.75" customHeight="1">
      <c r="BD696" s="190"/>
    </row>
    <row r="697" ht="15.75" customHeight="1">
      <c r="BD697" s="190"/>
    </row>
    <row r="698" ht="15.75" customHeight="1">
      <c r="BD698" s="190"/>
    </row>
    <row r="699" ht="15.75" customHeight="1">
      <c r="BD699" s="190"/>
    </row>
    <row r="700" ht="15.75" customHeight="1">
      <c r="BD700" s="190"/>
    </row>
    <row r="701" ht="15.75" customHeight="1">
      <c r="BD701" s="190"/>
    </row>
    <row r="702" ht="15.75" customHeight="1">
      <c r="BD702" s="190"/>
    </row>
    <row r="703" ht="15.75" customHeight="1">
      <c r="BD703" s="190"/>
    </row>
    <row r="704" ht="15.75" customHeight="1">
      <c r="BD704" s="190"/>
    </row>
    <row r="705" ht="15.75" customHeight="1">
      <c r="BD705" s="190"/>
    </row>
    <row r="706" ht="15.75" customHeight="1">
      <c r="BD706" s="190"/>
    </row>
    <row r="707" ht="15.75" customHeight="1">
      <c r="BD707" s="190"/>
    </row>
    <row r="708" ht="15.75" customHeight="1">
      <c r="BD708" s="190"/>
    </row>
    <row r="709" ht="15.75" customHeight="1">
      <c r="BD709" s="190"/>
    </row>
    <row r="710" ht="15.75" customHeight="1">
      <c r="BD710" s="190"/>
    </row>
    <row r="711" ht="15.75" customHeight="1">
      <c r="BD711" s="190"/>
    </row>
    <row r="712" ht="15.75" customHeight="1">
      <c r="BD712" s="190"/>
    </row>
    <row r="713" ht="15.75" customHeight="1">
      <c r="BD713" s="190"/>
    </row>
    <row r="714" ht="15.75" customHeight="1">
      <c r="BD714" s="190"/>
    </row>
    <row r="715" ht="15.75" customHeight="1">
      <c r="BD715" s="190"/>
    </row>
    <row r="716" ht="15.75" customHeight="1">
      <c r="BD716" s="190"/>
    </row>
    <row r="717" ht="15.75" customHeight="1">
      <c r="BD717" s="190"/>
    </row>
    <row r="718" ht="15.75" customHeight="1">
      <c r="BD718" s="190"/>
    </row>
    <row r="719" ht="15.75" customHeight="1">
      <c r="BD719" s="190"/>
    </row>
    <row r="720" ht="15.75" customHeight="1">
      <c r="BD720" s="190"/>
    </row>
    <row r="721" ht="15.75" customHeight="1">
      <c r="BD721" s="190"/>
    </row>
    <row r="722" ht="15.75" customHeight="1">
      <c r="BD722" s="190"/>
    </row>
    <row r="723" ht="15.75" customHeight="1">
      <c r="BD723" s="190"/>
    </row>
    <row r="724" ht="15.75" customHeight="1">
      <c r="BD724" s="190"/>
    </row>
    <row r="725" ht="15.75" customHeight="1">
      <c r="BD725" s="190"/>
    </row>
    <row r="726" ht="15.75" customHeight="1">
      <c r="BD726" s="190"/>
    </row>
    <row r="727" ht="15.75" customHeight="1">
      <c r="BD727" s="190"/>
    </row>
    <row r="728" ht="15.75" customHeight="1">
      <c r="BD728" s="190"/>
    </row>
    <row r="729" ht="15.75" customHeight="1">
      <c r="BD729" s="190"/>
    </row>
    <row r="730" ht="15.75" customHeight="1">
      <c r="BD730" s="190"/>
    </row>
    <row r="731" ht="15.75" customHeight="1">
      <c r="BD731" s="190"/>
    </row>
    <row r="732" ht="15.75" customHeight="1">
      <c r="BD732" s="190"/>
    </row>
    <row r="733" ht="15.75" customHeight="1">
      <c r="BD733" s="190"/>
    </row>
    <row r="734" ht="15.75" customHeight="1">
      <c r="BD734" s="190"/>
    </row>
    <row r="735" ht="15.75" customHeight="1">
      <c r="BD735" s="190"/>
    </row>
    <row r="736" ht="15.75" customHeight="1">
      <c r="BD736" s="190"/>
    </row>
    <row r="737" ht="15.75" customHeight="1">
      <c r="BD737" s="190"/>
    </row>
    <row r="738" ht="15.75" customHeight="1">
      <c r="BD738" s="190"/>
    </row>
    <row r="739" ht="15.75" customHeight="1">
      <c r="BD739" s="190"/>
    </row>
    <row r="740" ht="15.75" customHeight="1">
      <c r="BD740" s="190"/>
    </row>
    <row r="741" ht="15.75" customHeight="1">
      <c r="BD741" s="190"/>
    </row>
    <row r="742" ht="15.75" customHeight="1">
      <c r="BD742" s="190"/>
    </row>
    <row r="743" ht="15.75" customHeight="1">
      <c r="BD743" s="190"/>
    </row>
    <row r="744" ht="15.75" customHeight="1">
      <c r="BD744" s="190"/>
    </row>
    <row r="745" ht="15.75" customHeight="1">
      <c r="BD745" s="190"/>
    </row>
    <row r="746" ht="15.75" customHeight="1">
      <c r="BD746" s="190"/>
    </row>
    <row r="747" ht="15.75" customHeight="1">
      <c r="BD747" s="190"/>
    </row>
    <row r="748" ht="15.75" customHeight="1">
      <c r="BD748" s="190"/>
    </row>
    <row r="749" ht="15.75" customHeight="1">
      <c r="BD749" s="190"/>
    </row>
    <row r="750" ht="15.75" customHeight="1">
      <c r="BD750" s="190"/>
    </row>
    <row r="751" ht="15.75" customHeight="1">
      <c r="BD751" s="190"/>
    </row>
    <row r="752" ht="15.75" customHeight="1">
      <c r="BD752" s="190"/>
    </row>
    <row r="753" ht="15.75" customHeight="1">
      <c r="BD753" s="190"/>
    </row>
    <row r="754" ht="15.75" customHeight="1">
      <c r="BD754" s="190"/>
    </row>
    <row r="755" ht="15.75" customHeight="1">
      <c r="BD755" s="190"/>
    </row>
    <row r="756" ht="15.75" customHeight="1">
      <c r="BD756" s="190"/>
    </row>
    <row r="757" ht="15.75" customHeight="1">
      <c r="BD757" s="190"/>
    </row>
    <row r="758" ht="15.75" customHeight="1">
      <c r="BD758" s="190"/>
    </row>
    <row r="759" ht="15.75" customHeight="1">
      <c r="BD759" s="190"/>
    </row>
    <row r="760" ht="15.75" customHeight="1">
      <c r="BD760" s="190"/>
    </row>
    <row r="761" ht="15.75" customHeight="1">
      <c r="BD761" s="190"/>
    </row>
    <row r="762" ht="15.75" customHeight="1">
      <c r="BD762" s="190"/>
    </row>
    <row r="763" ht="15.75" customHeight="1">
      <c r="BD763" s="190"/>
    </row>
    <row r="764" ht="15.75" customHeight="1">
      <c r="BD764" s="190"/>
    </row>
    <row r="765" ht="15.75" customHeight="1">
      <c r="BD765" s="190"/>
    </row>
    <row r="766" ht="15.75" customHeight="1">
      <c r="BD766" s="190"/>
    </row>
    <row r="767" ht="15.75" customHeight="1">
      <c r="BD767" s="190"/>
    </row>
    <row r="768" ht="15.75" customHeight="1">
      <c r="BD768" s="190"/>
    </row>
    <row r="769" ht="15.75" customHeight="1">
      <c r="BD769" s="190"/>
    </row>
    <row r="770" ht="15.75" customHeight="1">
      <c r="BD770" s="190"/>
    </row>
    <row r="771" ht="15.75" customHeight="1">
      <c r="BD771" s="190"/>
    </row>
    <row r="772" ht="15.75" customHeight="1">
      <c r="BD772" s="190"/>
    </row>
    <row r="773" ht="15.75" customHeight="1">
      <c r="BD773" s="190"/>
    </row>
    <row r="774" ht="15.75" customHeight="1">
      <c r="BD774" s="190"/>
    </row>
    <row r="775" ht="15.75" customHeight="1">
      <c r="BD775" s="190"/>
    </row>
    <row r="776" ht="15.75" customHeight="1">
      <c r="BD776" s="190"/>
    </row>
    <row r="777" ht="15.75" customHeight="1">
      <c r="BD777" s="190"/>
    </row>
    <row r="778" ht="15.75" customHeight="1">
      <c r="BD778" s="190"/>
    </row>
    <row r="779" ht="15.75" customHeight="1">
      <c r="BD779" s="190"/>
    </row>
    <row r="780" ht="15.75" customHeight="1">
      <c r="BD780" s="190"/>
    </row>
    <row r="781" ht="15.75" customHeight="1">
      <c r="BD781" s="190"/>
    </row>
    <row r="782" ht="15.75" customHeight="1">
      <c r="BD782" s="190"/>
    </row>
    <row r="783" ht="15.75" customHeight="1">
      <c r="BD783" s="190"/>
    </row>
    <row r="784" ht="15.75" customHeight="1">
      <c r="BD784" s="190"/>
    </row>
    <row r="785" ht="15.75" customHeight="1">
      <c r="BD785" s="190"/>
    </row>
    <row r="786" ht="15.75" customHeight="1">
      <c r="BD786" s="190"/>
    </row>
    <row r="787" ht="15.75" customHeight="1">
      <c r="BD787" s="190"/>
    </row>
    <row r="788" ht="15.75" customHeight="1">
      <c r="BD788" s="190"/>
    </row>
    <row r="789" ht="15.75" customHeight="1">
      <c r="BD789" s="190"/>
    </row>
    <row r="790" ht="15.75" customHeight="1">
      <c r="BD790" s="190"/>
    </row>
    <row r="791" ht="15.75" customHeight="1">
      <c r="BD791" s="190"/>
    </row>
    <row r="792" ht="15.75" customHeight="1">
      <c r="BD792" s="190"/>
    </row>
    <row r="793" ht="15.75" customHeight="1">
      <c r="BD793" s="190"/>
    </row>
    <row r="794" ht="15.75" customHeight="1">
      <c r="BD794" s="190"/>
    </row>
    <row r="795" ht="15.75" customHeight="1">
      <c r="BD795" s="190"/>
    </row>
    <row r="796" ht="15.75" customHeight="1">
      <c r="BD796" s="190"/>
    </row>
    <row r="797" ht="15.75" customHeight="1">
      <c r="BD797" s="190"/>
    </row>
    <row r="798" ht="15.75" customHeight="1">
      <c r="BD798" s="190"/>
    </row>
    <row r="799" ht="15.75" customHeight="1">
      <c r="BD799" s="190"/>
    </row>
    <row r="800" ht="15.75" customHeight="1">
      <c r="BD800" s="190"/>
    </row>
    <row r="801" ht="15.75" customHeight="1">
      <c r="BD801" s="190"/>
    </row>
    <row r="802" ht="15.75" customHeight="1">
      <c r="BD802" s="190"/>
    </row>
    <row r="803" ht="15.75" customHeight="1">
      <c r="BD803" s="190"/>
    </row>
    <row r="804" ht="15.75" customHeight="1">
      <c r="BD804" s="190"/>
    </row>
    <row r="805" ht="15.75" customHeight="1">
      <c r="BD805" s="190"/>
    </row>
    <row r="806" ht="15.75" customHeight="1">
      <c r="BD806" s="190"/>
    </row>
    <row r="807" ht="15.75" customHeight="1">
      <c r="BD807" s="190"/>
    </row>
    <row r="808" ht="15.75" customHeight="1">
      <c r="BD808" s="190"/>
    </row>
    <row r="809" ht="15.75" customHeight="1">
      <c r="BD809" s="190"/>
    </row>
    <row r="810" ht="15.75" customHeight="1">
      <c r="BD810" s="190"/>
    </row>
    <row r="811" ht="15.75" customHeight="1">
      <c r="BD811" s="190"/>
    </row>
    <row r="812" ht="15.75" customHeight="1">
      <c r="BD812" s="190"/>
    </row>
    <row r="813" ht="15.75" customHeight="1">
      <c r="BD813" s="190"/>
    </row>
    <row r="814" ht="15.75" customHeight="1">
      <c r="BD814" s="190"/>
    </row>
    <row r="815" ht="15.75" customHeight="1">
      <c r="BD815" s="190"/>
    </row>
    <row r="816" ht="15.75" customHeight="1">
      <c r="BD816" s="190"/>
    </row>
    <row r="817" ht="15.75" customHeight="1">
      <c r="BD817" s="190"/>
    </row>
    <row r="818" ht="15.75" customHeight="1">
      <c r="BD818" s="190"/>
    </row>
    <row r="819" ht="15.75" customHeight="1">
      <c r="BD819" s="190"/>
    </row>
    <row r="820" ht="15.75" customHeight="1">
      <c r="BD820" s="190"/>
    </row>
    <row r="821" ht="15.75" customHeight="1">
      <c r="BD821" s="190"/>
    </row>
    <row r="822" ht="15.75" customHeight="1">
      <c r="BD822" s="190"/>
    </row>
    <row r="823" ht="15.75" customHeight="1">
      <c r="BD823" s="190"/>
    </row>
    <row r="824" ht="15.75" customHeight="1">
      <c r="BD824" s="190"/>
    </row>
    <row r="825" ht="15.75" customHeight="1">
      <c r="BD825" s="190"/>
    </row>
    <row r="826" ht="15.75" customHeight="1">
      <c r="BD826" s="190"/>
    </row>
    <row r="827" ht="15.75" customHeight="1">
      <c r="BD827" s="190"/>
    </row>
    <row r="828" ht="15.75" customHeight="1">
      <c r="BD828" s="190"/>
    </row>
    <row r="829" ht="15.75" customHeight="1">
      <c r="BD829" s="190"/>
    </row>
    <row r="830" ht="15.75" customHeight="1">
      <c r="BD830" s="190"/>
    </row>
    <row r="831" ht="15.75" customHeight="1">
      <c r="BD831" s="190"/>
    </row>
    <row r="832" ht="15.75" customHeight="1">
      <c r="BD832" s="190"/>
    </row>
    <row r="833" ht="15.75" customHeight="1">
      <c r="BD833" s="190"/>
    </row>
    <row r="834" ht="15.75" customHeight="1">
      <c r="BD834" s="190"/>
    </row>
    <row r="835" ht="15.75" customHeight="1">
      <c r="BD835" s="190"/>
    </row>
    <row r="836" ht="15.75" customHeight="1">
      <c r="BD836" s="190"/>
    </row>
    <row r="837" ht="15.75" customHeight="1">
      <c r="BD837" s="190"/>
    </row>
    <row r="838" ht="15.75" customHeight="1">
      <c r="BD838" s="190"/>
    </row>
    <row r="839" ht="15.75" customHeight="1">
      <c r="BD839" s="190"/>
    </row>
    <row r="840" ht="15.75" customHeight="1">
      <c r="BD840" s="190"/>
    </row>
    <row r="841" ht="15.75" customHeight="1">
      <c r="BD841" s="190"/>
    </row>
    <row r="842" ht="15.75" customHeight="1">
      <c r="BD842" s="190"/>
    </row>
    <row r="843" ht="15.75" customHeight="1">
      <c r="BD843" s="190"/>
    </row>
    <row r="844" ht="15.75" customHeight="1">
      <c r="BD844" s="190"/>
    </row>
    <row r="845" ht="15.75" customHeight="1">
      <c r="BD845" s="190"/>
    </row>
    <row r="846" ht="15.75" customHeight="1">
      <c r="BD846" s="190"/>
    </row>
    <row r="847" ht="15.75" customHeight="1">
      <c r="BD847" s="190"/>
    </row>
    <row r="848" ht="15.75" customHeight="1">
      <c r="BD848" s="190"/>
    </row>
    <row r="849" ht="15.75" customHeight="1">
      <c r="BD849" s="190"/>
    </row>
    <row r="850" ht="15.75" customHeight="1">
      <c r="BD850" s="190"/>
    </row>
    <row r="851" ht="15.75" customHeight="1">
      <c r="BD851" s="190"/>
    </row>
    <row r="852" ht="15.75" customHeight="1">
      <c r="BD852" s="190"/>
    </row>
    <row r="853" ht="15.75" customHeight="1">
      <c r="BD853" s="190"/>
    </row>
    <row r="854" ht="15.75" customHeight="1">
      <c r="BD854" s="190"/>
    </row>
    <row r="855" ht="15.75" customHeight="1">
      <c r="BD855" s="190"/>
    </row>
    <row r="856" ht="15.75" customHeight="1">
      <c r="BD856" s="190"/>
    </row>
    <row r="857" ht="15.75" customHeight="1">
      <c r="BD857" s="190"/>
    </row>
    <row r="858" ht="15.75" customHeight="1">
      <c r="BD858" s="190"/>
    </row>
    <row r="859" ht="15.75" customHeight="1">
      <c r="BD859" s="190"/>
    </row>
    <row r="860" ht="15.75" customHeight="1">
      <c r="BD860" s="190"/>
    </row>
    <row r="861" ht="15.75" customHeight="1">
      <c r="BD861" s="190"/>
    </row>
    <row r="862" ht="15.75" customHeight="1">
      <c r="BD862" s="190"/>
    </row>
    <row r="863" ht="15.75" customHeight="1">
      <c r="BD863" s="190"/>
    </row>
    <row r="864" ht="15.75" customHeight="1">
      <c r="BD864" s="190"/>
    </row>
    <row r="865" ht="15.75" customHeight="1">
      <c r="BD865" s="190"/>
    </row>
    <row r="866" ht="15.75" customHeight="1">
      <c r="BD866" s="190"/>
    </row>
    <row r="867" ht="15.75" customHeight="1">
      <c r="BD867" s="190"/>
    </row>
    <row r="868" ht="15.75" customHeight="1">
      <c r="BD868" s="190"/>
    </row>
    <row r="869" ht="15.75" customHeight="1">
      <c r="BD869" s="190"/>
    </row>
    <row r="870" ht="15.75" customHeight="1">
      <c r="BD870" s="190"/>
    </row>
    <row r="871" ht="15.75" customHeight="1">
      <c r="BD871" s="190"/>
    </row>
    <row r="872" ht="15.75" customHeight="1">
      <c r="BD872" s="190"/>
    </row>
    <row r="873" ht="15.75" customHeight="1">
      <c r="BD873" s="190"/>
    </row>
    <row r="874" ht="15.75" customHeight="1">
      <c r="BD874" s="190"/>
    </row>
    <row r="875" ht="15.75" customHeight="1">
      <c r="BD875" s="190"/>
    </row>
    <row r="876" ht="15.75" customHeight="1">
      <c r="BD876" s="190"/>
    </row>
    <row r="877" ht="15.75" customHeight="1">
      <c r="BD877" s="190"/>
    </row>
    <row r="878" ht="15.75" customHeight="1">
      <c r="BD878" s="190"/>
    </row>
    <row r="879" ht="15.75" customHeight="1">
      <c r="BD879" s="190"/>
    </row>
    <row r="880" ht="15.75" customHeight="1">
      <c r="BD880" s="190"/>
    </row>
    <row r="881" ht="15.75" customHeight="1">
      <c r="BD881" s="190"/>
    </row>
    <row r="882" ht="15.75" customHeight="1">
      <c r="BD882" s="190"/>
    </row>
    <row r="883" ht="15.75" customHeight="1">
      <c r="BD883" s="190"/>
    </row>
    <row r="884" ht="15.75" customHeight="1">
      <c r="BD884" s="190"/>
    </row>
    <row r="885" ht="15.75" customHeight="1">
      <c r="BD885" s="190"/>
    </row>
    <row r="886" ht="15.75" customHeight="1">
      <c r="BD886" s="190"/>
    </row>
    <row r="887" ht="15.75" customHeight="1">
      <c r="BD887" s="190"/>
    </row>
    <row r="888" ht="15.75" customHeight="1">
      <c r="BD888" s="190"/>
    </row>
    <row r="889" ht="15.75" customHeight="1">
      <c r="BD889" s="190"/>
    </row>
    <row r="890" ht="15.75" customHeight="1">
      <c r="BD890" s="190"/>
    </row>
    <row r="891" ht="15.75" customHeight="1">
      <c r="BD891" s="190"/>
    </row>
    <row r="892" ht="15.75" customHeight="1">
      <c r="BD892" s="190"/>
    </row>
    <row r="893" ht="15.75" customHeight="1">
      <c r="BD893" s="190"/>
    </row>
    <row r="894" ht="15.75" customHeight="1">
      <c r="BD894" s="190"/>
    </row>
    <row r="895" ht="15.75" customHeight="1">
      <c r="BD895" s="190"/>
    </row>
    <row r="896" ht="15.75" customHeight="1">
      <c r="BD896" s="190"/>
    </row>
    <row r="897" ht="15.75" customHeight="1">
      <c r="BD897" s="190"/>
    </row>
    <row r="898" ht="15.75" customHeight="1">
      <c r="BD898" s="190"/>
    </row>
    <row r="899" ht="15.75" customHeight="1">
      <c r="BD899" s="190"/>
    </row>
    <row r="900" ht="15.75" customHeight="1">
      <c r="BD900" s="190"/>
    </row>
    <row r="901" ht="15.75" customHeight="1">
      <c r="BD901" s="190"/>
    </row>
    <row r="902" ht="15.75" customHeight="1">
      <c r="BD902" s="190"/>
    </row>
    <row r="903" ht="15.75" customHeight="1">
      <c r="BD903" s="190"/>
    </row>
    <row r="904" ht="15.75" customHeight="1">
      <c r="BD904" s="190"/>
    </row>
    <row r="905" ht="15.75" customHeight="1">
      <c r="BD905" s="190"/>
    </row>
    <row r="906" ht="15.75" customHeight="1">
      <c r="BD906" s="190"/>
    </row>
    <row r="907" ht="15.75" customHeight="1">
      <c r="BD907" s="190"/>
    </row>
    <row r="908" ht="15.75" customHeight="1">
      <c r="BD908" s="190"/>
    </row>
    <row r="909" ht="15.75" customHeight="1">
      <c r="BD909" s="190"/>
    </row>
    <row r="910" ht="15.75" customHeight="1">
      <c r="BD910" s="190"/>
    </row>
    <row r="911" ht="15.75" customHeight="1">
      <c r="BD911" s="190"/>
    </row>
    <row r="912" ht="15.75" customHeight="1">
      <c r="BD912" s="190"/>
    </row>
    <row r="913" ht="15.75" customHeight="1">
      <c r="BD913" s="190"/>
    </row>
    <row r="914" ht="15.75" customHeight="1">
      <c r="BD914" s="190"/>
    </row>
    <row r="915" ht="15.75" customHeight="1">
      <c r="BD915" s="190"/>
    </row>
    <row r="916" ht="15.75" customHeight="1">
      <c r="BD916" s="190"/>
    </row>
    <row r="917" ht="15.75" customHeight="1">
      <c r="BD917" s="190"/>
    </row>
    <row r="918" ht="15.75" customHeight="1">
      <c r="BD918" s="190"/>
    </row>
    <row r="919" ht="15.75" customHeight="1">
      <c r="BD919" s="190"/>
    </row>
    <row r="920" ht="15.75" customHeight="1">
      <c r="BD920" s="190"/>
    </row>
    <row r="921" ht="15.75" customHeight="1">
      <c r="BD921" s="190"/>
    </row>
    <row r="922" ht="15.75" customHeight="1">
      <c r="BD922" s="190"/>
    </row>
    <row r="923" ht="15.75" customHeight="1">
      <c r="BD923" s="190"/>
    </row>
    <row r="924" ht="15.75" customHeight="1">
      <c r="BD924" s="190"/>
    </row>
    <row r="925" ht="15.75" customHeight="1">
      <c r="BD925" s="190"/>
    </row>
    <row r="926" ht="15.75" customHeight="1">
      <c r="BD926" s="190"/>
    </row>
    <row r="927" ht="15.75" customHeight="1">
      <c r="BD927" s="190"/>
    </row>
    <row r="928" ht="15.75" customHeight="1">
      <c r="BD928" s="190"/>
    </row>
    <row r="929" ht="15.75" customHeight="1">
      <c r="BD929" s="190"/>
    </row>
    <row r="930" ht="15.75" customHeight="1">
      <c r="BD930" s="190"/>
    </row>
    <row r="931" ht="15.75" customHeight="1">
      <c r="BD931" s="190"/>
    </row>
    <row r="932" ht="15.75" customHeight="1">
      <c r="BD932" s="190"/>
    </row>
    <row r="933" ht="15.75" customHeight="1">
      <c r="BD933" s="190"/>
    </row>
    <row r="934" ht="15.75" customHeight="1">
      <c r="BD934" s="190"/>
    </row>
    <row r="935" ht="15.75" customHeight="1">
      <c r="BD935" s="190"/>
    </row>
    <row r="936" ht="15.75" customHeight="1">
      <c r="BD936" s="190"/>
    </row>
    <row r="937" ht="15.75" customHeight="1">
      <c r="BD937" s="190"/>
    </row>
    <row r="938" ht="15.75" customHeight="1">
      <c r="BD938" s="190"/>
    </row>
    <row r="939" ht="15.75" customHeight="1">
      <c r="BD939" s="190"/>
    </row>
    <row r="940" ht="15.75" customHeight="1">
      <c r="BD940" s="190"/>
    </row>
    <row r="941" ht="15.75" customHeight="1">
      <c r="BD941" s="190"/>
    </row>
    <row r="942" ht="15.75" customHeight="1">
      <c r="BD942" s="190"/>
    </row>
    <row r="943" ht="15.75" customHeight="1">
      <c r="BD943" s="190"/>
    </row>
    <row r="944" ht="15.75" customHeight="1">
      <c r="BD944" s="190"/>
    </row>
    <row r="945" ht="15.75" customHeight="1">
      <c r="BD945" s="190"/>
    </row>
    <row r="946" ht="15.75" customHeight="1">
      <c r="BD946" s="190"/>
    </row>
    <row r="947" ht="15.75" customHeight="1">
      <c r="BD947" s="190"/>
    </row>
    <row r="948" ht="15.75" customHeight="1">
      <c r="BD948" s="190"/>
    </row>
    <row r="949" ht="15.75" customHeight="1">
      <c r="BD949" s="190"/>
    </row>
    <row r="950" ht="15.75" customHeight="1">
      <c r="BD950" s="190"/>
    </row>
    <row r="951" ht="15.75" customHeight="1">
      <c r="BD951" s="190"/>
    </row>
    <row r="952" ht="15.75" customHeight="1">
      <c r="BD952" s="190"/>
    </row>
    <row r="953" ht="15.75" customHeight="1">
      <c r="BD953" s="190"/>
    </row>
    <row r="954" ht="15.75" customHeight="1">
      <c r="BD954" s="190"/>
    </row>
    <row r="955" ht="15.75" customHeight="1">
      <c r="BD955" s="190"/>
    </row>
    <row r="956" ht="15.75" customHeight="1">
      <c r="BD956" s="190"/>
    </row>
    <row r="957" ht="15.75" customHeight="1">
      <c r="BD957" s="190"/>
    </row>
    <row r="958" ht="15.75" customHeight="1">
      <c r="BD958" s="190"/>
    </row>
    <row r="959" ht="15.75" customHeight="1">
      <c r="BD959" s="190"/>
    </row>
    <row r="960" ht="15.75" customHeight="1">
      <c r="BD960" s="190"/>
    </row>
    <row r="961" ht="15.75" customHeight="1">
      <c r="BD961" s="190"/>
    </row>
    <row r="962" ht="15.75" customHeight="1">
      <c r="BD962" s="190"/>
    </row>
    <row r="963" ht="15.75" customHeight="1">
      <c r="BD963" s="190"/>
    </row>
    <row r="964" ht="15.75" customHeight="1">
      <c r="BD964" s="190"/>
    </row>
    <row r="965" ht="15.75" customHeight="1">
      <c r="BD965" s="190"/>
    </row>
    <row r="966" ht="15.75" customHeight="1">
      <c r="BD966" s="190"/>
    </row>
    <row r="967" ht="15.75" customHeight="1">
      <c r="BD967" s="190"/>
    </row>
    <row r="968" ht="15.75" customHeight="1">
      <c r="BD968" s="190"/>
    </row>
    <row r="969" ht="15.75" customHeight="1">
      <c r="BD969" s="190"/>
    </row>
    <row r="970" ht="15.75" customHeight="1">
      <c r="BD970" s="190"/>
    </row>
    <row r="971" ht="15.75" customHeight="1">
      <c r="BD971" s="190"/>
    </row>
    <row r="972" ht="15.75" customHeight="1">
      <c r="BD972" s="190"/>
    </row>
    <row r="973" ht="15.75" customHeight="1">
      <c r="BD973" s="190"/>
    </row>
    <row r="974" ht="15.75" customHeight="1">
      <c r="BD974" s="190"/>
    </row>
    <row r="975" ht="15.75" customHeight="1">
      <c r="BD975" s="190"/>
    </row>
    <row r="976" ht="15.75" customHeight="1">
      <c r="BD976" s="190"/>
    </row>
    <row r="977" ht="15.75" customHeight="1">
      <c r="BD977" s="190"/>
    </row>
    <row r="978" ht="15.75" customHeight="1">
      <c r="BD978" s="190"/>
    </row>
    <row r="979" ht="15.75" customHeight="1">
      <c r="BD979" s="190"/>
    </row>
    <row r="980" ht="15.75" customHeight="1">
      <c r="BD980" s="190"/>
    </row>
    <row r="981" ht="15.75" customHeight="1">
      <c r="BD981" s="190"/>
    </row>
    <row r="982" ht="15.75" customHeight="1">
      <c r="BD982" s="190"/>
    </row>
    <row r="983" ht="15.75" customHeight="1">
      <c r="BD983" s="190"/>
    </row>
    <row r="984" ht="15.75" customHeight="1">
      <c r="BD984" s="190"/>
    </row>
    <row r="985" ht="15.75" customHeight="1">
      <c r="BD985" s="190"/>
    </row>
    <row r="986" ht="15.75" customHeight="1">
      <c r="BD986" s="190"/>
    </row>
    <row r="987" ht="15.75" customHeight="1">
      <c r="BD987" s="190"/>
    </row>
    <row r="988" ht="15.75" customHeight="1">
      <c r="BD988" s="190"/>
    </row>
    <row r="989" ht="15.75" customHeight="1">
      <c r="BD989" s="190"/>
    </row>
    <row r="990" ht="15.75" customHeight="1">
      <c r="BD990" s="190"/>
    </row>
    <row r="991" ht="15.75" customHeight="1">
      <c r="BD991" s="190"/>
    </row>
    <row r="992" ht="15.75" customHeight="1">
      <c r="BD992" s="190"/>
    </row>
    <row r="993" ht="15.75" customHeight="1">
      <c r="BD993" s="190"/>
    </row>
    <row r="994" ht="15.75" customHeight="1">
      <c r="BD994" s="190"/>
    </row>
    <row r="995" ht="15.75" customHeight="1">
      <c r="BD995" s="190"/>
    </row>
    <row r="996" ht="15.75" customHeight="1">
      <c r="BD996" s="190"/>
    </row>
    <row r="997" ht="15.75" customHeight="1">
      <c r="BD997" s="190"/>
    </row>
    <row r="998" ht="15.75" customHeight="1">
      <c r="BD998" s="190"/>
    </row>
    <row r="999" ht="15.75" customHeight="1">
      <c r="BD999" s="190"/>
    </row>
    <row r="1000" ht="15.75" customHeight="1">
      <c r="BD1000" s="190"/>
    </row>
  </sheetData>
  <mergeCells count="18">
    <mergeCell ref="AP1:AR1"/>
    <mergeCell ref="AS1:AU1"/>
    <mergeCell ref="AV1:AX1"/>
    <mergeCell ref="AY1:BA1"/>
    <mergeCell ref="BB1:BE1"/>
    <mergeCell ref="AH29:AJ29"/>
    <mergeCell ref="AV29:AX29"/>
    <mergeCell ref="A3:A10"/>
    <mergeCell ref="A11:A14"/>
    <mergeCell ref="A15:A24"/>
    <mergeCell ref="A25:A28"/>
    <mergeCell ref="J1:S1"/>
    <mergeCell ref="T1:X1"/>
    <mergeCell ref="Z1:AB1"/>
    <mergeCell ref="AC1:AG1"/>
    <mergeCell ref="AH1:AJ1"/>
    <mergeCell ref="AK1:AL1"/>
    <mergeCell ref="AM1:AO1"/>
  </mergeCells>
  <hyperlinks>
    <hyperlink r:id="rId2" ref="F3"/>
    <hyperlink r:id="rId3" ref="F4"/>
    <hyperlink r:id="rId4" ref="F6"/>
    <hyperlink r:id="rId5" ref="F7"/>
    <hyperlink r:id="rId6" ref="F8"/>
    <hyperlink r:id="rId7" ref="F9"/>
    <hyperlink r:id="rId8" ref="F10"/>
    <hyperlink r:id="rId9" ref="F11"/>
    <hyperlink r:id="rId10" ref="G11"/>
    <hyperlink r:id="rId11" ref="E12"/>
    <hyperlink r:id="rId12" location="afiact2" ref="F12"/>
    <hyperlink r:id="rId13" ref="F13"/>
    <hyperlink r:id="rId14" ref="G13"/>
    <hyperlink r:id="rId15" ref="F15"/>
    <hyperlink r:id="rId16" ref="F16"/>
    <hyperlink r:id="rId17" ref="F17"/>
    <hyperlink r:id="rId18" ref="F18"/>
    <hyperlink r:id="rId19" ref="F19"/>
    <hyperlink r:id="rId20" ref="F20"/>
    <hyperlink r:id="rId21" ref="F21"/>
    <hyperlink r:id="rId22" ref="G21"/>
    <hyperlink r:id="rId23" ref="F22"/>
    <hyperlink r:id="rId24" location="haut" ref="F23"/>
    <hyperlink r:id="rId25" ref="F24"/>
    <hyperlink r:id="rId26" ref="F25"/>
    <hyperlink r:id="rId27" location="how-it-works" ref="F26"/>
    <hyperlink r:id="rId28" ref="F27"/>
    <hyperlink r:id="rId29" ref="F28"/>
  </hyperlinks>
  <printOptions/>
  <pageMargins bottom="0.75" footer="0.0" header="0.0" left="0.7" right="0.7" top="0.75"/>
  <pageSetup paperSize="9" orientation="portrait"/>
  <drawing r:id="rId30"/>
  <legacy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14.5"/>
    <col customWidth="1" min="2" max="2" width="9.88"/>
    <col customWidth="1" min="3" max="3" width="11.88"/>
    <col customWidth="1" min="4" max="4" width="25.0"/>
    <col customWidth="1" min="5" max="5" width="26.88"/>
    <col customWidth="1" min="6" max="6" width="12.88"/>
    <col customWidth="1" min="7" max="7" width="10.38"/>
    <col customWidth="1" min="8" max="8" width="11.75"/>
    <col customWidth="1" min="9" max="9" width="29.5"/>
    <col customWidth="1" min="10" max="10" width="21.5"/>
    <col customWidth="1" min="11" max="11" width="24.13"/>
    <col customWidth="1" min="12" max="12" width="24.38"/>
    <col customWidth="1" min="13" max="13" width="24.13"/>
    <col customWidth="1" min="14" max="14" width="23.25"/>
    <col customWidth="1" min="15" max="15" width="25.0"/>
    <col customWidth="1" min="16" max="18" width="26.88"/>
    <col customWidth="1" min="19" max="19" width="39.13"/>
    <col customWidth="1" min="20" max="20" width="22.88"/>
    <col customWidth="1" min="21" max="21" width="26.75"/>
    <col customWidth="1" min="22" max="22" width="38.13"/>
    <col customWidth="1" min="23" max="23" width="25.38"/>
    <col customWidth="1" min="24" max="24" width="33.13"/>
    <col customWidth="1" min="25" max="25" width="24.75"/>
    <col customWidth="1" min="26" max="26" width="26.5"/>
    <col customWidth="1" min="27" max="27" width="24.5"/>
    <col customWidth="1" min="28" max="28" width="24.75"/>
    <col customWidth="1" min="29" max="29" width="29.75"/>
    <col customWidth="1" min="30" max="30" width="43.88"/>
    <col customWidth="1" min="31" max="31" width="21.0"/>
    <col customWidth="1" min="32" max="32" width="43.38"/>
    <col customWidth="1" min="33" max="33" width="25.88"/>
    <col customWidth="1" min="34" max="34" width="26.13"/>
    <col customWidth="1" min="35" max="35" width="24.63"/>
    <col customWidth="1" min="36" max="36" width="24.13"/>
    <col customWidth="1" min="37" max="37" width="26.5"/>
    <col customWidth="1" min="38" max="38" width="27.75"/>
    <col customWidth="1" min="39" max="39" width="18.38"/>
    <col customWidth="1" min="40" max="40" width="24.0"/>
    <col customWidth="1" min="41" max="41" width="23.63"/>
    <col customWidth="1" min="42" max="42" width="18.5"/>
    <col customWidth="1" min="43" max="43" width="29.13"/>
    <col customWidth="1" min="44" max="44" width="28.75"/>
    <col customWidth="1" min="45" max="45" width="26.0"/>
    <col customWidth="1" min="46" max="46" width="27.88"/>
    <col customWidth="1" min="47" max="47" width="27.38"/>
    <col customWidth="1" min="48" max="48" width="26.88"/>
    <col customWidth="1" min="49" max="49" width="26.5"/>
    <col customWidth="1" min="50" max="50" width="26.13"/>
    <col customWidth="1" min="51" max="51" width="24.0"/>
    <col customWidth="1" min="52" max="52" width="24.5"/>
    <col customWidth="1" min="53" max="53" width="21.13"/>
    <col customWidth="1" min="54" max="55" width="26.5"/>
    <col customWidth="1" min="56" max="56" width="19.75"/>
    <col customWidth="1" min="57" max="57" width="17.63"/>
    <col customWidth="1" min="58" max="58" width="14.25"/>
  </cols>
  <sheetData>
    <row r="1" ht="15.75" customHeight="1">
      <c r="A1" s="191" t="s">
        <v>0</v>
      </c>
      <c r="B1" s="192" t="s">
        <v>1</v>
      </c>
      <c r="C1" s="192" t="s">
        <v>2</v>
      </c>
      <c r="D1" s="192" t="s">
        <v>3</v>
      </c>
      <c r="E1" s="193" t="s">
        <v>4</v>
      </c>
      <c r="F1" s="193" t="s">
        <v>5</v>
      </c>
      <c r="G1" s="193" t="s">
        <v>6</v>
      </c>
      <c r="H1" s="193" t="s">
        <v>7</v>
      </c>
      <c r="I1" s="194" t="s">
        <v>8</v>
      </c>
      <c r="J1" s="98" t="s">
        <v>514</v>
      </c>
      <c r="K1" s="99"/>
      <c r="L1" s="99"/>
      <c r="M1" s="99"/>
      <c r="N1" s="99"/>
      <c r="O1" s="99"/>
      <c r="P1" s="99"/>
      <c r="Q1" s="99"/>
      <c r="R1" s="99"/>
      <c r="S1" s="100"/>
      <c r="T1" s="101" t="s">
        <v>419</v>
      </c>
      <c r="U1" s="102"/>
      <c r="V1" s="102"/>
      <c r="W1" s="102"/>
      <c r="X1" s="103"/>
      <c r="Y1" s="104" t="s">
        <v>420</v>
      </c>
      <c r="Z1" s="105" t="s">
        <v>421</v>
      </c>
      <c r="AA1" s="106"/>
      <c r="AB1" s="107"/>
      <c r="AC1" s="101" t="s">
        <v>422</v>
      </c>
      <c r="AD1" s="102"/>
      <c r="AE1" s="102"/>
      <c r="AF1" s="102"/>
      <c r="AG1" s="103"/>
      <c r="AH1" s="101" t="s">
        <v>423</v>
      </c>
      <c r="AI1" s="102"/>
      <c r="AJ1" s="103"/>
      <c r="AK1" s="101" t="s">
        <v>424</v>
      </c>
      <c r="AL1" s="103"/>
      <c r="AM1" s="101" t="s">
        <v>425</v>
      </c>
      <c r="AN1" s="102"/>
      <c r="AO1" s="103"/>
      <c r="AP1" s="101" t="s">
        <v>426</v>
      </c>
      <c r="AQ1" s="102"/>
      <c r="AR1" s="103"/>
      <c r="AS1" s="101" t="s">
        <v>427</v>
      </c>
      <c r="AT1" s="102"/>
      <c r="AU1" s="103"/>
      <c r="AV1" s="101" t="s">
        <v>428</v>
      </c>
      <c r="AW1" s="102"/>
      <c r="AX1" s="103"/>
      <c r="AY1" s="101" t="s">
        <v>429</v>
      </c>
      <c r="AZ1" s="102"/>
      <c r="BA1" s="103"/>
      <c r="BB1" s="108" t="s">
        <v>430</v>
      </c>
      <c r="BC1" s="102"/>
      <c r="BD1" s="102"/>
      <c r="BE1" s="109"/>
      <c r="BF1" s="195"/>
    </row>
    <row r="2" ht="15.75" customHeight="1">
      <c r="A2" s="111"/>
      <c r="B2" s="111"/>
      <c r="C2" s="111"/>
      <c r="D2" s="111"/>
      <c r="E2" s="196"/>
      <c r="F2" s="196"/>
      <c r="G2" s="196"/>
      <c r="H2" s="196"/>
      <c r="I2" s="58"/>
      <c r="J2" s="197" t="s">
        <v>9</v>
      </c>
      <c r="K2" s="117" t="s">
        <v>515</v>
      </c>
      <c r="L2" s="117" t="s">
        <v>516</v>
      </c>
      <c r="M2" s="198" t="s">
        <v>517</v>
      </c>
      <c r="N2" s="58" t="s">
        <v>518</v>
      </c>
      <c r="O2" s="119" t="s">
        <v>519</v>
      </c>
      <c r="P2" s="120" t="s">
        <v>520</v>
      </c>
      <c r="Q2" s="121" t="s">
        <v>521</v>
      </c>
      <c r="R2" s="122" t="s">
        <v>522</v>
      </c>
      <c r="S2" s="123" t="s">
        <v>523</v>
      </c>
      <c r="T2" s="124" t="s">
        <v>524</v>
      </c>
      <c r="U2" s="122" t="s">
        <v>441</v>
      </c>
      <c r="V2" s="122" t="s">
        <v>442</v>
      </c>
      <c r="W2" s="125" t="s">
        <v>443</v>
      </c>
      <c r="X2" s="125" t="s">
        <v>444</v>
      </c>
      <c r="Y2" s="126" t="s">
        <v>445</v>
      </c>
      <c r="Z2" s="124" t="s">
        <v>446</v>
      </c>
      <c r="AA2" s="122" t="s">
        <v>447</v>
      </c>
      <c r="AB2" s="127" t="s">
        <v>448</v>
      </c>
      <c r="AC2" s="128" t="s">
        <v>449</v>
      </c>
      <c r="AD2" s="122" t="s">
        <v>450</v>
      </c>
      <c r="AE2" s="122" t="s">
        <v>451</v>
      </c>
      <c r="AF2" s="66" t="s">
        <v>452</v>
      </c>
      <c r="AG2" s="129" t="s">
        <v>453</v>
      </c>
      <c r="AH2" s="124" t="s">
        <v>454</v>
      </c>
      <c r="AI2" s="122" t="s">
        <v>455</v>
      </c>
      <c r="AJ2" s="127" t="s">
        <v>456</v>
      </c>
      <c r="AK2" s="124" t="s">
        <v>457</v>
      </c>
      <c r="AL2" s="127" t="s">
        <v>458</v>
      </c>
      <c r="AM2" s="124" t="s">
        <v>459</v>
      </c>
      <c r="AN2" s="122" t="s">
        <v>460</v>
      </c>
      <c r="AO2" s="127" t="s">
        <v>461</v>
      </c>
      <c r="AP2" s="124" t="s">
        <v>462</v>
      </c>
      <c r="AQ2" s="122" t="s">
        <v>463</v>
      </c>
      <c r="AR2" s="127" t="s">
        <v>464</v>
      </c>
      <c r="AS2" s="124" t="s">
        <v>465</v>
      </c>
      <c r="AT2" s="122" t="s">
        <v>466</v>
      </c>
      <c r="AU2" s="127" t="s">
        <v>467</v>
      </c>
      <c r="AV2" s="124" t="s">
        <v>468</v>
      </c>
      <c r="AW2" s="122" t="s">
        <v>469</v>
      </c>
      <c r="AX2" s="127" t="s">
        <v>470</v>
      </c>
      <c r="AY2" s="124" t="s">
        <v>471</v>
      </c>
      <c r="AZ2" s="122" t="s">
        <v>472</v>
      </c>
      <c r="BA2" s="127" t="s">
        <v>473</v>
      </c>
      <c r="BB2" s="131" t="s">
        <v>474</v>
      </c>
      <c r="BC2" s="132" t="s">
        <v>525</v>
      </c>
      <c r="BD2" s="133" t="s">
        <v>526</v>
      </c>
      <c r="BE2" s="134" t="s">
        <v>527</v>
      </c>
      <c r="BF2" s="134"/>
    </row>
    <row r="3" ht="15.75" customHeight="1">
      <c r="A3" s="10" t="s">
        <v>107</v>
      </c>
      <c r="B3" s="50" t="s">
        <v>147</v>
      </c>
      <c r="C3" s="50" t="s">
        <v>148</v>
      </c>
      <c r="D3" s="50" t="s">
        <v>149</v>
      </c>
      <c r="E3" s="199" t="s">
        <v>150</v>
      </c>
      <c r="F3" s="200" t="s">
        <v>528</v>
      </c>
      <c r="G3" s="199" t="s">
        <v>152</v>
      </c>
      <c r="H3" s="199" t="s">
        <v>153</v>
      </c>
      <c r="I3" s="113" t="s">
        <v>155</v>
      </c>
      <c r="J3" s="139" t="s">
        <v>154</v>
      </c>
      <c r="K3" s="138">
        <v>100.0</v>
      </c>
      <c r="L3" s="138">
        <v>5.0</v>
      </c>
      <c r="M3" s="15">
        <v>7500.0</v>
      </c>
      <c r="N3" s="15"/>
      <c r="O3" s="15"/>
      <c r="P3" s="15">
        <f t="shared" ref="P3:P12" si="1">if(S3&lt;500,0,S3/L3)</f>
        <v>1500</v>
      </c>
      <c r="Q3" s="15">
        <f t="shared" ref="Q3:Q12" si="2">0.04*S3</f>
        <v>300</v>
      </c>
      <c r="R3" s="15">
        <v>1.0</v>
      </c>
      <c r="S3" s="136">
        <f t="shared" ref="S3:S12" si="3">(M3*R3)+(O3*K3*12*L3)+(N3*K3)</f>
        <v>7500</v>
      </c>
      <c r="T3" s="141">
        <v>0.0</v>
      </c>
      <c r="U3" s="138">
        <v>0.6</v>
      </c>
      <c r="V3" s="138">
        <v>20.0</v>
      </c>
      <c r="W3" s="15">
        <f t="shared" ref="W3:W12" si="4">U3*V3*K3*365</f>
        <v>438000</v>
      </c>
      <c r="X3" s="136">
        <f t="shared" ref="X3:X12" si="5">W3*(1+T3%)</f>
        <v>438000</v>
      </c>
      <c r="Y3" s="140">
        <f t="shared" ref="Y3:Y12" si="6">X3-W3</f>
        <v>0</v>
      </c>
      <c r="Z3" s="201">
        <v>95.0</v>
      </c>
      <c r="AA3" s="202">
        <v>20000.0</v>
      </c>
      <c r="AB3" s="143">
        <f t="shared" ref="AB3:AB12" si="7">AA3-(AA3*(1-Z3%))</f>
        <v>19000</v>
      </c>
      <c r="AC3" s="203">
        <v>0.0</v>
      </c>
      <c r="AD3" s="138">
        <v>50000.0</v>
      </c>
      <c r="AE3" s="138">
        <v>0.15</v>
      </c>
      <c r="AF3" s="15">
        <f t="shared" ref="AF3:AF12" si="8">AD3*AE3</f>
        <v>7500</v>
      </c>
      <c r="AG3" s="136">
        <f t="shared" ref="AG3:AG12" si="9">AF3-(AF3*(1-AC3%))</f>
        <v>0</v>
      </c>
      <c r="AH3" s="141">
        <v>0.0</v>
      </c>
      <c r="AI3" s="138">
        <v>5000.0</v>
      </c>
      <c r="AJ3" s="136">
        <f t="shared" ref="AJ3:AJ12" si="10">AI3-(AI3*(1-AH3%))</f>
        <v>0</v>
      </c>
      <c r="AK3" s="141">
        <v>0.0</v>
      </c>
      <c r="AL3" s="136">
        <f t="shared" ref="AL3:AL12" si="11">AK3*K3</f>
        <v>0</v>
      </c>
      <c r="AM3" s="141">
        <v>0.0</v>
      </c>
      <c r="AN3" s="138">
        <v>40000.0</v>
      </c>
      <c r="AO3" s="136">
        <f t="shared" ref="AO3:AO12" si="12">AN3-(AN3*(1-AM3%))</f>
        <v>0</v>
      </c>
      <c r="AP3" s="141">
        <v>0.0</v>
      </c>
      <c r="AQ3" s="138">
        <v>3000.0</v>
      </c>
      <c r="AR3" s="136">
        <f t="shared" ref="AR3:AR12" si="13">AQ3-(AQ3*(1-AP3%))</f>
        <v>0</v>
      </c>
      <c r="AS3" s="141">
        <v>0.0</v>
      </c>
      <c r="AT3" s="138">
        <v>7000.0</v>
      </c>
      <c r="AU3" s="136">
        <f t="shared" ref="AU3:AU12" si="14">AT3-(AT3*(1-AS3%))</f>
        <v>0</v>
      </c>
      <c r="AV3" s="141">
        <v>0.0</v>
      </c>
      <c r="AW3" s="138">
        <v>2000.0</v>
      </c>
      <c r="AX3" s="136">
        <f t="shared" ref="AX3:AX12" si="15">AW3-(AW3*(1-AV3%))</f>
        <v>0</v>
      </c>
      <c r="AY3" s="141">
        <v>0.0</v>
      </c>
      <c r="AZ3" s="138">
        <v>50000.0</v>
      </c>
      <c r="BA3" s="136">
        <f t="shared" ref="BA3:BA12" si="16">AZ3-(AZ3*(1-AY3%))</f>
        <v>0</v>
      </c>
      <c r="BB3" s="139">
        <f t="shared" ref="BB3:BB12" si="17">(Y3+AB3+AG3+AJ3+AL3+AO3+AR3+AU3+AX3+BA3)-P3-Q3</f>
        <v>17200</v>
      </c>
      <c r="BC3" s="147">
        <f t="shared" ref="BC3:BC12" si="18">if(S3&gt;0,BB3/S3,"The DAT is free")</f>
        <v>2.293333333</v>
      </c>
      <c r="BD3" s="136">
        <f t="shared" ref="BD3:BD12" si="19">IF(BB3&gt;0,S3/BB3,"Payback period not applicable: the investment does not recover its cost under current conditions.")</f>
        <v>0.4360465116</v>
      </c>
      <c r="BE3" s="27" t="str">
        <f t="shared" ref="BE3:BE12" si="20">IF(BD3&lt;6, "YES", "NO")</f>
        <v>YES</v>
      </c>
      <c r="BF3" s="27"/>
    </row>
    <row r="4" ht="15.75" customHeight="1">
      <c r="A4" s="39"/>
      <c r="B4" s="61" t="s">
        <v>160</v>
      </c>
      <c r="C4" s="61" t="s">
        <v>161</v>
      </c>
      <c r="D4" s="62" t="s">
        <v>162</v>
      </c>
      <c r="E4" s="65" t="s">
        <v>163</v>
      </c>
      <c r="F4" s="204" t="s">
        <v>529</v>
      </c>
      <c r="G4" s="65" t="s">
        <v>152</v>
      </c>
      <c r="H4" s="65" t="s">
        <v>165</v>
      </c>
      <c r="I4" s="205" t="s">
        <v>530</v>
      </c>
      <c r="J4" s="169" t="s">
        <v>166</v>
      </c>
      <c r="K4" s="138">
        <v>100.0</v>
      </c>
      <c r="L4" s="138">
        <v>5.0</v>
      </c>
      <c r="M4" s="43">
        <v>3750.0</v>
      </c>
      <c r="N4" s="43"/>
      <c r="O4" s="43"/>
      <c r="P4" s="15">
        <f t="shared" si="1"/>
        <v>750</v>
      </c>
      <c r="Q4" s="15">
        <f t="shared" si="2"/>
        <v>150</v>
      </c>
      <c r="R4" s="43">
        <v>1.0</v>
      </c>
      <c r="S4" s="136">
        <f t="shared" si="3"/>
        <v>3750</v>
      </c>
      <c r="T4" s="172">
        <v>0.0</v>
      </c>
      <c r="U4" s="138">
        <v>0.6</v>
      </c>
      <c r="V4" s="138">
        <v>20.0</v>
      </c>
      <c r="W4" s="43">
        <f t="shared" si="4"/>
        <v>438000</v>
      </c>
      <c r="X4" s="167">
        <f t="shared" si="5"/>
        <v>438000</v>
      </c>
      <c r="Y4" s="170">
        <f t="shared" si="6"/>
        <v>0</v>
      </c>
      <c r="Z4" s="206">
        <v>0.0</v>
      </c>
      <c r="AA4" s="202">
        <v>20000.0</v>
      </c>
      <c r="AB4" s="171">
        <f t="shared" si="7"/>
        <v>0</v>
      </c>
      <c r="AC4" s="207">
        <v>0.0</v>
      </c>
      <c r="AD4" s="138">
        <v>50000.0</v>
      </c>
      <c r="AE4" s="138">
        <v>0.15</v>
      </c>
      <c r="AF4" s="43">
        <f t="shared" si="8"/>
        <v>7500</v>
      </c>
      <c r="AG4" s="167">
        <f t="shared" si="9"/>
        <v>0</v>
      </c>
      <c r="AH4" s="172">
        <v>0.0</v>
      </c>
      <c r="AI4" s="138">
        <v>5000.0</v>
      </c>
      <c r="AJ4" s="167">
        <f t="shared" si="10"/>
        <v>0</v>
      </c>
      <c r="AK4" s="172">
        <v>0.0</v>
      </c>
      <c r="AL4" s="167">
        <f t="shared" si="11"/>
        <v>0</v>
      </c>
      <c r="AM4" s="172">
        <v>0.0</v>
      </c>
      <c r="AN4" s="138">
        <v>40000.0</v>
      </c>
      <c r="AO4" s="167">
        <f t="shared" si="12"/>
        <v>0</v>
      </c>
      <c r="AP4" s="172">
        <v>0.0</v>
      </c>
      <c r="AQ4" s="138">
        <v>3000.0</v>
      </c>
      <c r="AR4" s="167">
        <f t="shared" si="13"/>
        <v>0</v>
      </c>
      <c r="AS4" s="172">
        <v>0.0</v>
      </c>
      <c r="AT4" s="138">
        <v>7000.0</v>
      </c>
      <c r="AU4" s="167">
        <f t="shared" si="14"/>
        <v>0</v>
      </c>
      <c r="AV4" s="172">
        <v>0.0</v>
      </c>
      <c r="AW4" s="138">
        <v>2000.0</v>
      </c>
      <c r="AX4" s="167">
        <f t="shared" si="15"/>
        <v>0</v>
      </c>
      <c r="AY4" s="172">
        <v>0.0</v>
      </c>
      <c r="AZ4" s="138">
        <v>50000.0</v>
      </c>
      <c r="BA4" s="167">
        <f t="shared" si="16"/>
        <v>0</v>
      </c>
      <c r="BB4" s="139">
        <f t="shared" si="17"/>
        <v>-900</v>
      </c>
      <c r="BC4" s="147">
        <f t="shared" si="18"/>
        <v>-0.24</v>
      </c>
      <c r="BD4" s="136" t="str">
        <f t="shared" si="19"/>
        <v>Payback period not applicable: the investment does not recover its cost under current conditions.</v>
      </c>
      <c r="BE4" s="27" t="str">
        <f t="shared" si="20"/>
        <v>NO</v>
      </c>
      <c r="BF4" s="27"/>
    </row>
    <row r="5" ht="15.75" customHeight="1">
      <c r="A5" s="10" t="s">
        <v>170</v>
      </c>
      <c r="B5" s="50" t="s">
        <v>251</v>
      </c>
      <c r="C5" s="50" t="s">
        <v>252</v>
      </c>
      <c r="D5" s="50" t="s">
        <v>253</v>
      </c>
      <c r="E5" s="199" t="s">
        <v>254</v>
      </c>
      <c r="F5" s="208" t="s">
        <v>531</v>
      </c>
      <c r="G5" s="199" t="s">
        <v>152</v>
      </c>
      <c r="H5" s="199" t="s">
        <v>256</v>
      </c>
      <c r="I5" s="113" t="s">
        <v>532</v>
      </c>
      <c r="J5" s="139" t="s">
        <v>258</v>
      </c>
      <c r="K5" s="138">
        <v>100.0</v>
      </c>
      <c r="L5" s="138">
        <v>5.0</v>
      </c>
      <c r="M5" s="15">
        <v>1500.0</v>
      </c>
      <c r="N5" s="15"/>
      <c r="O5" s="15"/>
      <c r="P5" s="15">
        <f t="shared" si="1"/>
        <v>300</v>
      </c>
      <c r="Q5" s="15">
        <f t="shared" si="2"/>
        <v>60</v>
      </c>
      <c r="R5" s="15">
        <v>1.0</v>
      </c>
      <c r="S5" s="136">
        <f t="shared" si="3"/>
        <v>1500</v>
      </c>
      <c r="T5" s="141">
        <v>0.0</v>
      </c>
      <c r="U5" s="138">
        <v>0.6</v>
      </c>
      <c r="V5" s="138">
        <v>20.0</v>
      </c>
      <c r="W5" s="15">
        <f t="shared" si="4"/>
        <v>438000</v>
      </c>
      <c r="X5" s="136">
        <f t="shared" si="5"/>
        <v>438000</v>
      </c>
      <c r="Y5" s="140">
        <f t="shared" si="6"/>
        <v>0</v>
      </c>
      <c r="Z5" s="209">
        <v>0.0</v>
      </c>
      <c r="AA5" s="202">
        <v>20000.0</v>
      </c>
      <c r="AB5" s="143">
        <f t="shared" si="7"/>
        <v>0</v>
      </c>
      <c r="AC5" s="203">
        <v>0.0</v>
      </c>
      <c r="AD5" s="138">
        <v>50000.0</v>
      </c>
      <c r="AE5" s="138">
        <v>0.15</v>
      </c>
      <c r="AF5" s="15">
        <f t="shared" si="8"/>
        <v>7500</v>
      </c>
      <c r="AG5" s="136">
        <f t="shared" si="9"/>
        <v>0</v>
      </c>
      <c r="AH5" s="141">
        <v>0.0</v>
      </c>
      <c r="AI5" s="138">
        <v>5000.0</v>
      </c>
      <c r="AJ5" s="136">
        <f t="shared" si="10"/>
        <v>0</v>
      </c>
      <c r="AK5" s="141">
        <v>0.0</v>
      </c>
      <c r="AL5" s="136">
        <f t="shared" si="11"/>
        <v>0</v>
      </c>
      <c r="AM5" s="139">
        <v>10.0</v>
      </c>
      <c r="AN5" s="138">
        <v>40000.0</v>
      </c>
      <c r="AO5" s="136">
        <f t="shared" si="12"/>
        <v>4000</v>
      </c>
      <c r="AP5" s="141">
        <v>0.0</v>
      </c>
      <c r="AQ5" s="138">
        <v>3000.0</v>
      </c>
      <c r="AR5" s="136">
        <f t="shared" si="13"/>
        <v>0</v>
      </c>
      <c r="AS5" s="141">
        <v>0.0</v>
      </c>
      <c r="AT5" s="138">
        <v>7000.0</v>
      </c>
      <c r="AU5" s="136">
        <f t="shared" si="14"/>
        <v>0</v>
      </c>
      <c r="AV5" s="141">
        <v>0.0</v>
      </c>
      <c r="AW5" s="138">
        <v>2000.0</v>
      </c>
      <c r="AX5" s="136">
        <f t="shared" si="15"/>
        <v>0</v>
      </c>
      <c r="AY5" s="139">
        <v>10.0</v>
      </c>
      <c r="AZ5" s="138">
        <v>50000.0</v>
      </c>
      <c r="BA5" s="136">
        <f t="shared" si="16"/>
        <v>5000</v>
      </c>
      <c r="BB5" s="139">
        <f t="shared" si="17"/>
        <v>8640</v>
      </c>
      <c r="BC5" s="147">
        <f t="shared" si="18"/>
        <v>5.76</v>
      </c>
      <c r="BD5" s="136">
        <f t="shared" si="19"/>
        <v>0.1736111111</v>
      </c>
      <c r="BE5" s="27" t="str">
        <f t="shared" si="20"/>
        <v>YES</v>
      </c>
      <c r="BF5" s="27"/>
    </row>
    <row r="6" ht="18.75" customHeight="1">
      <c r="A6" s="22"/>
      <c r="B6" s="23" t="s">
        <v>259</v>
      </c>
      <c r="C6" s="23" t="s">
        <v>260</v>
      </c>
      <c r="D6" s="23" t="s">
        <v>261</v>
      </c>
      <c r="E6" s="57" t="s">
        <v>262</v>
      </c>
      <c r="F6" s="210" t="s">
        <v>533</v>
      </c>
      <c r="G6" s="57" t="s">
        <v>152</v>
      </c>
      <c r="H6" s="57" t="s">
        <v>256</v>
      </c>
      <c r="I6" s="125" t="s">
        <v>264</v>
      </c>
      <c r="J6" s="152" t="s">
        <v>265</v>
      </c>
      <c r="K6" s="138">
        <v>100.0</v>
      </c>
      <c r="L6" s="138">
        <v>5.0</v>
      </c>
      <c r="M6" s="27">
        <v>20000.0</v>
      </c>
      <c r="N6" s="27"/>
      <c r="O6" s="27"/>
      <c r="P6" s="15">
        <f t="shared" si="1"/>
        <v>4000</v>
      </c>
      <c r="Q6" s="15">
        <f t="shared" si="2"/>
        <v>800</v>
      </c>
      <c r="R6" s="27">
        <v>1.0</v>
      </c>
      <c r="S6" s="136">
        <f t="shared" si="3"/>
        <v>20000</v>
      </c>
      <c r="T6" s="154">
        <v>0.0</v>
      </c>
      <c r="U6" s="138">
        <v>0.6</v>
      </c>
      <c r="V6" s="138">
        <v>20.0</v>
      </c>
      <c r="W6" s="27">
        <f t="shared" si="4"/>
        <v>438000</v>
      </c>
      <c r="X6" s="150">
        <f t="shared" si="5"/>
        <v>438000</v>
      </c>
      <c r="Y6" s="153">
        <f t="shared" si="6"/>
        <v>0</v>
      </c>
      <c r="Z6" s="211">
        <v>0.0</v>
      </c>
      <c r="AA6" s="202">
        <v>20000.0</v>
      </c>
      <c r="AB6" s="156">
        <f t="shared" si="7"/>
        <v>0</v>
      </c>
      <c r="AC6" s="212">
        <v>0.0</v>
      </c>
      <c r="AD6" s="138">
        <v>50000.0</v>
      </c>
      <c r="AE6" s="138">
        <v>0.15</v>
      </c>
      <c r="AF6" s="27">
        <f t="shared" si="8"/>
        <v>7500</v>
      </c>
      <c r="AG6" s="150">
        <f t="shared" si="9"/>
        <v>0</v>
      </c>
      <c r="AH6" s="154">
        <v>0.0</v>
      </c>
      <c r="AI6" s="138">
        <v>5000.0</v>
      </c>
      <c r="AJ6" s="150">
        <f t="shared" si="10"/>
        <v>0</v>
      </c>
      <c r="AK6" s="154">
        <v>0.0</v>
      </c>
      <c r="AL6" s="150">
        <f t="shared" si="11"/>
        <v>0</v>
      </c>
      <c r="AM6" s="152">
        <v>10.0</v>
      </c>
      <c r="AN6" s="138">
        <v>40000.0</v>
      </c>
      <c r="AO6" s="150">
        <f t="shared" si="12"/>
        <v>4000</v>
      </c>
      <c r="AP6" s="154">
        <v>0.0</v>
      </c>
      <c r="AQ6" s="138">
        <v>3000.0</v>
      </c>
      <c r="AR6" s="150">
        <f t="shared" si="13"/>
        <v>0</v>
      </c>
      <c r="AS6" s="154">
        <v>0.0</v>
      </c>
      <c r="AT6" s="138">
        <v>7000.0</v>
      </c>
      <c r="AU6" s="150">
        <f t="shared" si="14"/>
        <v>0</v>
      </c>
      <c r="AV6" s="154">
        <v>0.0</v>
      </c>
      <c r="AW6" s="138">
        <v>2000.0</v>
      </c>
      <c r="AX6" s="150">
        <f t="shared" si="15"/>
        <v>0</v>
      </c>
      <c r="AY6" s="152">
        <v>10.0</v>
      </c>
      <c r="AZ6" s="138">
        <v>50000.0</v>
      </c>
      <c r="BA6" s="150">
        <f t="shared" si="16"/>
        <v>5000</v>
      </c>
      <c r="BB6" s="139">
        <f t="shared" si="17"/>
        <v>4200</v>
      </c>
      <c r="BC6" s="147">
        <f t="shared" si="18"/>
        <v>0.21</v>
      </c>
      <c r="BD6" s="136">
        <f t="shared" si="19"/>
        <v>4.761904762</v>
      </c>
      <c r="BE6" s="27" t="str">
        <f t="shared" si="20"/>
        <v>YES</v>
      </c>
      <c r="BF6" s="27"/>
    </row>
    <row r="7" ht="15.0" customHeight="1">
      <c r="A7" s="22"/>
      <c r="B7" s="23" t="s">
        <v>534</v>
      </c>
      <c r="C7" s="23" t="s">
        <v>535</v>
      </c>
      <c r="D7" s="23" t="s">
        <v>212</v>
      </c>
      <c r="E7" s="57" t="s">
        <v>536</v>
      </c>
      <c r="F7" s="213" t="s">
        <v>537</v>
      </c>
      <c r="G7" s="57" t="s">
        <v>152</v>
      </c>
      <c r="H7" s="214" t="s">
        <v>231</v>
      </c>
      <c r="I7" s="125" t="s">
        <v>538</v>
      </c>
      <c r="J7" s="152" t="s">
        <v>233</v>
      </c>
      <c r="K7" s="138">
        <v>100.0</v>
      </c>
      <c r="L7" s="138">
        <v>5.0</v>
      </c>
      <c r="M7" s="27">
        <v>35000.0</v>
      </c>
      <c r="N7" s="27"/>
      <c r="O7" s="27"/>
      <c r="P7" s="15">
        <f t="shared" si="1"/>
        <v>7000</v>
      </c>
      <c r="Q7" s="15">
        <f t="shared" si="2"/>
        <v>1400</v>
      </c>
      <c r="R7" s="27">
        <v>1.0</v>
      </c>
      <c r="S7" s="136">
        <f t="shared" si="3"/>
        <v>35000</v>
      </c>
      <c r="T7" s="154">
        <v>0.0</v>
      </c>
      <c r="U7" s="138">
        <v>0.6</v>
      </c>
      <c r="V7" s="138">
        <v>20.0</v>
      </c>
      <c r="W7" s="27">
        <f t="shared" si="4"/>
        <v>438000</v>
      </c>
      <c r="X7" s="150">
        <f t="shared" si="5"/>
        <v>438000</v>
      </c>
      <c r="Y7" s="153">
        <f t="shared" si="6"/>
        <v>0</v>
      </c>
      <c r="Z7" s="211">
        <v>0.0</v>
      </c>
      <c r="AA7" s="202">
        <v>20000.0</v>
      </c>
      <c r="AB7" s="156">
        <f t="shared" si="7"/>
        <v>0</v>
      </c>
      <c r="AC7" s="212">
        <v>0.0</v>
      </c>
      <c r="AD7" s="138">
        <v>50000.0</v>
      </c>
      <c r="AE7" s="138">
        <v>0.15</v>
      </c>
      <c r="AF7" s="27">
        <f t="shared" si="8"/>
        <v>7500</v>
      </c>
      <c r="AG7" s="150">
        <f t="shared" si="9"/>
        <v>0</v>
      </c>
      <c r="AH7" s="154">
        <v>0.0</v>
      </c>
      <c r="AI7" s="138">
        <v>5000.0</v>
      </c>
      <c r="AJ7" s="150">
        <f t="shared" si="10"/>
        <v>0</v>
      </c>
      <c r="AK7" s="154">
        <v>0.0</v>
      </c>
      <c r="AL7" s="150">
        <f t="shared" si="11"/>
        <v>0</v>
      </c>
      <c r="AM7" s="152">
        <v>10.0</v>
      </c>
      <c r="AN7" s="138">
        <v>40000.0</v>
      </c>
      <c r="AO7" s="150">
        <f t="shared" si="12"/>
        <v>4000</v>
      </c>
      <c r="AP7" s="154">
        <v>0.0</v>
      </c>
      <c r="AQ7" s="138">
        <v>3000.0</v>
      </c>
      <c r="AR7" s="150">
        <f t="shared" si="13"/>
        <v>0</v>
      </c>
      <c r="AS7" s="154">
        <v>0.0</v>
      </c>
      <c r="AT7" s="138">
        <v>7000.0</v>
      </c>
      <c r="AU7" s="150">
        <f t="shared" si="14"/>
        <v>0</v>
      </c>
      <c r="AV7" s="154">
        <v>0.0</v>
      </c>
      <c r="AW7" s="138">
        <v>2000.0</v>
      </c>
      <c r="AX7" s="150">
        <f t="shared" si="15"/>
        <v>0</v>
      </c>
      <c r="AY7" s="152">
        <v>10.0</v>
      </c>
      <c r="AZ7" s="138">
        <v>50000.0</v>
      </c>
      <c r="BA7" s="150">
        <f t="shared" si="16"/>
        <v>5000</v>
      </c>
      <c r="BB7" s="139">
        <f t="shared" si="17"/>
        <v>600</v>
      </c>
      <c r="BC7" s="147">
        <f t="shared" si="18"/>
        <v>0.01714285714</v>
      </c>
      <c r="BD7" s="136">
        <f t="shared" si="19"/>
        <v>58.33333333</v>
      </c>
      <c r="BE7" s="27" t="str">
        <f t="shared" si="20"/>
        <v>NO</v>
      </c>
      <c r="BF7" s="27"/>
    </row>
    <row r="8" ht="15.75" customHeight="1">
      <c r="A8" s="22"/>
      <c r="B8" s="23" t="s">
        <v>270</v>
      </c>
      <c r="C8" s="23" t="s">
        <v>271</v>
      </c>
      <c r="D8" s="23" t="s">
        <v>272</v>
      </c>
      <c r="E8" s="57" t="s">
        <v>273</v>
      </c>
      <c r="F8" s="210" t="s">
        <v>539</v>
      </c>
      <c r="G8" s="57" t="s">
        <v>152</v>
      </c>
      <c r="H8" s="57" t="s">
        <v>275</v>
      </c>
      <c r="I8" s="125" t="s">
        <v>276</v>
      </c>
      <c r="J8" s="152" t="s">
        <v>277</v>
      </c>
      <c r="K8" s="138">
        <v>100.0</v>
      </c>
      <c r="L8" s="138">
        <v>5.0</v>
      </c>
      <c r="M8" s="27"/>
      <c r="N8" s="27">
        <v>30.0</v>
      </c>
      <c r="O8" s="27"/>
      <c r="P8" s="15">
        <f t="shared" si="1"/>
        <v>600</v>
      </c>
      <c r="Q8" s="15">
        <f t="shared" si="2"/>
        <v>120</v>
      </c>
      <c r="R8" s="27">
        <v>1.0</v>
      </c>
      <c r="S8" s="136">
        <f t="shared" si="3"/>
        <v>3000</v>
      </c>
      <c r="T8" s="154">
        <v>0.0</v>
      </c>
      <c r="U8" s="138">
        <v>0.6</v>
      </c>
      <c r="V8" s="138">
        <v>20.0</v>
      </c>
      <c r="W8" s="27">
        <f t="shared" si="4"/>
        <v>438000</v>
      </c>
      <c r="X8" s="150">
        <f t="shared" si="5"/>
        <v>438000</v>
      </c>
      <c r="Y8" s="153">
        <f t="shared" si="6"/>
        <v>0</v>
      </c>
      <c r="Z8" s="211">
        <v>0.0</v>
      </c>
      <c r="AA8" s="202">
        <v>20000.0</v>
      </c>
      <c r="AB8" s="156">
        <f t="shared" si="7"/>
        <v>0</v>
      </c>
      <c r="AC8" s="212">
        <v>0.0</v>
      </c>
      <c r="AD8" s="138">
        <v>50000.0</v>
      </c>
      <c r="AE8" s="138">
        <v>0.15</v>
      </c>
      <c r="AF8" s="27">
        <f t="shared" si="8"/>
        <v>7500</v>
      </c>
      <c r="AG8" s="150">
        <f t="shared" si="9"/>
        <v>0</v>
      </c>
      <c r="AH8" s="154">
        <v>0.0</v>
      </c>
      <c r="AI8" s="138">
        <v>5000.0</v>
      </c>
      <c r="AJ8" s="150">
        <f t="shared" si="10"/>
        <v>0</v>
      </c>
      <c r="AK8" s="154">
        <v>0.0</v>
      </c>
      <c r="AL8" s="150">
        <f t="shared" si="11"/>
        <v>0</v>
      </c>
      <c r="AM8" s="152">
        <v>20.0</v>
      </c>
      <c r="AN8" s="138">
        <v>40000.0</v>
      </c>
      <c r="AO8" s="150">
        <f t="shared" si="12"/>
        <v>8000</v>
      </c>
      <c r="AP8" s="152">
        <v>70.0</v>
      </c>
      <c r="AQ8" s="138">
        <v>3000.0</v>
      </c>
      <c r="AR8" s="150">
        <f t="shared" si="13"/>
        <v>2100</v>
      </c>
      <c r="AS8" s="154">
        <v>0.0</v>
      </c>
      <c r="AT8" s="138">
        <v>7000.0</v>
      </c>
      <c r="AU8" s="150">
        <f t="shared" si="14"/>
        <v>0</v>
      </c>
      <c r="AV8" s="154">
        <v>0.0</v>
      </c>
      <c r="AW8" s="138">
        <v>2000.0</v>
      </c>
      <c r="AX8" s="150">
        <f t="shared" si="15"/>
        <v>0</v>
      </c>
      <c r="AY8" s="152">
        <v>10.0</v>
      </c>
      <c r="AZ8" s="138">
        <v>50000.0</v>
      </c>
      <c r="BA8" s="150">
        <f t="shared" si="16"/>
        <v>5000</v>
      </c>
      <c r="BB8" s="139">
        <f t="shared" si="17"/>
        <v>14380</v>
      </c>
      <c r="BC8" s="147">
        <f t="shared" si="18"/>
        <v>4.793333333</v>
      </c>
      <c r="BD8" s="136">
        <f t="shared" si="19"/>
        <v>0.2086230876</v>
      </c>
      <c r="BE8" s="27" t="str">
        <f t="shared" si="20"/>
        <v>YES</v>
      </c>
      <c r="BF8" s="27"/>
    </row>
    <row r="9" ht="15.75" customHeight="1">
      <c r="A9" s="39"/>
      <c r="B9" s="61" t="s">
        <v>283</v>
      </c>
      <c r="C9" s="61" t="s">
        <v>284</v>
      </c>
      <c r="D9" s="61" t="s">
        <v>285</v>
      </c>
      <c r="E9" s="65" t="s">
        <v>286</v>
      </c>
      <c r="F9" s="204" t="s">
        <v>540</v>
      </c>
      <c r="G9" s="65" t="s">
        <v>152</v>
      </c>
      <c r="H9" s="65" t="s">
        <v>275</v>
      </c>
      <c r="I9" s="167" t="s">
        <v>541</v>
      </c>
      <c r="J9" s="169" t="s">
        <v>289</v>
      </c>
      <c r="K9" s="138">
        <v>100.0</v>
      </c>
      <c r="L9" s="138">
        <v>5.0</v>
      </c>
      <c r="M9" s="43"/>
      <c r="N9" s="43">
        <v>250.0</v>
      </c>
      <c r="O9" s="43"/>
      <c r="P9" s="15">
        <f t="shared" si="1"/>
        <v>5000</v>
      </c>
      <c r="Q9" s="15">
        <f t="shared" si="2"/>
        <v>1000</v>
      </c>
      <c r="R9" s="43">
        <v>1.0</v>
      </c>
      <c r="S9" s="136">
        <f t="shared" si="3"/>
        <v>25000</v>
      </c>
      <c r="T9" s="172">
        <v>0.0</v>
      </c>
      <c r="U9" s="138">
        <v>0.6</v>
      </c>
      <c r="V9" s="138">
        <v>20.0</v>
      </c>
      <c r="W9" s="43">
        <f t="shared" si="4"/>
        <v>438000</v>
      </c>
      <c r="X9" s="167">
        <f t="shared" si="5"/>
        <v>438000</v>
      </c>
      <c r="Y9" s="170">
        <f t="shared" si="6"/>
        <v>0</v>
      </c>
      <c r="Z9" s="206">
        <v>0.0</v>
      </c>
      <c r="AA9" s="202">
        <v>20000.0</v>
      </c>
      <c r="AB9" s="171">
        <f t="shared" si="7"/>
        <v>0</v>
      </c>
      <c r="AC9" s="207">
        <v>0.0</v>
      </c>
      <c r="AD9" s="138">
        <v>50000.0</v>
      </c>
      <c r="AE9" s="138">
        <v>0.15</v>
      </c>
      <c r="AF9" s="43">
        <f t="shared" si="8"/>
        <v>7500</v>
      </c>
      <c r="AG9" s="167">
        <f t="shared" si="9"/>
        <v>0</v>
      </c>
      <c r="AH9" s="172">
        <v>0.0</v>
      </c>
      <c r="AI9" s="138">
        <v>5000.0</v>
      </c>
      <c r="AJ9" s="167">
        <f t="shared" si="10"/>
        <v>0</v>
      </c>
      <c r="AK9" s="172">
        <v>0.0</v>
      </c>
      <c r="AL9" s="167">
        <f t="shared" si="11"/>
        <v>0</v>
      </c>
      <c r="AM9" s="169">
        <v>10.0</v>
      </c>
      <c r="AN9" s="138">
        <v>40000.0</v>
      </c>
      <c r="AO9" s="167">
        <f t="shared" si="12"/>
        <v>4000</v>
      </c>
      <c r="AP9" s="172">
        <v>0.0</v>
      </c>
      <c r="AQ9" s="138">
        <v>3000.0</v>
      </c>
      <c r="AR9" s="167">
        <f t="shared" si="13"/>
        <v>0</v>
      </c>
      <c r="AS9" s="172">
        <v>0.0</v>
      </c>
      <c r="AT9" s="138">
        <v>7000.0</v>
      </c>
      <c r="AU9" s="167">
        <f t="shared" si="14"/>
        <v>0</v>
      </c>
      <c r="AV9" s="172">
        <v>0.0</v>
      </c>
      <c r="AW9" s="138">
        <v>2000.0</v>
      </c>
      <c r="AX9" s="167">
        <f t="shared" si="15"/>
        <v>0</v>
      </c>
      <c r="AY9" s="169">
        <v>10.0</v>
      </c>
      <c r="AZ9" s="138">
        <v>50000.0</v>
      </c>
      <c r="BA9" s="167">
        <f t="shared" si="16"/>
        <v>5000</v>
      </c>
      <c r="BB9" s="139">
        <f t="shared" si="17"/>
        <v>3000</v>
      </c>
      <c r="BC9" s="147">
        <f t="shared" si="18"/>
        <v>0.12</v>
      </c>
      <c r="BD9" s="136">
        <f t="shared" si="19"/>
        <v>8.333333333</v>
      </c>
      <c r="BE9" s="27" t="str">
        <f t="shared" si="20"/>
        <v>NO</v>
      </c>
      <c r="BF9" s="27"/>
    </row>
    <row r="10" ht="15.75" customHeight="1">
      <c r="A10" s="10" t="s">
        <v>323</v>
      </c>
      <c r="B10" s="50" t="s">
        <v>361</v>
      </c>
      <c r="C10" s="215" t="s">
        <v>362</v>
      </c>
      <c r="D10" s="50" t="s">
        <v>363</v>
      </c>
      <c r="E10" s="50" t="s">
        <v>364</v>
      </c>
      <c r="F10" s="200" t="s">
        <v>542</v>
      </c>
      <c r="G10" s="199" t="s">
        <v>152</v>
      </c>
      <c r="H10" s="199" t="s">
        <v>366</v>
      </c>
      <c r="I10" s="113" t="s">
        <v>543</v>
      </c>
      <c r="J10" s="139" t="s">
        <v>368</v>
      </c>
      <c r="K10" s="138">
        <v>100.0</v>
      </c>
      <c r="L10" s="138">
        <v>5.0</v>
      </c>
      <c r="M10" s="15">
        <v>125.0</v>
      </c>
      <c r="N10" s="15"/>
      <c r="O10" s="15"/>
      <c r="P10" s="15">
        <f t="shared" si="1"/>
        <v>0</v>
      </c>
      <c r="Q10" s="15">
        <f t="shared" si="2"/>
        <v>5</v>
      </c>
      <c r="R10" s="15">
        <v>1.0</v>
      </c>
      <c r="S10" s="136">
        <f t="shared" si="3"/>
        <v>125</v>
      </c>
      <c r="T10" s="141">
        <v>0.0</v>
      </c>
      <c r="U10" s="138">
        <v>0.6</v>
      </c>
      <c r="V10" s="138">
        <v>20.0</v>
      </c>
      <c r="W10" s="15">
        <f t="shared" si="4"/>
        <v>438000</v>
      </c>
      <c r="X10" s="136">
        <f t="shared" si="5"/>
        <v>438000</v>
      </c>
      <c r="Y10" s="140">
        <f t="shared" si="6"/>
        <v>0</v>
      </c>
      <c r="Z10" s="209">
        <v>0.0</v>
      </c>
      <c r="AA10" s="202">
        <v>20000.0</v>
      </c>
      <c r="AB10" s="143">
        <f t="shared" si="7"/>
        <v>0</v>
      </c>
      <c r="AC10" s="139">
        <v>70.0</v>
      </c>
      <c r="AD10" s="138">
        <v>50000.0</v>
      </c>
      <c r="AE10" s="138">
        <v>0.15</v>
      </c>
      <c r="AF10" s="15">
        <f t="shared" si="8"/>
        <v>7500</v>
      </c>
      <c r="AG10" s="136">
        <f t="shared" si="9"/>
        <v>5250</v>
      </c>
      <c r="AH10" s="141">
        <v>0.0</v>
      </c>
      <c r="AI10" s="138">
        <v>5000.0</v>
      </c>
      <c r="AJ10" s="136">
        <f t="shared" si="10"/>
        <v>0</v>
      </c>
      <c r="AK10" s="141">
        <v>0.0</v>
      </c>
      <c r="AL10" s="136">
        <f t="shared" si="11"/>
        <v>0</v>
      </c>
      <c r="AM10" s="141">
        <v>0.0</v>
      </c>
      <c r="AN10" s="138">
        <v>40000.0</v>
      </c>
      <c r="AO10" s="136">
        <f t="shared" si="12"/>
        <v>0</v>
      </c>
      <c r="AP10" s="141">
        <v>0.0</v>
      </c>
      <c r="AQ10" s="138">
        <v>3000.0</v>
      </c>
      <c r="AR10" s="136">
        <f t="shared" si="13"/>
        <v>0</v>
      </c>
      <c r="AS10" s="141">
        <v>0.0</v>
      </c>
      <c r="AT10" s="138">
        <v>7000.0</v>
      </c>
      <c r="AU10" s="136">
        <f t="shared" si="14"/>
        <v>0</v>
      </c>
      <c r="AV10" s="141">
        <v>0.0</v>
      </c>
      <c r="AW10" s="138">
        <v>2000.0</v>
      </c>
      <c r="AX10" s="136">
        <f t="shared" si="15"/>
        <v>0</v>
      </c>
      <c r="AY10" s="141">
        <v>0.0</v>
      </c>
      <c r="AZ10" s="138">
        <v>50000.0</v>
      </c>
      <c r="BA10" s="136">
        <f t="shared" si="16"/>
        <v>0</v>
      </c>
      <c r="BB10" s="139">
        <f t="shared" si="17"/>
        <v>5245</v>
      </c>
      <c r="BC10" s="147">
        <f t="shared" si="18"/>
        <v>41.96</v>
      </c>
      <c r="BD10" s="136">
        <f t="shared" si="19"/>
        <v>0.02383222116</v>
      </c>
      <c r="BE10" s="27" t="str">
        <f t="shared" si="20"/>
        <v>YES</v>
      </c>
      <c r="BF10" s="27"/>
    </row>
    <row r="11" ht="15.75" customHeight="1">
      <c r="A11" s="22"/>
      <c r="B11" s="23" t="s">
        <v>371</v>
      </c>
      <c r="C11" s="216" t="s">
        <v>372</v>
      </c>
      <c r="D11" s="23" t="s">
        <v>372</v>
      </c>
      <c r="E11" s="57" t="s">
        <v>373</v>
      </c>
      <c r="F11" s="210" t="s">
        <v>544</v>
      </c>
      <c r="G11" s="57" t="s">
        <v>375</v>
      </c>
      <c r="H11" s="57" t="s">
        <v>153</v>
      </c>
      <c r="I11" s="217" t="s">
        <v>545</v>
      </c>
      <c r="J11" s="152" t="s">
        <v>377</v>
      </c>
      <c r="K11" s="138">
        <v>100.0</v>
      </c>
      <c r="L11" s="138">
        <v>5.0</v>
      </c>
      <c r="M11" s="27">
        <v>2000.0</v>
      </c>
      <c r="N11" s="27"/>
      <c r="O11" s="27">
        <v>21.0</v>
      </c>
      <c r="P11" s="15">
        <f t="shared" si="1"/>
        <v>25600</v>
      </c>
      <c r="Q11" s="15">
        <f t="shared" si="2"/>
        <v>5120</v>
      </c>
      <c r="R11" s="27">
        <v>1.0</v>
      </c>
      <c r="S11" s="136">
        <f t="shared" si="3"/>
        <v>128000</v>
      </c>
      <c r="T11" s="154">
        <v>0.0</v>
      </c>
      <c r="U11" s="138">
        <v>0.6</v>
      </c>
      <c r="V11" s="138">
        <v>20.0</v>
      </c>
      <c r="W11" s="27">
        <f t="shared" si="4"/>
        <v>438000</v>
      </c>
      <c r="X11" s="150">
        <f t="shared" si="5"/>
        <v>438000</v>
      </c>
      <c r="Y11" s="153">
        <f t="shared" si="6"/>
        <v>0</v>
      </c>
      <c r="Z11" s="211">
        <v>0.0</v>
      </c>
      <c r="AA11" s="202">
        <v>20000.0</v>
      </c>
      <c r="AB11" s="156">
        <f t="shared" si="7"/>
        <v>0</v>
      </c>
      <c r="AC11" s="154">
        <v>0.0</v>
      </c>
      <c r="AD11" s="138">
        <v>50000.0</v>
      </c>
      <c r="AE11" s="138">
        <v>0.15</v>
      </c>
      <c r="AF11" s="27">
        <f t="shared" si="8"/>
        <v>7500</v>
      </c>
      <c r="AG11" s="150">
        <f t="shared" si="9"/>
        <v>0</v>
      </c>
      <c r="AH11" s="154">
        <v>0.0</v>
      </c>
      <c r="AI11" s="138">
        <v>5000.0</v>
      </c>
      <c r="AJ11" s="150">
        <f t="shared" si="10"/>
        <v>0</v>
      </c>
      <c r="AK11" s="154">
        <v>0.0</v>
      </c>
      <c r="AL11" s="150">
        <f t="shared" si="11"/>
        <v>0</v>
      </c>
      <c r="AM11" s="154">
        <v>0.0</v>
      </c>
      <c r="AN11" s="138">
        <v>40000.0</v>
      </c>
      <c r="AO11" s="150">
        <f t="shared" si="12"/>
        <v>0</v>
      </c>
      <c r="AP11" s="154">
        <v>0.0</v>
      </c>
      <c r="AQ11" s="138">
        <v>3000.0</v>
      </c>
      <c r="AR11" s="150">
        <f t="shared" si="13"/>
        <v>0</v>
      </c>
      <c r="AS11" s="152">
        <v>38.0</v>
      </c>
      <c r="AT11" s="138">
        <v>7000.0</v>
      </c>
      <c r="AU11" s="150">
        <f t="shared" si="14"/>
        <v>2660</v>
      </c>
      <c r="AV11" s="154">
        <v>0.0</v>
      </c>
      <c r="AW11" s="138">
        <v>2000.0</v>
      </c>
      <c r="AX11" s="150">
        <f t="shared" si="15"/>
        <v>0</v>
      </c>
      <c r="AY11" s="154">
        <v>0.0</v>
      </c>
      <c r="AZ11" s="138">
        <v>50000.0</v>
      </c>
      <c r="BA11" s="150">
        <f t="shared" si="16"/>
        <v>0</v>
      </c>
      <c r="BB11" s="139">
        <f t="shared" si="17"/>
        <v>-28060</v>
      </c>
      <c r="BC11" s="147">
        <f t="shared" si="18"/>
        <v>-0.21921875</v>
      </c>
      <c r="BD11" s="136" t="str">
        <f t="shared" si="19"/>
        <v>Payback period not applicable: the investment does not recover its cost under current conditions.</v>
      </c>
      <c r="BE11" s="27" t="str">
        <f t="shared" si="20"/>
        <v>NO</v>
      </c>
      <c r="BF11" s="27"/>
    </row>
    <row r="12" ht="15.75" customHeight="1">
      <c r="A12" s="39"/>
      <c r="B12" s="61" t="s">
        <v>384</v>
      </c>
      <c r="C12" s="218" t="s">
        <v>385</v>
      </c>
      <c r="D12" s="62" t="s">
        <v>386</v>
      </c>
      <c r="E12" s="219" t="s">
        <v>387</v>
      </c>
      <c r="F12" s="204" t="s">
        <v>546</v>
      </c>
      <c r="G12" s="65" t="s">
        <v>152</v>
      </c>
      <c r="H12" s="65" t="s">
        <v>153</v>
      </c>
      <c r="I12" s="167" t="s">
        <v>389</v>
      </c>
      <c r="J12" s="169" t="s">
        <v>390</v>
      </c>
      <c r="K12" s="138">
        <v>100.0</v>
      </c>
      <c r="L12" s="138">
        <v>5.0</v>
      </c>
      <c r="M12" s="43">
        <v>375.0</v>
      </c>
      <c r="N12" s="43"/>
      <c r="O12" s="43">
        <v>75.0</v>
      </c>
      <c r="P12" s="15">
        <f t="shared" si="1"/>
        <v>90075</v>
      </c>
      <c r="Q12" s="15">
        <f t="shared" si="2"/>
        <v>18015</v>
      </c>
      <c r="R12" s="43">
        <v>1.0</v>
      </c>
      <c r="S12" s="136">
        <f t="shared" si="3"/>
        <v>450375</v>
      </c>
      <c r="T12" s="172">
        <v>0.0</v>
      </c>
      <c r="U12" s="138">
        <v>0.6</v>
      </c>
      <c r="V12" s="138">
        <v>20.0</v>
      </c>
      <c r="W12" s="43">
        <f t="shared" si="4"/>
        <v>438000</v>
      </c>
      <c r="X12" s="167">
        <f t="shared" si="5"/>
        <v>438000</v>
      </c>
      <c r="Y12" s="170">
        <f t="shared" si="6"/>
        <v>0</v>
      </c>
      <c r="Z12" s="206">
        <v>0.0</v>
      </c>
      <c r="AA12" s="202">
        <v>20000.0</v>
      </c>
      <c r="AB12" s="171">
        <f t="shared" si="7"/>
        <v>0</v>
      </c>
      <c r="AC12" s="172">
        <v>0.0</v>
      </c>
      <c r="AD12" s="138">
        <v>50000.0</v>
      </c>
      <c r="AE12" s="138">
        <v>0.15</v>
      </c>
      <c r="AF12" s="43">
        <f t="shared" si="8"/>
        <v>7500</v>
      </c>
      <c r="AG12" s="167">
        <f t="shared" si="9"/>
        <v>0</v>
      </c>
      <c r="AH12" s="172">
        <v>0.0</v>
      </c>
      <c r="AI12" s="138">
        <v>5000.0</v>
      </c>
      <c r="AJ12" s="167">
        <f t="shared" si="10"/>
        <v>0</v>
      </c>
      <c r="AK12" s="172">
        <v>0.0</v>
      </c>
      <c r="AL12" s="167">
        <f t="shared" si="11"/>
        <v>0</v>
      </c>
      <c r="AM12" s="172">
        <v>0.0</v>
      </c>
      <c r="AN12" s="138">
        <v>40000.0</v>
      </c>
      <c r="AO12" s="167">
        <f t="shared" si="12"/>
        <v>0</v>
      </c>
      <c r="AP12" s="172">
        <v>0.0</v>
      </c>
      <c r="AQ12" s="138">
        <v>3000.0</v>
      </c>
      <c r="AR12" s="167">
        <f t="shared" si="13"/>
        <v>0</v>
      </c>
      <c r="AS12" s="169">
        <v>50.0</v>
      </c>
      <c r="AT12" s="138">
        <v>7000.0</v>
      </c>
      <c r="AU12" s="167">
        <f t="shared" si="14"/>
        <v>3500</v>
      </c>
      <c r="AV12" s="169">
        <v>25.0</v>
      </c>
      <c r="AW12" s="138">
        <v>2000.0</v>
      </c>
      <c r="AX12" s="167">
        <f t="shared" si="15"/>
        <v>500</v>
      </c>
      <c r="AY12" s="172">
        <v>0.0</v>
      </c>
      <c r="AZ12" s="138">
        <v>50000.0</v>
      </c>
      <c r="BA12" s="167">
        <f t="shared" si="16"/>
        <v>0</v>
      </c>
      <c r="BB12" s="139">
        <f t="shared" si="17"/>
        <v>-104090</v>
      </c>
      <c r="BC12" s="147">
        <f t="shared" si="18"/>
        <v>-0.2311185124</v>
      </c>
      <c r="BD12" s="136" t="str">
        <f t="shared" si="19"/>
        <v>Payback period not applicable: the investment does not recover its cost under current conditions.</v>
      </c>
      <c r="BE12" s="27" t="str">
        <f t="shared" si="20"/>
        <v>NO</v>
      </c>
      <c r="BF12" s="27"/>
    </row>
    <row r="13" ht="15.75" customHeight="1">
      <c r="A13" s="111"/>
      <c r="B13" s="23"/>
      <c r="C13" s="23"/>
      <c r="D13" s="23"/>
      <c r="E13" s="220"/>
      <c r="F13" s="57"/>
      <c r="G13" s="57"/>
      <c r="H13" s="57"/>
      <c r="I13" s="27"/>
      <c r="J13" s="27"/>
      <c r="K13" s="27"/>
      <c r="L13" s="27"/>
      <c r="M13" s="27"/>
      <c r="N13" s="27"/>
      <c r="O13" s="27"/>
      <c r="P13" s="27"/>
      <c r="Q13" s="27"/>
      <c r="R13" s="27"/>
      <c r="S13" s="27"/>
      <c r="T13" s="183" t="s">
        <v>547</v>
      </c>
      <c r="U13" s="184"/>
      <c r="V13" s="184"/>
      <c r="W13" s="184"/>
      <c r="X13" s="184"/>
      <c r="Y13" s="185"/>
      <c r="Z13" s="155"/>
      <c r="AA13" s="155"/>
      <c r="AB13" s="155"/>
      <c r="AC13" s="27"/>
      <c r="AD13" s="27"/>
      <c r="AE13" s="27"/>
      <c r="AF13" s="27"/>
      <c r="AG13" s="27"/>
      <c r="AH13" s="183" t="s">
        <v>547</v>
      </c>
      <c r="AI13" s="184"/>
      <c r="AJ13" s="185"/>
      <c r="AK13" s="183" t="s">
        <v>547</v>
      </c>
      <c r="AL13" s="185"/>
      <c r="AM13" s="27"/>
      <c r="AN13" s="27"/>
      <c r="AO13" s="27"/>
      <c r="AP13" s="27"/>
      <c r="AQ13" s="27"/>
      <c r="AR13" s="27"/>
      <c r="AS13" s="27"/>
      <c r="AT13" s="27"/>
      <c r="AU13" s="27"/>
      <c r="AV13" s="27"/>
      <c r="AW13" s="27"/>
      <c r="AX13" s="27"/>
      <c r="AY13" s="27"/>
      <c r="AZ13" s="27"/>
      <c r="BA13" s="27"/>
      <c r="BB13" s="27"/>
      <c r="BC13" s="27"/>
      <c r="BD13" s="27"/>
      <c r="BE13" s="27"/>
      <c r="BF13" s="27"/>
    </row>
    <row r="14" ht="15.75" customHeight="1">
      <c r="A14" s="111"/>
      <c r="B14" s="23"/>
      <c r="C14" s="23"/>
      <c r="D14" s="23"/>
      <c r="E14" s="220"/>
      <c r="F14" s="57"/>
      <c r="G14" s="57"/>
      <c r="H14" s="57"/>
      <c r="I14" s="27"/>
      <c r="J14" s="27"/>
      <c r="K14" s="27"/>
      <c r="L14" s="27"/>
      <c r="M14" s="27"/>
      <c r="N14" s="27"/>
      <c r="O14" s="27"/>
      <c r="P14" s="27"/>
      <c r="Q14" s="27"/>
      <c r="R14" s="27"/>
      <c r="S14" s="27"/>
      <c r="T14" s="27"/>
      <c r="U14" s="27"/>
      <c r="V14" s="27"/>
      <c r="W14" s="27"/>
      <c r="X14" s="27"/>
      <c r="Y14" s="27"/>
      <c r="Z14" s="155"/>
      <c r="AA14" s="155"/>
      <c r="AB14" s="155"/>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row>
    <row r="15" ht="15.75" customHeight="1">
      <c r="A15" s="111"/>
      <c r="B15" s="23"/>
      <c r="C15" s="23"/>
      <c r="D15" s="23"/>
      <c r="E15" s="220"/>
      <c r="F15" s="57"/>
      <c r="G15" s="57"/>
      <c r="H15" s="57"/>
      <c r="I15" s="27"/>
      <c r="J15" s="27"/>
      <c r="K15" s="27"/>
      <c r="L15" s="27"/>
      <c r="M15" s="27"/>
      <c r="N15" s="27"/>
      <c r="O15" s="27"/>
      <c r="P15" s="27"/>
      <c r="Q15" s="27"/>
      <c r="R15" s="27"/>
      <c r="S15" s="27"/>
      <c r="T15" s="27"/>
      <c r="U15" s="27"/>
      <c r="V15" s="27"/>
      <c r="W15" s="27"/>
      <c r="X15" s="27"/>
      <c r="Y15" s="27"/>
      <c r="Z15" s="155"/>
      <c r="AA15" s="155"/>
      <c r="AB15" s="155"/>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row>
    <row r="16" ht="15.75" customHeight="1">
      <c r="A16" s="111"/>
      <c r="B16" s="23"/>
      <c r="C16" s="23"/>
      <c r="D16" s="23"/>
      <c r="E16" s="220"/>
      <c r="F16" s="57"/>
      <c r="G16" s="57"/>
      <c r="H16" s="57"/>
      <c r="I16" s="27"/>
      <c r="J16" s="27"/>
      <c r="K16" s="27"/>
      <c r="L16" s="27"/>
      <c r="M16" s="27"/>
      <c r="N16" s="27"/>
      <c r="O16" s="27"/>
      <c r="P16" s="27"/>
      <c r="Q16" s="27"/>
      <c r="R16" s="27"/>
      <c r="S16" s="27"/>
      <c r="T16" s="27"/>
      <c r="U16" s="27"/>
      <c r="V16" s="27"/>
      <c r="W16" s="27"/>
      <c r="X16" s="27"/>
      <c r="Y16" s="27"/>
      <c r="Z16" s="155"/>
      <c r="AA16" s="155"/>
      <c r="AB16" s="155"/>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row>
    <row r="17" ht="15.75" customHeight="1">
      <c r="A17" s="111"/>
      <c r="B17" s="23"/>
      <c r="C17" s="23"/>
      <c r="D17" s="23"/>
      <c r="E17" s="220"/>
      <c r="F17" s="57"/>
      <c r="G17" s="57"/>
      <c r="H17" s="57"/>
      <c r="I17" s="27"/>
      <c r="J17" s="27"/>
      <c r="K17" s="27"/>
      <c r="L17" s="27"/>
      <c r="M17" s="27"/>
      <c r="N17" s="27"/>
      <c r="O17" s="27"/>
      <c r="P17" s="27"/>
      <c r="Q17" s="27"/>
      <c r="R17" s="27"/>
      <c r="S17" s="27"/>
      <c r="T17" s="27"/>
      <c r="U17" s="27"/>
      <c r="V17" s="27"/>
      <c r="W17" s="27"/>
      <c r="X17" s="27"/>
      <c r="Y17" s="27"/>
      <c r="Z17" s="155"/>
      <c r="AA17" s="155"/>
      <c r="AB17" s="155"/>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row>
    <row r="18" ht="15.75" customHeight="1">
      <c r="A18" s="111"/>
      <c r="B18" s="23"/>
      <c r="C18" s="23"/>
      <c r="D18" s="23"/>
      <c r="E18" s="220"/>
      <c r="F18" s="57"/>
      <c r="G18" s="57"/>
      <c r="H18" s="57"/>
      <c r="I18" s="27"/>
      <c r="J18" s="27"/>
      <c r="K18" s="27"/>
      <c r="L18" s="27"/>
      <c r="M18" s="27"/>
      <c r="N18" s="27"/>
      <c r="O18" s="27"/>
      <c r="P18" s="27"/>
      <c r="Q18" s="27"/>
      <c r="R18" s="27"/>
      <c r="S18" s="27"/>
      <c r="T18" s="27"/>
      <c r="U18" s="27"/>
      <c r="V18" s="27"/>
      <c r="W18" s="27"/>
      <c r="X18" s="27"/>
      <c r="Y18" s="27"/>
      <c r="Z18" s="155"/>
      <c r="AA18" s="155"/>
      <c r="AB18" s="155"/>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P1:AR1"/>
    <mergeCell ref="AS1:AU1"/>
    <mergeCell ref="AV1:AX1"/>
    <mergeCell ref="AY1:BA1"/>
    <mergeCell ref="BB1:BE1"/>
    <mergeCell ref="A3:A4"/>
    <mergeCell ref="A5:A9"/>
    <mergeCell ref="A10:A12"/>
    <mergeCell ref="T13:Y13"/>
    <mergeCell ref="AH13:AJ13"/>
    <mergeCell ref="AK13:AL13"/>
    <mergeCell ref="J1:S1"/>
    <mergeCell ref="T1:X1"/>
    <mergeCell ref="Z1:AB1"/>
    <mergeCell ref="AC1:AG1"/>
    <mergeCell ref="AH1:AJ1"/>
    <mergeCell ref="AK1:AL1"/>
    <mergeCell ref="AM1:AO1"/>
  </mergeCells>
  <hyperlinks>
    <hyperlink r:id="rId2" ref="F3"/>
    <hyperlink r:id="rId3" ref="F4"/>
    <hyperlink r:id="rId4" ref="F5"/>
    <hyperlink r:id="rId5" ref="F6"/>
    <hyperlink r:id="rId6" ref="F7"/>
    <hyperlink r:id="rId7" ref="F8"/>
    <hyperlink r:id="rId8" ref="F9"/>
    <hyperlink r:id="rId9" ref="F10"/>
    <hyperlink r:id="rId10" ref="F11"/>
    <hyperlink r:id="rId11" ref="I11"/>
    <hyperlink r:id="rId12" ref="F12"/>
  </hyperlinks>
  <printOptions/>
  <pageMargins bottom="0.75" footer="0.0" header="0.0" left="0.7" right="0.7" top="0.75"/>
  <pageSetup orientation="landscape"/>
  <drawing r:id="rId13"/>
  <legacy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21.38"/>
    <col customWidth="1" min="2" max="2" width="11.63"/>
    <col customWidth="1" min="3" max="3" width="10.38"/>
    <col customWidth="1" min="4" max="4" width="18.38"/>
    <col customWidth="1" min="5" max="5" width="27.13"/>
    <col customWidth="1" min="6" max="6" width="24.13"/>
    <col customWidth="1" min="7" max="7" width="10.38"/>
    <col customWidth="1" min="8" max="8" width="18.0"/>
    <col customWidth="1" min="9" max="9" width="71.13"/>
    <col customWidth="1" min="10" max="11" width="23.63"/>
    <col customWidth="1" min="12" max="12" width="22.88"/>
    <col customWidth="1" min="13" max="13" width="26.13"/>
    <col customWidth="1" min="14" max="14" width="23.63"/>
    <col customWidth="1" min="15" max="15" width="25.13"/>
    <col customWidth="1" min="16" max="18" width="27.75"/>
    <col customWidth="1" min="19" max="19" width="37.75"/>
    <col customWidth="1" min="20" max="20" width="22.88"/>
    <col customWidth="1" min="21" max="21" width="26.75"/>
    <col customWidth="1" min="22" max="22" width="38.13"/>
    <col customWidth="1" min="23" max="23" width="25.38"/>
    <col customWidth="1" min="24" max="24" width="33.13"/>
    <col customWidth="1" min="25" max="25" width="24.75"/>
    <col customWidth="1" min="26" max="26" width="26.5"/>
    <col customWidth="1" min="27" max="27" width="24.5"/>
    <col customWidth="1" min="28" max="28" width="24.75"/>
    <col customWidth="1" min="29" max="29" width="29.75"/>
    <col customWidth="1" min="30" max="30" width="43.88"/>
    <col customWidth="1" min="31" max="31" width="21.0"/>
    <col customWidth="1" min="32" max="32" width="43.38"/>
    <col customWidth="1" min="33" max="33" width="25.88"/>
    <col customWidth="1" min="34" max="34" width="26.13"/>
    <col customWidth="1" min="35" max="35" width="24.63"/>
    <col customWidth="1" min="36" max="36" width="24.13"/>
    <col customWidth="1" min="37" max="37" width="27.25"/>
    <col customWidth="1" min="38" max="38" width="27.38"/>
    <col customWidth="1" min="39" max="39" width="18.38"/>
    <col customWidth="1" min="40" max="40" width="24.0"/>
    <col customWidth="1" min="41" max="41" width="23.63"/>
    <col customWidth="1" min="42" max="42" width="18.5"/>
    <col customWidth="1" min="43" max="43" width="29.13"/>
    <col customWidth="1" min="44" max="44" width="28.75"/>
    <col customWidth="1" min="45" max="45" width="26.0"/>
    <col customWidth="1" min="46" max="46" width="27.88"/>
    <col customWidth="1" min="47" max="47" width="27.38"/>
    <col customWidth="1" min="48" max="48" width="26.88"/>
    <col customWidth="1" min="49" max="49" width="26.5"/>
    <col customWidth="1" min="50" max="50" width="26.13"/>
    <col customWidth="1" min="51" max="51" width="24.0"/>
    <col customWidth="1" min="52" max="52" width="24.5"/>
    <col customWidth="1" min="53" max="53" width="38.5"/>
    <col customWidth="1" min="54" max="54" width="39.13"/>
    <col customWidth="1" min="55" max="55" width="36.5"/>
    <col customWidth="1" min="56" max="56" width="29.38"/>
    <col customWidth="1" min="57" max="57" width="21.38"/>
  </cols>
  <sheetData>
    <row r="1" ht="15.75" customHeight="1">
      <c r="A1" s="221" t="s">
        <v>0</v>
      </c>
      <c r="B1" s="221" t="s">
        <v>1</v>
      </c>
      <c r="C1" s="221" t="s">
        <v>2</v>
      </c>
      <c r="D1" s="221" t="s">
        <v>3</v>
      </c>
      <c r="E1" s="221" t="s">
        <v>4</v>
      </c>
      <c r="F1" s="110" t="s">
        <v>5</v>
      </c>
      <c r="G1" s="110" t="s">
        <v>6</v>
      </c>
      <c r="H1" s="110" t="s">
        <v>7</v>
      </c>
      <c r="I1" s="194" t="s">
        <v>8</v>
      </c>
      <c r="J1" s="98" t="s">
        <v>514</v>
      </c>
      <c r="K1" s="99"/>
      <c r="L1" s="99"/>
      <c r="M1" s="99"/>
      <c r="N1" s="99"/>
      <c r="O1" s="99"/>
      <c r="P1" s="99"/>
      <c r="Q1" s="99"/>
      <c r="R1" s="99"/>
      <c r="S1" s="100"/>
      <c r="T1" s="101" t="s">
        <v>419</v>
      </c>
      <c r="U1" s="102"/>
      <c r="V1" s="102"/>
      <c r="W1" s="102"/>
      <c r="X1" s="103"/>
      <c r="Y1" s="104" t="s">
        <v>420</v>
      </c>
      <c r="Z1" s="105" t="s">
        <v>421</v>
      </c>
      <c r="AA1" s="106"/>
      <c r="AB1" s="107"/>
      <c r="AC1" s="101" t="s">
        <v>422</v>
      </c>
      <c r="AD1" s="102"/>
      <c r="AE1" s="102"/>
      <c r="AF1" s="102"/>
      <c r="AG1" s="103"/>
      <c r="AH1" s="101" t="s">
        <v>423</v>
      </c>
      <c r="AI1" s="102"/>
      <c r="AJ1" s="103"/>
      <c r="AK1" s="101" t="s">
        <v>424</v>
      </c>
      <c r="AL1" s="103"/>
      <c r="AM1" s="101" t="s">
        <v>425</v>
      </c>
      <c r="AN1" s="102"/>
      <c r="AO1" s="103"/>
      <c r="AP1" s="101" t="s">
        <v>426</v>
      </c>
      <c r="AQ1" s="102"/>
      <c r="AR1" s="103"/>
      <c r="AS1" s="101" t="s">
        <v>427</v>
      </c>
      <c r="AT1" s="102"/>
      <c r="AU1" s="103"/>
      <c r="AV1" s="101" t="s">
        <v>428</v>
      </c>
      <c r="AW1" s="102"/>
      <c r="AX1" s="103"/>
      <c r="AY1" s="101" t="s">
        <v>429</v>
      </c>
      <c r="AZ1" s="102"/>
      <c r="BA1" s="103"/>
      <c r="BB1" s="108" t="s">
        <v>430</v>
      </c>
      <c r="BC1" s="102"/>
      <c r="BD1" s="102"/>
      <c r="BE1" s="109"/>
    </row>
    <row r="2" ht="15.75" customHeight="1">
      <c r="A2" s="111"/>
      <c r="B2" s="111"/>
      <c r="C2" s="111"/>
      <c r="D2" s="111"/>
      <c r="E2" s="111"/>
      <c r="F2" s="222"/>
      <c r="G2" s="196"/>
      <c r="H2" s="196"/>
      <c r="I2" s="196"/>
      <c r="J2" s="197" t="s">
        <v>9</v>
      </c>
      <c r="K2" s="117" t="s">
        <v>548</v>
      </c>
      <c r="L2" s="117" t="s">
        <v>516</v>
      </c>
      <c r="M2" s="198" t="s">
        <v>517</v>
      </c>
      <c r="N2" s="58" t="s">
        <v>549</v>
      </c>
      <c r="O2" s="119" t="s">
        <v>550</v>
      </c>
      <c r="P2" s="120" t="s">
        <v>551</v>
      </c>
      <c r="Q2" s="121" t="s">
        <v>552</v>
      </c>
      <c r="R2" s="122" t="s">
        <v>522</v>
      </c>
      <c r="S2" s="123" t="s">
        <v>553</v>
      </c>
      <c r="T2" s="124" t="s">
        <v>554</v>
      </c>
      <c r="U2" s="122" t="s">
        <v>441</v>
      </c>
      <c r="V2" s="122" t="s">
        <v>442</v>
      </c>
      <c r="W2" s="125" t="s">
        <v>443</v>
      </c>
      <c r="X2" s="125" t="s">
        <v>444</v>
      </c>
      <c r="Y2" s="126" t="s">
        <v>445</v>
      </c>
      <c r="Z2" s="124" t="s">
        <v>446</v>
      </c>
      <c r="AA2" s="122" t="s">
        <v>447</v>
      </c>
      <c r="AB2" s="127" t="s">
        <v>448</v>
      </c>
      <c r="AC2" s="128" t="s">
        <v>449</v>
      </c>
      <c r="AD2" s="122" t="s">
        <v>450</v>
      </c>
      <c r="AE2" s="122" t="s">
        <v>451</v>
      </c>
      <c r="AF2" s="66" t="s">
        <v>452</v>
      </c>
      <c r="AG2" s="129" t="s">
        <v>453</v>
      </c>
      <c r="AH2" s="124" t="s">
        <v>454</v>
      </c>
      <c r="AI2" s="122" t="s">
        <v>455</v>
      </c>
      <c r="AJ2" s="127" t="s">
        <v>456</v>
      </c>
      <c r="AK2" s="124" t="s">
        <v>457</v>
      </c>
      <c r="AL2" s="127" t="s">
        <v>458</v>
      </c>
      <c r="AM2" s="124" t="s">
        <v>459</v>
      </c>
      <c r="AN2" s="122" t="s">
        <v>460</v>
      </c>
      <c r="AO2" s="127" t="s">
        <v>461</v>
      </c>
      <c r="AP2" s="124" t="s">
        <v>462</v>
      </c>
      <c r="AQ2" s="122" t="s">
        <v>463</v>
      </c>
      <c r="AR2" s="127" t="s">
        <v>464</v>
      </c>
      <c r="AS2" s="124" t="s">
        <v>465</v>
      </c>
      <c r="AT2" s="122" t="s">
        <v>466</v>
      </c>
      <c r="AU2" s="127" t="s">
        <v>467</v>
      </c>
      <c r="AV2" s="124" t="s">
        <v>468</v>
      </c>
      <c r="AW2" s="122" t="s">
        <v>469</v>
      </c>
      <c r="AX2" s="127" t="s">
        <v>470</v>
      </c>
      <c r="AY2" s="124" t="s">
        <v>471</v>
      </c>
      <c r="AZ2" s="122" t="s">
        <v>472</v>
      </c>
      <c r="BA2" s="127" t="s">
        <v>473</v>
      </c>
      <c r="BB2" s="131" t="s">
        <v>474</v>
      </c>
      <c r="BC2" s="223" t="s">
        <v>555</v>
      </c>
      <c r="BD2" s="133" t="s">
        <v>556</v>
      </c>
      <c r="BE2" s="134" t="s">
        <v>557</v>
      </c>
    </row>
    <row r="3" ht="19.5" customHeight="1">
      <c r="A3" s="10" t="s">
        <v>170</v>
      </c>
      <c r="B3" s="50" t="s">
        <v>227</v>
      </c>
      <c r="C3" s="50" t="s">
        <v>558</v>
      </c>
      <c r="D3" s="50" t="s">
        <v>212</v>
      </c>
      <c r="E3" s="50" t="s">
        <v>536</v>
      </c>
      <c r="F3" s="208" t="s">
        <v>559</v>
      </c>
      <c r="G3" s="199"/>
      <c r="H3" s="199" t="s">
        <v>231</v>
      </c>
      <c r="I3" s="224" t="s">
        <v>560</v>
      </c>
      <c r="J3" s="139" t="s">
        <v>561</v>
      </c>
      <c r="K3" s="15">
        <v>10000.0</v>
      </c>
      <c r="L3" s="15">
        <v>4.0</v>
      </c>
      <c r="M3" s="15">
        <v>35000.0</v>
      </c>
      <c r="N3" s="15"/>
      <c r="O3" s="15"/>
      <c r="P3" s="15">
        <f t="shared" ref="P3:P6" si="1">if(S3&lt;500,0,S3/L3)</f>
        <v>8750</v>
      </c>
      <c r="Q3" s="15">
        <f t="shared" ref="Q3:Q6" si="2">S3*0.04</f>
        <v>1400</v>
      </c>
      <c r="R3" s="15">
        <v>1.0</v>
      </c>
      <c r="S3" s="136">
        <f t="shared" ref="S3:S6" si="3">(M3*R3)+(O3*K3*12*L3)+(N3*K3)</f>
        <v>35000</v>
      </c>
      <c r="T3" s="139">
        <v>0.0</v>
      </c>
      <c r="U3" s="138">
        <v>0.6</v>
      </c>
      <c r="V3" s="138">
        <v>20.0</v>
      </c>
      <c r="W3" s="15">
        <f t="shared" ref="W3:W6" si="4">U3*V3*K3*365</f>
        <v>43800000</v>
      </c>
      <c r="X3" s="136">
        <f t="shared" ref="X3:X6" si="5">W3*(1+T3%)</f>
        <v>43800000</v>
      </c>
      <c r="Y3" s="140">
        <f t="shared" ref="Y3:Y6" si="6">X3-W3</f>
        <v>0</v>
      </c>
      <c r="Z3" s="209">
        <v>0.0</v>
      </c>
      <c r="AA3" s="142">
        <v>18000.0</v>
      </c>
      <c r="AB3" s="143">
        <f t="shared" ref="AB3:AB6" si="7">AA3-(AA3*(1-Z3%))</f>
        <v>0</v>
      </c>
      <c r="AC3" s="141">
        <v>0.0</v>
      </c>
      <c r="AD3" s="15">
        <v>45000.0</v>
      </c>
      <c r="AE3" s="15">
        <v>0.2</v>
      </c>
      <c r="AF3" s="15">
        <f t="shared" ref="AF3:AF6" si="8">AD3*AE3</f>
        <v>9000</v>
      </c>
      <c r="AG3" s="136">
        <f t="shared" ref="AG3:AG6" si="9">AF3-(AF3*(1-AC3%))</f>
        <v>0</v>
      </c>
      <c r="AH3" s="141">
        <v>0.0</v>
      </c>
      <c r="AI3" s="15">
        <v>3000.0</v>
      </c>
      <c r="AJ3" s="136">
        <f t="shared" ref="AJ3:AJ6" si="10">AI3-(AI3*(1-AH3%))</f>
        <v>0</v>
      </c>
      <c r="AK3" s="141">
        <v>0.0</v>
      </c>
      <c r="AL3" s="136">
        <f t="shared" ref="AL3:AL6" si="11">AK3*K3</f>
        <v>0</v>
      </c>
      <c r="AM3" s="141">
        <v>0.0</v>
      </c>
      <c r="AN3" s="15">
        <v>25000.0</v>
      </c>
      <c r="AO3" s="136">
        <f t="shared" ref="AO3:AO6" si="12">AN3-(AN3*(1-AM3%))</f>
        <v>0</v>
      </c>
      <c r="AP3" s="141">
        <v>0.0</v>
      </c>
      <c r="AQ3" s="15">
        <v>5000.0</v>
      </c>
      <c r="AR3" s="136">
        <f t="shared" ref="AR3:AR6" si="13">AQ3-(AQ3*(1-AP3%))</f>
        <v>0</v>
      </c>
      <c r="AS3" s="141">
        <v>0.0</v>
      </c>
      <c r="AT3" s="15">
        <v>4000.0</v>
      </c>
      <c r="AU3" s="136">
        <f t="shared" ref="AU3:AU6" si="14">AT3-(AT3*(1-AS3%))</f>
        <v>0</v>
      </c>
      <c r="AV3" s="141">
        <v>0.0</v>
      </c>
      <c r="AW3" s="15">
        <v>1000.0</v>
      </c>
      <c r="AX3" s="136">
        <f t="shared" ref="AX3:AX6" si="15">AW3-(AW3*(1-AV3%))</f>
        <v>0</v>
      </c>
      <c r="AY3" s="139">
        <v>10.0</v>
      </c>
      <c r="AZ3" s="15">
        <v>30000.0</v>
      </c>
      <c r="BA3" s="136">
        <f t="shared" ref="BA3:BA6" si="16">AZ3-(AZ3*(1-AY3%))</f>
        <v>3000</v>
      </c>
      <c r="BB3" s="139">
        <f t="shared" ref="BB3:BB6" si="17">(Y3+AB3+AG3+AJ3+AL3+AO3+AR3+AU3+AX3+BA3)-Q3-P3</f>
        <v>-7150</v>
      </c>
      <c r="BC3" s="225">
        <f t="shared" ref="BC3:BC6" si="18">if(S3&gt;0,BB3/S3,"The DAT is free")</f>
        <v>-0.2042857143</v>
      </c>
      <c r="BD3" s="136" t="str">
        <f t="shared" ref="BD3:BD6" si="19">IF(BB3&gt;0,S3/BB3,"Payback period not applicable: the investment does not recover its cost under current conditions.")</f>
        <v>Payback period not applicable: the investment does not recover its cost under current conditions.</v>
      </c>
      <c r="BE3" s="27" t="str">
        <f t="shared" ref="BE3:BE6" si="20">IF(BD3&lt;6, "YES", "NO")</f>
        <v>NO</v>
      </c>
    </row>
    <row r="4" ht="17.25" customHeight="1">
      <c r="A4" s="39"/>
      <c r="B4" s="61" t="s">
        <v>171</v>
      </c>
      <c r="C4" s="40" t="s">
        <v>235</v>
      </c>
      <c r="D4" s="40" t="s">
        <v>236</v>
      </c>
      <c r="E4" s="40" t="s">
        <v>237</v>
      </c>
      <c r="F4" s="166" t="s">
        <v>507</v>
      </c>
      <c r="G4" s="43"/>
      <c r="H4" s="226" t="s">
        <v>231</v>
      </c>
      <c r="I4" s="167" t="s">
        <v>239</v>
      </c>
      <c r="J4" s="169" t="s">
        <v>321</v>
      </c>
      <c r="K4" s="43">
        <v>10000.0</v>
      </c>
      <c r="L4" s="43">
        <v>4.0</v>
      </c>
      <c r="M4" s="43">
        <v>75000.0</v>
      </c>
      <c r="N4" s="43"/>
      <c r="O4" s="43"/>
      <c r="P4" s="15">
        <f t="shared" si="1"/>
        <v>18750</v>
      </c>
      <c r="Q4" s="15">
        <f t="shared" si="2"/>
        <v>3000</v>
      </c>
      <c r="R4" s="43">
        <v>1.0</v>
      </c>
      <c r="S4" s="136">
        <f t="shared" si="3"/>
        <v>75000</v>
      </c>
      <c r="T4" s="169">
        <v>0.0</v>
      </c>
      <c r="U4" s="138">
        <v>0.6</v>
      </c>
      <c r="V4" s="138">
        <v>20.0</v>
      </c>
      <c r="W4" s="43">
        <f t="shared" si="4"/>
        <v>43800000</v>
      </c>
      <c r="X4" s="167">
        <f t="shared" si="5"/>
        <v>43800000</v>
      </c>
      <c r="Y4" s="170">
        <f t="shared" si="6"/>
        <v>0</v>
      </c>
      <c r="Z4" s="206">
        <v>0.0</v>
      </c>
      <c r="AA4" s="181">
        <v>18000.0</v>
      </c>
      <c r="AB4" s="171">
        <f t="shared" si="7"/>
        <v>0</v>
      </c>
      <c r="AC4" s="172">
        <v>0.0</v>
      </c>
      <c r="AD4" s="43">
        <v>45000.0</v>
      </c>
      <c r="AE4" s="43">
        <v>0.2</v>
      </c>
      <c r="AF4" s="43">
        <f t="shared" si="8"/>
        <v>9000</v>
      </c>
      <c r="AG4" s="167">
        <f t="shared" si="9"/>
        <v>0</v>
      </c>
      <c r="AH4" s="172">
        <v>0.0</v>
      </c>
      <c r="AI4" s="43">
        <v>3000.0</v>
      </c>
      <c r="AJ4" s="167">
        <f t="shared" si="10"/>
        <v>0</v>
      </c>
      <c r="AK4" s="172">
        <v>0.0</v>
      </c>
      <c r="AL4" s="167">
        <f t="shared" si="11"/>
        <v>0</v>
      </c>
      <c r="AM4" s="172">
        <v>0.0</v>
      </c>
      <c r="AN4" s="43">
        <v>25000.0</v>
      </c>
      <c r="AO4" s="167">
        <f t="shared" si="12"/>
        <v>0</v>
      </c>
      <c r="AP4" s="172">
        <v>0.0</v>
      </c>
      <c r="AQ4" s="43">
        <v>5000.0</v>
      </c>
      <c r="AR4" s="167">
        <f t="shared" si="13"/>
        <v>0</v>
      </c>
      <c r="AS4" s="172">
        <v>0.0</v>
      </c>
      <c r="AT4" s="43">
        <v>4000.0</v>
      </c>
      <c r="AU4" s="167">
        <f t="shared" si="14"/>
        <v>0</v>
      </c>
      <c r="AV4" s="172">
        <v>0.0</v>
      </c>
      <c r="AW4" s="43">
        <v>1000.0</v>
      </c>
      <c r="AX4" s="167">
        <f t="shared" si="15"/>
        <v>0</v>
      </c>
      <c r="AY4" s="172">
        <v>0.0</v>
      </c>
      <c r="AZ4" s="43">
        <v>30000.0</v>
      </c>
      <c r="BA4" s="167">
        <f t="shared" si="16"/>
        <v>0</v>
      </c>
      <c r="BB4" s="139">
        <f t="shared" si="17"/>
        <v>-21750</v>
      </c>
      <c r="BC4" s="225">
        <f t="shared" si="18"/>
        <v>-0.29</v>
      </c>
      <c r="BD4" s="136" t="str">
        <f t="shared" si="19"/>
        <v>Payback period not applicable: the investment does not recover its cost under current conditions.</v>
      </c>
      <c r="BE4" s="27" t="str">
        <f t="shared" si="20"/>
        <v>NO</v>
      </c>
    </row>
    <row r="5" ht="15.75" customHeight="1">
      <c r="A5" s="10" t="s">
        <v>323</v>
      </c>
      <c r="B5" s="12" t="s">
        <v>395</v>
      </c>
      <c r="C5" s="12" t="s">
        <v>396</v>
      </c>
      <c r="D5" s="12" t="s">
        <v>397</v>
      </c>
      <c r="E5" s="12" t="s">
        <v>398</v>
      </c>
      <c r="F5" s="227" t="s">
        <v>562</v>
      </c>
      <c r="G5" s="15"/>
      <c r="H5" s="15" t="s">
        <v>400</v>
      </c>
      <c r="I5" s="113" t="s">
        <v>401</v>
      </c>
      <c r="J5" s="228">
        <v>14500.0</v>
      </c>
      <c r="K5" s="27">
        <v>10000.0</v>
      </c>
      <c r="L5" s="27">
        <v>4.0</v>
      </c>
      <c r="M5" s="27">
        <v>14500.0</v>
      </c>
      <c r="N5" s="27"/>
      <c r="O5" s="27"/>
      <c r="P5" s="15">
        <f t="shared" si="1"/>
        <v>3625</v>
      </c>
      <c r="Q5" s="15">
        <f t="shared" si="2"/>
        <v>580</v>
      </c>
      <c r="R5" s="27">
        <v>1.0</v>
      </c>
      <c r="S5" s="136">
        <f t="shared" si="3"/>
        <v>14500</v>
      </c>
      <c r="T5" s="152">
        <v>0.0</v>
      </c>
      <c r="U5" s="138">
        <v>0.6</v>
      </c>
      <c r="V5" s="138">
        <v>20.0</v>
      </c>
      <c r="W5" s="27">
        <f t="shared" si="4"/>
        <v>43800000</v>
      </c>
      <c r="X5" s="150">
        <f t="shared" si="5"/>
        <v>43800000</v>
      </c>
      <c r="Y5" s="153">
        <f t="shared" si="6"/>
        <v>0</v>
      </c>
      <c r="Z5" s="229">
        <v>50.0</v>
      </c>
      <c r="AA5" s="155">
        <v>18000.0</v>
      </c>
      <c r="AB5" s="156">
        <f t="shared" si="7"/>
        <v>9000</v>
      </c>
      <c r="AC5" s="154">
        <v>0.0</v>
      </c>
      <c r="AD5" s="27">
        <v>45000.0</v>
      </c>
      <c r="AE5" s="27">
        <v>0.2</v>
      </c>
      <c r="AF5" s="27">
        <f t="shared" si="8"/>
        <v>9000</v>
      </c>
      <c r="AG5" s="150">
        <f t="shared" si="9"/>
        <v>0</v>
      </c>
      <c r="AH5" s="154">
        <v>0.0</v>
      </c>
      <c r="AI5" s="27">
        <v>3000.0</v>
      </c>
      <c r="AJ5" s="150">
        <f t="shared" si="10"/>
        <v>0</v>
      </c>
      <c r="AK5" s="154">
        <v>0.0</v>
      </c>
      <c r="AL5" s="150">
        <f t="shared" si="11"/>
        <v>0</v>
      </c>
      <c r="AM5" s="154">
        <v>0.0</v>
      </c>
      <c r="AN5" s="27">
        <v>25000.0</v>
      </c>
      <c r="AO5" s="150">
        <f t="shared" si="12"/>
        <v>0</v>
      </c>
      <c r="AP5" s="154">
        <v>0.0</v>
      </c>
      <c r="AQ5" s="27">
        <v>5000.0</v>
      </c>
      <c r="AR5" s="150">
        <f t="shared" si="13"/>
        <v>0</v>
      </c>
      <c r="AS5" s="154">
        <v>0.0</v>
      </c>
      <c r="AT5" s="27">
        <v>4000.0</v>
      </c>
      <c r="AU5" s="150">
        <f t="shared" si="14"/>
        <v>0</v>
      </c>
      <c r="AV5" s="154">
        <v>0.0</v>
      </c>
      <c r="AW5" s="27">
        <v>1000.0</v>
      </c>
      <c r="AX5" s="150">
        <f t="shared" si="15"/>
        <v>0</v>
      </c>
      <c r="AY5" s="154">
        <v>0.0</v>
      </c>
      <c r="AZ5" s="27">
        <v>30000.0</v>
      </c>
      <c r="BA5" s="150">
        <f t="shared" si="16"/>
        <v>0</v>
      </c>
      <c r="BB5" s="139">
        <f t="shared" si="17"/>
        <v>4795</v>
      </c>
      <c r="BC5" s="225">
        <f t="shared" si="18"/>
        <v>0.3306896552</v>
      </c>
      <c r="BD5" s="136">
        <f t="shared" si="19"/>
        <v>3.023983316</v>
      </c>
      <c r="BE5" s="27" t="str">
        <f t="shared" si="20"/>
        <v>YES</v>
      </c>
    </row>
    <row r="6" ht="22.5" customHeight="1">
      <c r="A6" s="39"/>
      <c r="B6" s="40" t="s">
        <v>361</v>
      </c>
      <c r="C6" s="40" t="s">
        <v>362</v>
      </c>
      <c r="D6" s="40" t="s">
        <v>363</v>
      </c>
      <c r="E6" s="40" t="s">
        <v>364</v>
      </c>
      <c r="F6" s="166" t="s">
        <v>542</v>
      </c>
      <c r="G6" s="43"/>
      <c r="H6" s="43" t="s">
        <v>366</v>
      </c>
      <c r="I6" s="205" t="s">
        <v>563</v>
      </c>
      <c r="J6" s="169" t="s">
        <v>368</v>
      </c>
      <c r="K6" s="43">
        <v>10000.0</v>
      </c>
      <c r="L6" s="43">
        <v>4.0</v>
      </c>
      <c r="M6" s="43">
        <v>125.0</v>
      </c>
      <c r="N6" s="43"/>
      <c r="O6" s="43"/>
      <c r="P6" s="15">
        <f t="shared" si="1"/>
        <v>0</v>
      </c>
      <c r="Q6" s="15">
        <f t="shared" si="2"/>
        <v>5</v>
      </c>
      <c r="R6" s="43">
        <v>1.0</v>
      </c>
      <c r="S6" s="136">
        <f t="shared" si="3"/>
        <v>125</v>
      </c>
      <c r="T6" s="169">
        <v>0.0</v>
      </c>
      <c r="U6" s="138">
        <v>0.6</v>
      </c>
      <c r="V6" s="138">
        <v>20.0</v>
      </c>
      <c r="W6" s="43">
        <f t="shared" si="4"/>
        <v>43800000</v>
      </c>
      <c r="X6" s="167">
        <f t="shared" si="5"/>
        <v>43800000</v>
      </c>
      <c r="Y6" s="170">
        <f t="shared" si="6"/>
        <v>0</v>
      </c>
      <c r="Z6" s="206">
        <v>0.0</v>
      </c>
      <c r="AA6" s="181">
        <v>18000.0</v>
      </c>
      <c r="AB6" s="171">
        <f t="shared" si="7"/>
        <v>0</v>
      </c>
      <c r="AC6" s="172">
        <v>0.0</v>
      </c>
      <c r="AD6" s="43">
        <v>45000.0</v>
      </c>
      <c r="AE6" s="43">
        <v>0.2</v>
      </c>
      <c r="AF6" s="43">
        <f t="shared" si="8"/>
        <v>9000</v>
      </c>
      <c r="AG6" s="167">
        <f t="shared" si="9"/>
        <v>0</v>
      </c>
      <c r="AH6" s="172">
        <v>0.0</v>
      </c>
      <c r="AI6" s="43">
        <v>3000.0</v>
      </c>
      <c r="AJ6" s="167">
        <f t="shared" si="10"/>
        <v>0</v>
      </c>
      <c r="AK6" s="172">
        <v>0.0</v>
      </c>
      <c r="AL6" s="167">
        <f t="shared" si="11"/>
        <v>0</v>
      </c>
      <c r="AM6" s="172">
        <v>0.0</v>
      </c>
      <c r="AN6" s="43">
        <v>25000.0</v>
      </c>
      <c r="AO6" s="167">
        <f t="shared" si="12"/>
        <v>0</v>
      </c>
      <c r="AP6" s="172">
        <v>0.0</v>
      </c>
      <c r="AQ6" s="43">
        <v>5000.0</v>
      </c>
      <c r="AR6" s="167">
        <f t="shared" si="13"/>
        <v>0</v>
      </c>
      <c r="AS6" s="172">
        <v>0.0</v>
      </c>
      <c r="AT6" s="43">
        <v>4000.0</v>
      </c>
      <c r="AU6" s="167">
        <f t="shared" si="14"/>
        <v>0</v>
      </c>
      <c r="AV6" s="172">
        <v>0.0</v>
      </c>
      <c r="AW6" s="43">
        <v>1000.0</v>
      </c>
      <c r="AX6" s="167">
        <f t="shared" si="15"/>
        <v>0</v>
      </c>
      <c r="AY6" s="172">
        <v>0.0</v>
      </c>
      <c r="AZ6" s="43">
        <v>30000.0</v>
      </c>
      <c r="BA6" s="167">
        <f t="shared" si="16"/>
        <v>0</v>
      </c>
      <c r="BB6" s="139">
        <f t="shared" si="17"/>
        <v>-5</v>
      </c>
      <c r="BC6" s="225">
        <f t="shared" si="18"/>
        <v>-0.04</v>
      </c>
      <c r="BD6" s="136" t="str">
        <f t="shared" si="19"/>
        <v>Payback period not applicable: the investment does not recover its cost under current conditions.</v>
      </c>
      <c r="BE6" s="27" t="str">
        <f t="shared" si="20"/>
        <v>NO</v>
      </c>
    </row>
    <row r="7" ht="15.75" customHeight="1">
      <c r="A7" s="111"/>
      <c r="B7" s="23"/>
      <c r="C7" s="24"/>
      <c r="D7" s="24"/>
      <c r="E7" s="27"/>
      <c r="F7" s="27"/>
      <c r="G7" s="27"/>
      <c r="H7" s="27"/>
      <c r="I7" s="58"/>
      <c r="J7" s="27"/>
      <c r="K7" s="27"/>
      <c r="L7" s="27"/>
      <c r="M7" s="27"/>
      <c r="N7" s="27"/>
      <c r="O7" s="27"/>
      <c r="P7" s="27"/>
      <c r="Q7" s="27"/>
      <c r="R7" s="27"/>
      <c r="S7" s="27"/>
      <c r="T7" s="183" t="s">
        <v>547</v>
      </c>
      <c r="U7" s="184"/>
      <c r="V7" s="184"/>
      <c r="W7" s="184"/>
      <c r="X7" s="184"/>
      <c r="Y7" s="185"/>
      <c r="Z7" s="27"/>
      <c r="AA7" s="27"/>
      <c r="AB7" s="27"/>
      <c r="AC7" s="230" t="s">
        <v>564</v>
      </c>
      <c r="AD7" s="231"/>
      <c r="AE7" s="231"/>
      <c r="AF7" s="231"/>
      <c r="AG7" s="232"/>
      <c r="AH7" s="230" t="s">
        <v>564</v>
      </c>
      <c r="AI7" s="231"/>
      <c r="AJ7" s="232"/>
      <c r="AK7" s="230" t="s">
        <v>564</v>
      </c>
      <c r="AL7" s="232"/>
      <c r="AM7" s="230" t="s">
        <v>564</v>
      </c>
      <c r="AN7" s="231"/>
      <c r="AO7" s="232"/>
      <c r="AP7" s="230" t="s">
        <v>564</v>
      </c>
      <c r="AQ7" s="231"/>
      <c r="AR7" s="232"/>
      <c r="AS7" s="230" t="s">
        <v>564</v>
      </c>
      <c r="AT7" s="231"/>
      <c r="AU7" s="232"/>
      <c r="AV7" s="230" t="s">
        <v>564</v>
      </c>
      <c r="AW7" s="231"/>
      <c r="AX7" s="232"/>
      <c r="AY7" s="27"/>
      <c r="AZ7" s="27"/>
      <c r="BA7" s="27"/>
      <c r="BB7" s="27"/>
      <c r="BC7" s="233"/>
      <c r="BD7" s="27"/>
      <c r="BE7" s="27"/>
    </row>
    <row r="8" ht="15.75" customHeight="1">
      <c r="A8" s="24"/>
      <c r="B8" s="24"/>
      <c r="C8" s="24"/>
      <c r="D8" s="24"/>
      <c r="E8" s="24"/>
      <c r="F8" s="27"/>
      <c r="G8" s="27"/>
      <c r="H8" s="27"/>
      <c r="I8" s="58"/>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33"/>
      <c r="BD8" s="27"/>
      <c r="BE8" s="27"/>
    </row>
    <row r="9" ht="15.75" customHeight="1">
      <c r="A9" s="24"/>
      <c r="B9" s="24"/>
      <c r="C9" s="24"/>
      <c r="D9" s="24"/>
      <c r="E9" s="24"/>
      <c r="F9" s="27"/>
      <c r="G9" s="27"/>
      <c r="H9" s="27"/>
      <c r="I9" s="58"/>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33"/>
      <c r="BD9" s="27"/>
      <c r="BE9" s="27"/>
    </row>
    <row r="10" ht="15.75" customHeight="1">
      <c r="BC10" s="234"/>
    </row>
    <row r="11" ht="15.75" customHeight="1">
      <c r="BC11" s="234"/>
    </row>
    <row r="12" ht="15.75" customHeight="1">
      <c r="BC12" s="234"/>
    </row>
    <row r="13" ht="15.75" customHeight="1">
      <c r="BC13" s="234"/>
    </row>
    <row r="14" ht="15.75" customHeight="1">
      <c r="BC14" s="234"/>
    </row>
    <row r="15" ht="15.75" customHeight="1">
      <c r="BC15" s="234"/>
    </row>
    <row r="16" ht="15.75" customHeight="1">
      <c r="BC16" s="234"/>
    </row>
    <row r="17" ht="15.75" customHeight="1">
      <c r="BC17" s="234"/>
    </row>
    <row r="18" ht="15.75" customHeight="1">
      <c r="BC18" s="234"/>
    </row>
    <row r="19" ht="15.75" customHeight="1">
      <c r="BC19" s="234"/>
    </row>
    <row r="20" ht="15.75" customHeight="1">
      <c r="BC20" s="234"/>
    </row>
    <row r="21" ht="15.75" customHeight="1">
      <c r="BC21" s="234"/>
    </row>
    <row r="22" ht="15.75" customHeight="1">
      <c r="BC22" s="234"/>
    </row>
    <row r="23" ht="15.75" customHeight="1">
      <c r="BC23" s="234"/>
    </row>
    <row r="24" ht="15.75" customHeight="1">
      <c r="BC24" s="234"/>
    </row>
    <row r="25" ht="15.75" customHeight="1">
      <c r="BC25" s="234"/>
    </row>
    <row r="26" ht="15.75" customHeight="1">
      <c r="BC26" s="234"/>
    </row>
    <row r="27" ht="15.75" customHeight="1">
      <c r="BC27" s="234"/>
    </row>
    <row r="28" ht="15.75" customHeight="1">
      <c r="BC28" s="234"/>
    </row>
    <row r="29" ht="15.75" customHeight="1">
      <c r="BC29" s="234"/>
    </row>
    <row r="30" ht="15.75" customHeight="1">
      <c r="BC30" s="234"/>
    </row>
    <row r="31" ht="15.75" customHeight="1">
      <c r="BC31" s="234"/>
    </row>
    <row r="32" ht="15.75" customHeight="1">
      <c r="BC32" s="234"/>
    </row>
    <row r="33" ht="15.75" customHeight="1">
      <c r="BC33" s="234"/>
    </row>
    <row r="34" ht="15.75" customHeight="1">
      <c r="BC34" s="234"/>
    </row>
    <row r="35" ht="15.75" customHeight="1">
      <c r="BC35" s="234"/>
    </row>
    <row r="36" ht="15.75" customHeight="1">
      <c r="BC36" s="234"/>
    </row>
    <row r="37" ht="15.75" customHeight="1">
      <c r="BC37" s="234"/>
    </row>
    <row r="38" ht="15.75" customHeight="1">
      <c r="BC38" s="234"/>
    </row>
    <row r="39" ht="15.75" customHeight="1">
      <c r="BC39" s="234"/>
    </row>
    <row r="40" ht="15.75" customHeight="1">
      <c r="BC40" s="234"/>
    </row>
    <row r="41" ht="15.75" customHeight="1">
      <c r="BC41" s="234"/>
    </row>
    <row r="42" ht="15.75" customHeight="1">
      <c r="BC42" s="234"/>
    </row>
    <row r="43" ht="15.75" customHeight="1">
      <c r="BC43" s="234"/>
    </row>
    <row r="44" ht="15.75" customHeight="1">
      <c r="BC44" s="234"/>
    </row>
    <row r="45" ht="15.75" customHeight="1">
      <c r="BC45" s="234"/>
    </row>
    <row r="46" ht="15.75" customHeight="1">
      <c r="BC46" s="234"/>
    </row>
    <row r="47" ht="15.75" customHeight="1">
      <c r="BC47" s="234"/>
    </row>
    <row r="48" ht="15.75" customHeight="1">
      <c r="BC48" s="234"/>
    </row>
    <row r="49" ht="15.75" customHeight="1">
      <c r="BC49" s="234"/>
    </row>
    <row r="50" ht="15.75" customHeight="1">
      <c r="BC50" s="234"/>
    </row>
    <row r="51" ht="15.75" customHeight="1">
      <c r="BC51" s="234"/>
    </row>
    <row r="52" ht="15.75" customHeight="1">
      <c r="BC52" s="234"/>
    </row>
    <row r="53" ht="15.75" customHeight="1">
      <c r="BC53" s="234"/>
    </row>
    <row r="54" ht="15.75" customHeight="1">
      <c r="BC54" s="234"/>
    </row>
    <row r="55" ht="15.75" customHeight="1">
      <c r="BC55" s="234"/>
    </row>
    <row r="56" ht="15.75" customHeight="1">
      <c r="BC56" s="234"/>
    </row>
    <row r="57" ht="15.75" customHeight="1">
      <c r="BC57" s="234"/>
    </row>
    <row r="58" ht="15.75" customHeight="1">
      <c r="BC58" s="234"/>
    </row>
    <row r="59" ht="15.75" customHeight="1">
      <c r="BC59" s="234"/>
    </row>
    <row r="60" ht="15.75" customHeight="1">
      <c r="BC60" s="234"/>
    </row>
    <row r="61" ht="15.75" customHeight="1">
      <c r="BC61" s="234"/>
    </row>
    <row r="62" ht="15.75" customHeight="1">
      <c r="BC62" s="234"/>
    </row>
    <row r="63" ht="15.75" customHeight="1">
      <c r="BC63" s="234"/>
    </row>
    <row r="64" ht="15.75" customHeight="1">
      <c r="BC64" s="234"/>
    </row>
    <row r="65" ht="15.75" customHeight="1">
      <c r="BC65" s="234"/>
    </row>
    <row r="66" ht="15.75" customHeight="1">
      <c r="BC66" s="234"/>
    </row>
    <row r="67" ht="15.75" customHeight="1">
      <c r="BC67" s="234"/>
    </row>
    <row r="68" ht="15.75" customHeight="1">
      <c r="BC68" s="234"/>
    </row>
    <row r="69" ht="15.75" customHeight="1">
      <c r="BC69" s="234"/>
    </row>
    <row r="70" ht="15.75" customHeight="1">
      <c r="BC70" s="234"/>
    </row>
    <row r="71" ht="15.75" customHeight="1">
      <c r="BC71" s="234"/>
    </row>
    <row r="72" ht="15.75" customHeight="1">
      <c r="BC72" s="234"/>
    </row>
    <row r="73" ht="15.75" customHeight="1">
      <c r="BC73" s="234"/>
    </row>
    <row r="74" ht="15.75" customHeight="1">
      <c r="BC74" s="234"/>
    </row>
    <row r="75" ht="15.75" customHeight="1">
      <c r="BC75" s="234"/>
    </row>
    <row r="76" ht="15.75" customHeight="1">
      <c r="BC76" s="234"/>
    </row>
    <row r="77" ht="15.75" customHeight="1">
      <c r="BC77" s="234"/>
    </row>
    <row r="78" ht="15.75" customHeight="1">
      <c r="BC78" s="234"/>
    </row>
    <row r="79" ht="15.75" customHeight="1">
      <c r="BC79" s="234"/>
    </row>
    <row r="80" ht="15.75" customHeight="1">
      <c r="BC80" s="234"/>
    </row>
    <row r="81" ht="15.75" customHeight="1">
      <c r="BC81" s="234"/>
    </row>
    <row r="82" ht="15.75" customHeight="1">
      <c r="BC82" s="234"/>
    </row>
    <row r="83" ht="15.75" customHeight="1">
      <c r="BC83" s="234"/>
    </row>
    <row r="84" ht="15.75" customHeight="1">
      <c r="BC84" s="234"/>
    </row>
    <row r="85" ht="15.75" customHeight="1">
      <c r="BC85" s="234"/>
    </row>
    <row r="86" ht="15.75" customHeight="1">
      <c r="BC86" s="234"/>
    </row>
    <row r="87" ht="15.75" customHeight="1">
      <c r="BC87" s="234"/>
    </row>
    <row r="88" ht="15.75" customHeight="1">
      <c r="BC88" s="234"/>
    </row>
    <row r="89" ht="15.75" customHeight="1">
      <c r="BC89" s="234"/>
    </row>
    <row r="90" ht="15.75" customHeight="1">
      <c r="BC90" s="234"/>
    </row>
    <row r="91" ht="15.75" customHeight="1">
      <c r="BC91" s="234"/>
    </row>
    <row r="92" ht="15.75" customHeight="1">
      <c r="BC92" s="234"/>
    </row>
    <row r="93" ht="15.75" customHeight="1">
      <c r="BC93" s="234"/>
    </row>
    <row r="94" ht="15.75" customHeight="1">
      <c r="BC94" s="234"/>
    </row>
    <row r="95" ht="15.75" customHeight="1">
      <c r="BC95" s="234"/>
    </row>
    <row r="96" ht="15.75" customHeight="1">
      <c r="BC96" s="234"/>
    </row>
    <row r="97" ht="15.75" customHeight="1">
      <c r="BC97" s="234"/>
    </row>
    <row r="98" ht="15.75" customHeight="1">
      <c r="BC98" s="234"/>
    </row>
    <row r="99" ht="15.75" customHeight="1">
      <c r="BC99" s="234"/>
    </row>
    <row r="100" ht="15.75" customHeight="1">
      <c r="BC100" s="234"/>
    </row>
    <row r="101" ht="15.75" customHeight="1">
      <c r="BC101" s="234"/>
    </row>
    <row r="102" ht="15.75" customHeight="1">
      <c r="BC102" s="234"/>
    </row>
    <row r="103" ht="15.75" customHeight="1">
      <c r="BC103" s="234"/>
    </row>
    <row r="104" ht="15.75" customHeight="1">
      <c r="BC104" s="234"/>
    </row>
    <row r="105" ht="15.75" customHeight="1">
      <c r="BC105" s="234"/>
    </row>
    <row r="106" ht="15.75" customHeight="1">
      <c r="BC106" s="234"/>
    </row>
    <row r="107" ht="15.75" customHeight="1">
      <c r="BC107" s="234"/>
    </row>
    <row r="108" ht="15.75" customHeight="1">
      <c r="BC108" s="234"/>
    </row>
    <row r="109" ht="15.75" customHeight="1">
      <c r="BC109" s="234"/>
    </row>
    <row r="110" ht="15.75" customHeight="1">
      <c r="BC110" s="234"/>
    </row>
    <row r="111" ht="15.75" customHeight="1">
      <c r="BC111" s="234"/>
    </row>
    <row r="112" ht="15.75" customHeight="1">
      <c r="BC112" s="234"/>
    </row>
    <row r="113" ht="15.75" customHeight="1">
      <c r="BC113" s="234"/>
    </row>
    <row r="114" ht="15.75" customHeight="1">
      <c r="BC114" s="234"/>
    </row>
    <row r="115" ht="15.75" customHeight="1">
      <c r="BC115" s="234"/>
    </row>
    <row r="116" ht="15.75" customHeight="1">
      <c r="BC116" s="234"/>
    </row>
    <row r="117" ht="15.75" customHeight="1">
      <c r="BC117" s="234"/>
    </row>
    <row r="118" ht="15.75" customHeight="1">
      <c r="BC118" s="234"/>
    </row>
    <row r="119" ht="15.75" customHeight="1">
      <c r="BC119" s="234"/>
    </row>
    <row r="120" ht="15.75" customHeight="1">
      <c r="BC120" s="234"/>
    </row>
    <row r="121" ht="15.75" customHeight="1">
      <c r="BC121" s="234"/>
    </row>
    <row r="122" ht="15.75" customHeight="1">
      <c r="BC122" s="234"/>
    </row>
    <row r="123" ht="15.75" customHeight="1">
      <c r="BC123" s="234"/>
    </row>
    <row r="124" ht="15.75" customHeight="1">
      <c r="BC124" s="234"/>
    </row>
    <row r="125" ht="15.75" customHeight="1">
      <c r="BC125" s="234"/>
    </row>
    <row r="126" ht="15.75" customHeight="1">
      <c r="BC126" s="234"/>
    </row>
    <row r="127" ht="15.75" customHeight="1">
      <c r="BC127" s="234"/>
    </row>
    <row r="128" ht="15.75" customHeight="1">
      <c r="BC128" s="234"/>
    </row>
    <row r="129" ht="15.75" customHeight="1">
      <c r="BC129" s="234"/>
    </row>
    <row r="130" ht="15.75" customHeight="1">
      <c r="BC130" s="234"/>
    </row>
    <row r="131" ht="15.75" customHeight="1">
      <c r="BC131" s="234"/>
    </row>
    <row r="132" ht="15.75" customHeight="1">
      <c r="BC132" s="234"/>
    </row>
    <row r="133" ht="15.75" customHeight="1">
      <c r="BC133" s="234"/>
    </row>
    <row r="134" ht="15.75" customHeight="1">
      <c r="BC134" s="234"/>
    </row>
    <row r="135" ht="15.75" customHeight="1">
      <c r="BC135" s="234"/>
    </row>
    <row r="136" ht="15.75" customHeight="1">
      <c r="BC136" s="234"/>
    </row>
    <row r="137" ht="15.75" customHeight="1">
      <c r="BC137" s="234"/>
    </row>
    <row r="138" ht="15.75" customHeight="1">
      <c r="BC138" s="234"/>
    </row>
    <row r="139" ht="15.75" customHeight="1">
      <c r="BC139" s="234"/>
    </row>
    <row r="140" ht="15.75" customHeight="1">
      <c r="BC140" s="234"/>
    </row>
    <row r="141" ht="15.75" customHeight="1">
      <c r="BC141" s="234"/>
    </row>
    <row r="142" ht="15.75" customHeight="1">
      <c r="BC142" s="234"/>
    </row>
    <row r="143" ht="15.75" customHeight="1">
      <c r="BC143" s="234"/>
    </row>
    <row r="144" ht="15.75" customHeight="1">
      <c r="BC144" s="234"/>
    </row>
    <row r="145" ht="15.75" customHeight="1">
      <c r="BC145" s="234"/>
    </row>
    <row r="146" ht="15.75" customHeight="1">
      <c r="BC146" s="234"/>
    </row>
    <row r="147" ht="15.75" customHeight="1">
      <c r="BC147" s="234"/>
    </row>
    <row r="148" ht="15.75" customHeight="1">
      <c r="BC148" s="234"/>
    </row>
    <row r="149" ht="15.75" customHeight="1">
      <c r="BC149" s="234"/>
    </row>
    <row r="150" ht="15.75" customHeight="1">
      <c r="BC150" s="234"/>
    </row>
    <row r="151" ht="15.75" customHeight="1">
      <c r="BC151" s="234"/>
    </row>
    <row r="152" ht="15.75" customHeight="1">
      <c r="BC152" s="234"/>
    </row>
    <row r="153" ht="15.75" customHeight="1">
      <c r="BC153" s="234"/>
    </row>
    <row r="154" ht="15.75" customHeight="1">
      <c r="BC154" s="234"/>
    </row>
    <row r="155" ht="15.75" customHeight="1">
      <c r="BC155" s="234"/>
    </row>
    <row r="156" ht="15.75" customHeight="1">
      <c r="BC156" s="234"/>
    </row>
    <row r="157" ht="15.75" customHeight="1">
      <c r="BC157" s="234"/>
    </row>
    <row r="158" ht="15.75" customHeight="1">
      <c r="BC158" s="234"/>
    </row>
    <row r="159" ht="15.75" customHeight="1">
      <c r="BC159" s="234"/>
    </row>
    <row r="160" ht="15.75" customHeight="1">
      <c r="BC160" s="234"/>
    </row>
    <row r="161" ht="15.75" customHeight="1">
      <c r="BC161" s="234"/>
    </row>
    <row r="162" ht="15.75" customHeight="1">
      <c r="BC162" s="234"/>
    </row>
    <row r="163" ht="15.75" customHeight="1">
      <c r="BC163" s="234"/>
    </row>
    <row r="164" ht="15.75" customHeight="1">
      <c r="BC164" s="234"/>
    </row>
    <row r="165" ht="15.75" customHeight="1">
      <c r="BC165" s="234"/>
    </row>
    <row r="166" ht="15.75" customHeight="1">
      <c r="BC166" s="234"/>
    </row>
    <row r="167" ht="15.75" customHeight="1">
      <c r="BC167" s="234"/>
    </row>
    <row r="168" ht="15.75" customHeight="1">
      <c r="BC168" s="234"/>
    </row>
    <row r="169" ht="15.75" customHeight="1">
      <c r="BC169" s="234"/>
    </row>
    <row r="170" ht="15.75" customHeight="1">
      <c r="BC170" s="234"/>
    </row>
    <row r="171" ht="15.75" customHeight="1">
      <c r="BC171" s="234"/>
    </row>
    <row r="172" ht="15.75" customHeight="1">
      <c r="BC172" s="234"/>
    </row>
    <row r="173" ht="15.75" customHeight="1">
      <c r="BC173" s="234"/>
    </row>
    <row r="174" ht="15.75" customHeight="1">
      <c r="BC174" s="234"/>
    </row>
    <row r="175" ht="15.75" customHeight="1">
      <c r="BC175" s="234"/>
    </row>
    <row r="176" ht="15.75" customHeight="1">
      <c r="BC176" s="234"/>
    </row>
    <row r="177" ht="15.75" customHeight="1">
      <c r="BC177" s="234"/>
    </row>
    <row r="178" ht="15.75" customHeight="1">
      <c r="BC178" s="234"/>
    </row>
    <row r="179" ht="15.75" customHeight="1">
      <c r="BC179" s="234"/>
    </row>
    <row r="180" ht="15.75" customHeight="1">
      <c r="BC180" s="234"/>
    </row>
    <row r="181" ht="15.75" customHeight="1">
      <c r="BC181" s="234"/>
    </row>
    <row r="182" ht="15.75" customHeight="1">
      <c r="BC182" s="234"/>
    </row>
    <row r="183" ht="15.75" customHeight="1">
      <c r="BC183" s="234"/>
    </row>
    <row r="184" ht="15.75" customHeight="1">
      <c r="BC184" s="234"/>
    </row>
    <row r="185" ht="15.75" customHeight="1">
      <c r="BC185" s="234"/>
    </row>
    <row r="186" ht="15.75" customHeight="1">
      <c r="BC186" s="234"/>
    </row>
    <row r="187" ht="15.75" customHeight="1">
      <c r="BC187" s="234"/>
    </row>
    <row r="188" ht="15.75" customHeight="1">
      <c r="BC188" s="234"/>
    </row>
    <row r="189" ht="15.75" customHeight="1">
      <c r="BC189" s="234"/>
    </row>
    <row r="190" ht="15.75" customHeight="1">
      <c r="BC190" s="234"/>
    </row>
    <row r="191" ht="15.75" customHeight="1">
      <c r="BC191" s="234"/>
    </row>
    <row r="192" ht="15.75" customHeight="1">
      <c r="BC192" s="234"/>
    </row>
    <row r="193" ht="15.75" customHeight="1">
      <c r="BC193" s="234"/>
    </row>
    <row r="194" ht="15.75" customHeight="1">
      <c r="BC194" s="234"/>
    </row>
    <row r="195" ht="15.75" customHeight="1">
      <c r="BC195" s="234"/>
    </row>
    <row r="196" ht="15.75" customHeight="1">
      <c r="BC196" s="234"/>
    </row>
    <row r="197" ht="15.75" customHeight="1">
      <c r="BC197" s="234"/>
    </row>
    <row r="198" ht="15.75" customHeight="1">
      <c r="BC198" s="234"/>
    </row>
    <row r="199" ht="15.75" customHeight="1">
      <c r="BC199" s="234"/>
    </row>
    <row r="200" ht="15.75" customHeight="1">
      <c r="BC200" s="234"/>
    </row>
    <row r="201" ht="15.75" customHeight="1">
      <c r="BC201" s="234"/>
    </row>
    <row r="202" ht="15.75" customHeight="1">
      <c r="BC202" s="234"/>
    </row>
    <row r="203" ht="15.75" customHeight="1">
      <c r="BC203" s="234"/>
    </row>
    <row r="204" ht="15.75" customHeight="1">
      <c r="BC204" s="234"/>
    </row>
    <row r="205" ht="15.75" customHeight="1">
      <c r="BC205" s="234"/>
    </row>
    <row r="206" ht="15.75" customHeight="1">
      <c r="BC206" s="234"/>
    </row>
    <row r="207" ht="15.75" customHeight="1">
      <c r="BC207" s="234"/>
    </row>
    <row r="208" ht="15.75" customHeight="1">
      <c r="BC208" s="234"/>
    </row>
    <row r="209" ht="15.75" customHeight="1">
      <c r="BC209" s="234"/>
    </row>
    <row r="210" ht="15.75" customHeight="1">
      <c r="BC210" s="234"/>
    </row>
    <row r="211" ht="15.75" customHeight="1">
      <c r="BC211" s="234"/>
    </row>
    <row r="212" ht="15.75" customHeight="1">
      <c r="BC212" s="234"/>
    </row>
    <row r="213" ht="15.75" customHeight="1">
      <c r="BC213" s="234"/>
    </row>
    <row r="214" ht="15.75" customHeight="1">
      <c r="BC214" s="234"/>
    </row>
    <row r="215" ht="15.75" customHeight="1">
      <c r="BC215" s="234"/>
    </row>
    <row r="216" ht="15.75" customHeight="1">
      <c r="BC216" s="234"/>
    </row>
    <row r="217" ht="15.75" customHeight="1">
      <c r="BC217" s="234"/>
    </row>
    <row r="218" ht="15.75" customHeight="1">
      <c r="BC218" s="234"/>
    </row>
    <row r="219" ht="15.75" customHeight="1">
      <c r="BC219" s="234"/>
    </row>
    <row r="220" ht="15.75" customHeight="1">
      <c r="BC220" s="234"/>
    </row>
    <row r="221" ht="15.75" customHeight="1">
      <c r="BC221" s="234"/>
    </row>
    <row r="222" ht="15.75" customHeight="1">
      <c r="BC222" s="234"/>
    </row>
    <row r="223" ht="15.75" customHeight="1">
      <c r="BC223" s="234"/>
    </row>
    <row r="224" ht="15.75" customHeight="1">
      <c r="BC224" s="234"/>
    </row>
    <row r="225" ht="15.75" customHeight="1">
      <c r="BC225" s="234"/>
    </row>
    <row r="226" ht="15.75" customHeight="1">
      <c r="BC226" s="234"/>
    </row>
    <row r="227" ht="15.75" customHeight="1">
      <c r="BC227" s="234"/>
    </row>
    <row r="228" ht="15.75" customHeight="1">
      <c r="BC228" s="234"/>
    </row>
    <row r="229" ht="15.75" customHeight="1">
      <c r="BC229" s="234"/>
    </row>
    <row r="230" ht="15.75" customHeight="1">
      <c r="BC230" s="234"/>
    </row>
    <row r="231" ht="15.75" customHeight="1">
      <c r="BC231" s="234"/>
    </row>
    <row r="232" ht="15.75" customHeight="1">
      <c r="BC232" s="234"/>
    </row>
    <row r="233" ht="15.75" customHeight="1">
      <c r="BC233" s="234"/>
    </row>
    <row r="234" ht="15.75" customHeight="1">
      <c r="BC234" s="234"/>
    </row>
    <row r="235" ht="15.75" customHeight="1">
      <c r="BC235" s="234"/>
    </row>
    <row r="236" ht="15.75" customHeight="1">
      <c r="BC236" s="234"/>
    </row>
    <row r="237" ht="15.75" customHeight="1">
      <c r="BC237" s="234"/>
    </row>
    <row r="238" ht="15.75" customHeight="1">
      <c r="BC238" s="234"/>
    </row>
    <row r="239" ht="15.75" customHeight="1">
      <c r="BC239" s="234"/>
    </row>
    <row r="240" ht="15.75" customHeight="1">
      <c r="BC240" s="234"/>
    </row>
    <row r="241" ht="15.75" customHeight="1">
      <c r="BC241" s="234"/>
    </row>
    <row r="242" ht="15.75" customHeight="1">
      <c r="BC242" s="234"/>
    </row>
    <row r="243" ht="15.75" customHeight="1">
      <c r="BC243" s="234"/>
    </row>
    <row r="244" ht="15.75" customHeight="1">
      <c r="BC244" s="234"/>
    </row>
    <row r="245" ht="15.75" customHeight="1">
      <c r="BC245" s="234"/>
    </row>
    <row r="246" ht="15.75" customHeight="1">
      <c r="BC246" s="234"/>
    </row>
    <row r="247" ht="15.75" customHeight="1">
      <c r="BC247" s="234"/>
    </row>
    <row r="248" ht="15.75" customHeight="1">
      <c r="BC248" s="234"/>
    </row>
    <row r="249" ht="15.75" customHeight="1">
      <c r="BC249" s="234"/>
    </row>
    <row r="250" ht="15.75" customHeight="1">
      <c r="BC250" s="234"/>
    </row>
    <row r="251" ht="15.75" customHeight="1">
      <c r="BC251" s="234"/>
    </row>
    <row r="252" ht="15.75" customHeight="1">
      <c r="BC252" s="234"/>
    </row>
    <row r="253" ht="15.75" customHeight="1">
      <c r="BC253" s="234"/>
    </row>
    <row r="254" ht="15.75" customHeight="1">
      <c r="BC254" s="234"/>
    </row>
    <row r="255" ht="15.75" customHeight="1">
      <c r="BC255" s="234"/>
    </row>
    <row r="256" ht="15.75" customHeight="1">
      <c r="BC256" s="234"/>
    </row>
    <row r="257" ht="15.75" customHeight="1">
      <c r="BC257" s="234"/>
    </row>
    <row r="258" ht="15.75" customHeight="1">
      <c r="BC258" s="234"/>
    </row>
    <row r="259" ht="15.75" customHeight="1">
      <c r="BC259" s="234"/>
    </row>
    <row r="260" ht="15.75" customHeight="1">
      <c r="BC260" s="234"/>
    </row>
    <row r="261" ht="15.75" customHeight="1">
      <c r="BC261" s="234"/>
    </row>
    <row r="262" ht="15.75" customHeight="1">
      <c r="BC262" s="234"/>
    </row>
    <row r="263" ht="15.75" customHeight="1">
      <c r="BC263" s="234"/>
    </row>
    <row r="264" ht="15.75" customHeight="1">
      <c r="BC264" s="234"/>
    </row>
    <row r="265" ht="15.75" customHeight="1">
      <c r="BC265" s="234"/>
    </row>
    <row r="266" ht="15.75" customHeight="1">
      <c r="BC266" s="234"/>
    </row>
    <row r="267" ht="15.75" customHeight="1">
      <c r="BC267" s="234"/>
    </row>
    <row r="268" ht="15.75" customHeight="1">
      <c r="BC268" s="234"/>
    </row>
    <row r="269" ht="15.75" customHeight="1">
      <c r="BC269" s="234"/>
    </row>
    <row r="270" ht="15.75" customHeight="1">
      <c r="BC270" s="234"/>
    </row>
    <row r="271" ht="15.75" customHeight="1">
      <c r="BC271" s="234"/>
    </row>
    <row r="272" ht="15.75" customHeight="1">
      <c r="BC272" s="234"/>
    </row>
    <row r="273" ht="15.75" customHeight="1">
      <c r="BC273" s="234"/>
    </row>
    <row r="274" ht="15.75" customHeight="1">
      <c r="BC274" s="234"/>
    </row>
    <row r="275" ht="15.75" customHeight="1">
      <c r="BC275" s="234"/>
    </row>
    <row r="276" ht="15.75" customHeight="1">
      <c r="BC276" s="234"/>
    </row>
    <row r="277" ht="15.75" customHeight="1">
      <c r="BC277" s="234"/>
    </row>
    <row r="278" ht="15.75" customHeight="1">
      <c r="BC278" s="234"/>
    </row>
    <row r="279" ht="15.75" customHeight="1">
      <c r="BC279" s="234"/>
    </row>
    <row r="280" ht="15.75" customHeight="1">
      <c r="BC280" s="234"/>
    </row>
    <row r="281" ht="15.75" customHeight="1">
      <c r="BC281" s="234"/>
    </row>
    <row r="282" ht="15.75" customHeight="1">
      <c r="BC282" s="234"/>
    </row>
    <row r="283" ht="15.75" customHeight="1">
      <c r="BC283" s="234"/>
    </row>
    <row r="284" ht="15.75" customHeight="1">
      <c r="BC284" s="234"/>
    </row>
    <row r="285" ht="15.75" customHeight="1">
      <c r="BC285" s="234"/>
    </row>
    <row r="286" ht="15.75" customHeight="1">
      <c r="BC286" s="234"/>
    </row>
    <row r="287" ht="15.75" customHeight="1">
      <c r="BC287" s="234"/>
    </row>
    <row r="288" ht="15.75" customHeight="1">
      <c r="BC288" s="234"/>
    </row>
    <row r="289" ht="15.75" customHeight="1">
      <c r="BC289" s="234"/>
    </row>
    <row r="290" ht="15.75" customHeight="1">
      <c r="BC290" s="234"/>
    </row>
    <row r="291" ht="15.75" customHeight="1">
      <c r="BC291" s="234"/>
    </row>
    <row r="292" ht="15.75" customHeight="1">
      <c r="BC292" s="234"/>
    </row>
    <row r="293" ht="15.75" customHeight="1">
      <c r="BC293" s="234"/>
    </row>
    <row r="294" ht="15.75" customHeight="1">
      <c r="BC294" s="234"/>
    </row>
    <row r="295" ht="15.75" customHeight="1">
      <c r="BC295" s="234"/>
    </row>
    <row r="296" ht="15.75" customHeight="1">
      <c r="BC296" s="234"/>
    </row>
    <row r="297" ht="15.75" customHeight="1">
      <c r="BC297" s="234"/>
    </row>
    <row r="298" ht="15.75" customHeight="1">
      <c r="BC298" s="234"/>
    </row>
    <row r="299" ht="15.75" customHeight="1">
      <c r="BC299" s="234"/>
    </row>
    <row r="300" ht="15.75" customHeight="1">
      <c r="BC300" s="234"/>
    </row>
    <row r="301" ht="15.75" customHeight="1">
      <c r="BC301" s="234"/>
    </row>
    <row r="302" ht="15.75" customHeight="1">
      <c r="BC302" s="234"/>
    </row>
    <row r="303" ht="15.75" customHeight="1">
      <c r="BC303" s="234"/>
    </row>
    <row r="304" ht="15.75" customHeight="1">
      <c r="BC304" s="234"/>
    </row>
    <row r="305" ht="15.75" customHeight="1">
      <c r="BC305" s="234"/>
    </row>
    <row r="306" ht="15.75" customHeight="1">
      <c r="BC306" s="234"/>
    </row>
    <row r="307" ht="15.75" customHeight="1">
      <c r="BC307" s="234"/>
    </row>
    <row r="308" ht="15.75" customHeight="1">
      <c r="BC308" s="234"/>
    </row>
    <row r="309" ht="15.75" customHeight="1">
      <c r="BC309" s="234"/>
    </row>
    <row r="310" ht="15.75" customHeight="1">
      <c r="BC310" s="234"/>
    </row>
    <row r="311" ht="15.75" customHeight="1">
      <c r="BC311" s="234"/>
    </row>
    <row r="312" ht="15.75" customHeight="1">
      <c r="BC312" s="234"/>
    </row>
    <row r="313" ht="15.75" customHeight="1">
      <c r="BC313" s="234"/>
    </row>
    <row r="314" ht="15.75" customHeight="1">
      <c r="BC314" s="234"/>
    </row>
    <row r="315" ht="15.75" customHeight="1">
      <c r="BC315" s="234"/>
    </row>
    <row r="316" ht="15.75" customHeight="1">
      <c r="BC316" s="234"/>
    </row>
    <row r="317" ht="15.75" customHeight="1">
      <c r="BC317" s="234"/>
    </row>
    <row r="318" ht="15.75" customHeight="1">
      <c r="BC318" s="234"/>
    </row>
    <row r="319" ht="15.75" customHeight="1">
      <c r="BC319" s="234"/>
    </row>
    <row r="320" ht="15.75" customHeight="1">
      <c r="BC320" s="234"/>
    </row>
    <row r="321" ht="15.75" customHeight="1">
      <c r="BC321" s="234"/>
    </row>
    <row r="322" ht="15.75" customHeight="1">
      <c r="BC322" s="234"/>
    </row>
    <row r="323" ht="15.75" customHeight="1">
      <c r="BC323" s="234"/>
    </row>
    <row r="324" ht="15.75" customHeight="1">
      <c r="BC324" s="234"/>
    </row>
    <row r="325" ht="15.75" customHeight="1">
      <c r="BC325" s="234"/>
    </row>
    <row r="326" ht="15.75" customHeight="1">
      <c r="BC326" s="234"/>
    </row>
    <row r="327" ht="15.75" customHeight="1">
      <c r="BC327" s="234"/>
    </row>
    <row r="328" ht="15.75" customHeight="1">
      <c r="BC328" s="234"/>
    </row>
    <row r="329" ht="15.75" customHeight="1">
      <c r="BC329" s="234"/>
    </row>
    <row r="330" ht="15.75" customHeight="1">
      <c r="BC330" s="234"/>
    </row>
    <row r="331" ht="15.75" customHeight="1">
      <c r="BC331" s="234"/>
    </row>
    <row r="332" ht="15.75" customHeight="1">
      <c r="BC332" s="234"/>
    </row>
    <row r="333" ht="15.75" customHeight="1">
      <c r="BC333" s="234"/>
    </row>
    <row r="334" ht="15.75" customHeight="1">
      <c r="BC334" s="234"/>
    </row>
    <row r="335" ht="15.75" customHeight="1">
      <c r="BC335" s="234"/>
    </row>
    <row r="336" ht="15.75" customHeight="1">
      <c r="BC336" s="234"/>
    </row>
    <row r="337" ht="15.75" customHeight="1">
      <c r="BC337" s="234"/>
    </row>
    <row r="338" ht="15.75" customHeight="1">
      <c r="BC338" s="234"/>
    </row>
    <row r="339" ht="15.75" customHeight="1">
      <c r="BC339" s="234"/>
    </row>
    <row r="340" ht="15.75" customHeight="1">
      <c r="BC340" s="234"/>
    </row>
    <row r="341" ht="15.75" customHeight="1">
      <c r="BC341" s="234"/>
    </row>
    <row r="342" ht="15.75" customHeight="1">
      <c r="BC342" s="234"/>
    </row>
    <row r="343" ht="15.75" customHeight="1">
      <c r="BC343" s="234"/>
    </row>
    <row r="344" ht="15.75" customHeight="1">
      <c r="BC344" s="234"/>
    </row>
    <row r="345" ht="15.75" customHeight="1">
      <c r="BC345" s="234"/>
    </row>
    <row r="346" ht="15.75" customHeight="1">
      <c r="BC346" s="234"/>
    </row>
    <row r="347" ht="15.75" customHeight="1">
      <c r="BC347" s="234"/>
    </row>
    <row r="348" ht="15.75" customHeight="1">
      <c r="BC348" s="234"/>
    </row>
    <row r="349" ht="15.75" customHeight="1">
      <c r="BC349" s="234"/>
    </row>
    <row r="350" ht="15.75" customHeight="1">
      <c r="BC350" s="234"/>
    </row>
    <row r="351" ht="15.75" customHeight="1">
      <c r="BC351" s="234"/>
    </row>
    <row r="352" ht="15.75" customHeight="1">
      <c r="BC352" s="234"/>
    </row>
    <row r="353" ht="15.75" customHeight="1">
      <c r="BC353" s="234"/>
    </row>
    <row r="354" ht="15.75" customHeight="1">
      <c r="BC354" s="234"/>
    </row>
    <row r="355" ht="15.75" customHeight="1">
      <c r="BC355" s="234"/>
    </row>
    <row r="356" ht="15.75" customHeight="1">
      <c r="BC356" s="234"/>
    </row>
    <row r="357" ht="15.75" customHeight="1">
      <c r="BC357" s="234"/>
    </row>
    <row r="358" ht="15.75" customHeight="1">
      <c r="BC358" s="234"/>
    </row>
    <row r="359" ht="15.75" customHeight="1">
      <c r="BC359" s="234"/>
    </row>
    <row r="360" ht="15.75" customHeight="1">
      <c r="BC360" s="234"/>
    </row>
    <row r="361" ht="15.75" customHeight="1">
      <c r="BC361" s="234"/>
    </row>
    <row r="362" ht="15.75" customHeight="1">
      <c r="BC362" s="234"/>
    </row>
    <row r="363" ht="15.75" customHeight="1">
      <c r="BC363" s="234"/>
    </row>
    <row r="364" ht="15.75" customHeight="1">
      <c r="BC364" s="234"/>
    </row>
    <row r="365" ht="15.75" customHeight="1">
      <c r="BC365" s="234"/>
    </row>
    <row r="366" ht="15.75" customHeight="1">
      <c r="BC366" s="234"/>
    </row>
    <row r="367" ht="15.75" customHeight="1">
      <c r="BC367" s="234"/>
    </row>
    <row r="368" ht="15.75" customHeight="1">
      <c r="BC368" s="234"/>
    </row>
    <row r="369" ht="15.75" customHeight="1">
      <c r="BC369" s="234"/>
    </row>
    <row r="370" ht="15.75" customHeight="1">
      <c r="BC370" s="234"/>
    </row>
    <row r="371" ht="15.75" customHeight="1">
      <c r="BC371" s="234"/>
    </row>
    <row r="372" ht="15.75" customHeight="1">
      <c r="BC372" s="234"/>
    </row>
    <row r="373" ht="15.75" customHeight="1">
      <c r="BC373" s="234"/>
    </row>
    <row r="374" ht="15.75" customHeight="1">
      <c r="BC374" s="234"/>
    </row>
    <row r="375" ht="15.75" customHeight="1">
      <c r="BC375" s="234"/>
    </row>
    <row r="376" ht="15.75" customHeight="1">
      <c r="BC376" s="234"/>
    </row>
    <row r="377" ht="15.75" customHeight="1">
      <c r="BC377" s="234"/>
    </row>
    <row r="378" ht="15.75" customHeight="1">
      <c r="BC378" s="234"/>
    </row>
    <row r="379" ht="15.75" customHeight="1">
      <c r="BC379" s="234"/>
    </row>
    <row r="380" ht="15.75" customHeight="1">
      <c r="BC380" s="234"/>
    </row>
    <row r="381" ht="15.75" customHeight="1">
      <c r="BC381" s="234"/>
    </row>
    <row r="382" ht="15.75" customHeight="1">
      <c r="BC382" s="234"/>
    </row>
    <row r="383" ht="15.75" customHeight="1">
      <c r="BC383" s="234"/>
    </row>
    <row r="384" ht="15.75" customHeight="1">
      <c r="BC384" s="234"/>
    </row>
    <row r="385" ht="15.75" customHeight="1">
      <c r="BC385" s="234"/>
    </row>
    <row r="386" ht="15.75" customHeight="1">
      <c r="BC386" s="234"/>
    </row>
    <row r="387" ht="15.75" customHeight="1">
      <c r="BC387" s="234"/>
    </row>
    <row r="388" ht="15.75" customHeight="1">
      <c r="BC388" s="234"/>
    </row>
    <row r="389" ht="15.75" customHeight="1">
      <c r="BC389" s="234"/>
    </row>
    <row r="390" ht="15.75" customHeight="1">
      <c r="BC390" s="234"/>
    </row>
    <row r="391" ht="15.75" customHeight="1">
      <c r="BC391" s="234"/>
    </row>
    <row r="392" ht="15.75" customHeight="1">
      <c r="BC392" s="234"/>
    </row>
    <row r="393" ht="15.75" customHeight="1">
      <c r="BC393" s="234"/>
    </row>
    <row r="394" ht="15.75" customHeight="1">
      <c r="BC394" s="234"/>
    </row>
    <row r="395" ht="15.75" customHeight="1">
      <c r="BC395" s="234"/>
    </row>
    <row r="396" ht="15.75" customHeight="1">
      <c r="BC396" s="234"/>
    </row>
    <row r="397" ht="15.75" customHeight="1">
      <c r="BC397" s="234"/>
    </row>
    <row r="398" ht="15.75" customHeight="1">
      <c r="BC398" s="234"/>
    </row>
    <row r="399" ht="15.75" customHeight="1">
      <c r="BC399" s="234"/>
    </row>
    <row r="400" ht="15.75" customHeight="1">
      <c r="BC400" s="234"/>
    </row>
    <row r="401" ht="15.75" customHeight="1">
      <c r="BC401" s="234"/>
    </row>
    <row r="402" ht="15.75" customHeight="1">
      <c r="BC402" s="234"/>
    </row>
    <row r="403" ht="15.75" customHeight="1">
      <c r="BC403" s="234"/>
    </row>
    <row r="404" ht="15.75" customHeight="1">
      <c r="BC404" s="234"/>
    </row>
    <row r="405" ht="15.75" customHeight="1">
      <c r="BC405" s="234"/>
    </row>
    <row r="406" ht="15.75" customHeight="1">
      <c r="BC406" s="234"/>
    </row>
    <row r="407" ht="15.75" customHeight="1">
      <c r="BC407" s="234"/>
    </row>
    <row r="408" ht="15.75" customHeight="1">
      <c r="BC408" s="234"/>
    </row>
    <row r="409" ht="15.75" customHeight="1">
      <c r="BC409" s="234"/>
    </row>
    <row r="410" ht="15.75" customHeight="1">
      <c r="BC410" s="234"/>
    </row>
    <row r="411" ht="15.75" customHeight="1">
      <c r="BC411" s="234"/>
    </row>
    <row r="412" ht="15.75" customHeight="1">
      <c r="BC412" s="234"/>
    </row>
    <row r="413" ht="15.75" customHeight="1">
      <c r="BC413" s="234"/>
    </row>
    <row r="414" ht="15.75" customHeight="1">
      <c r="BC414" s="234"/>
    </row>
    <row r="415" ht="15.75" customHeight="1">
      <c r="BC415" s="234"/>
    </row>
    <row r="416" ht="15.75" customHeight="1">
      <c r="BC416" s="234"/>
    </row>
    <row r="417" ht="15.75" customHeight="1">
      <c r="BC417" s="234"/>
    </row>
    <row r="418" ht="15.75" customHeight="1">
      <c r="BC418" s="234"/>
    </row>
    <row r="419" ht="15.75" customHeight="1">
      <c r="BC419" s="234"/>
    </row>
    <row r="420" ht="15.75" customHeight="1">
      <c r="BC420" s="234"/>
    </row>
    <row r="421" ht="15.75" customHeight="1">
      <c r="BC421" s="234"/>
    </row>
    <row r="422" ht="15.75" customHeight="1">
      <c r="BC422" s="234"/>
    </row>
    <row r="423" ht="15.75" customHeight="1">
      <c r="BC423" s="234"/>
    </row>
    <row r="424" ht="15.75" customHeight="1">
      <c r="BC424" s="234"/>
    </row>
    <row r="425" ht="15.75" customHeight="1">
      <c r="BC425" s="234"/>
    </row>
    <row r="426" ht="15.75" customHeight="1">
      <c r="BC426" s="234"/>
    </row>
    <row r="427" ht="15.75" customHeight="1">
      <c r="BC427" s="234"/>
    </row>
    <row r="428" ht="15.75" customHeight="1">
      <c r="BC428" s="234"/>
    </row>
    <row r="429" ht="15.75" customHeight="1">
      <c r="BC429" s="234"/>
    </row>
    <row r="430" ht="15.75" customHeight="1">
      <c r="BC430" s="234"/>
    </row>
    <row r="431" ht="15.75" customHeight="1">
      <c r="BC431" s="234"/>
    </row>
    <row r="432" ht="15.75" customHeight="1">
      <c r="BC432" s="234"/>
    </row>
    <row r="433" ht="15.75" customHeight="1">
      <c r="BC433" s="234"/>
    </row>
    <row r="434" ht="15.75" customHeight="1">
      <c r="BC434" s="234"/>
    </row>
    <row r="435" ht="15.75" customHeight="1">
      <c r="BC435" s="234"/>
    </row>
    <row r="436" ht="15.75" customHeight="1">
      <c r="BC436" s="234"/>
    </row>
    <row r="437" ht="15.75" customHeight="1">
      <c r="BC437" s="234"/>
    </row>
    <row r="438" ht="15.75" customHeight="1">
      <c r="BC438" s="234"/>
    </row>
    <row r="439" ht="15.75" customHeight="1">
      <c r="BC439" s="234"/>
    </row>
    <row r="440" ht="15.75" customHeight="1">
      <c r="BC440" s="234"/>
    </row>
    <row r="441" ht="15.75" customHeight="1">
      <c r="BC441" s="234"/>
    </row>
    <row r="442" ht="15.75" customHeight="1">
      <c r="BC442" s="234"/>
    </row>
    <row r="443" ht="15.75" customHeight="1">
      <c r="BC443" s="234"/>
    </row>
    <row r="444" ht="15.75" customHeight="1">
      <c r="BC444" s="234"/>
    </row>
    <row r="445" ht="15.75" customHeight="1">
      <c r="BC445" s="234"/>
    </row>
    <row r="446" ht="15.75" customHeight="1">
      <c r="BC446" s="234"/>
    </row>
    <row r="447" ht="15.75" customHeight="1">
      <c r="BC447" s="234"/>
    </row>
    <row r="448" ht="15.75" customHeight="1">
      <c r="BC448" s="234"/>
    </row>
    <row r="449" ht="15.75" customHeight="1">
      <c r="BC449" s="234"/>
    </row>
    <row r="450" ht="15.75" customHeight="1">
      <c r="BC450" s="234"/>
    </row>
    <row r="451" ht="15.75" customHeight="1">
      <c r="BC451" s="234"/>
    </row>
    <row r="452" ht="15.75" customHeight="1">
      <c r="BC452" s="234"/>
    </row>
    <row r="453" ht="15.75" customHeight="1">
      <c r="BC453" s="234"/>
    </row>
    <row r="454" ht="15.75" customHeight="1">
      <c r="BC454" s="234"/>
    </row>
    <row r="455" ht="15.75" customHeight="1">
      <c r="BC455" s="234"/>
    </row>
    <row r="456" ht="15.75" customHeight="1">
      <c r="BC456" s="234"/>
    </row>
    <row r="457" ht="15.75" customHeight="1">
      <c r="BC457" s="234"/>
    </row>
    <row r="458" ht="15.75" customHeight="1">
      <c r="BC458" s="234"/>
    </row>
    <row r="459" ht="15.75" customHeight="1">
      <c r="BC459" s="234"/>
    </row>
    <row r="460" ht="15.75" customHeight="1">
      <c r="BC460" s="234"/>
    </row>
    <row r="461" ht="15.75" customHeight="1">
      <c r="BC461" s="234"/>
    </row>
    <row r="462" ht="15.75" customHeight="1">
      <c r="BC462" s="234"/>
    </row>
    <row r="463" ht="15.75" customHeight="1">
      <c r="BC463" s="234"/>
    </row>
    <row r="464" ht="15.75" customHeight="1">
      <c r="BC464" s="234"/>
    </row>
    <row r="465" ht="15.75" customHeight="1">
      <c r="BC465" s="234"/>
    </row>
    <row r="466" ht="15.75" customHeight="1">
      <c r="BC466" s="234"/>
    </row>
    <row r="467" ht="15.75" customHeight="1">
      <c r="BC467" s="234"/>
    </row>
    <row r="468" ht="15.75" customHeight="1">
      <c r="BC468" s="234"/>
    </row>
    <row r="469" ht="15.75" customHeight="1">
      <c r="BC469" s="234"/>
    </row>
    <row r="470" ht="15.75" customHeight="1">
      <c r="BC470" s="234"/>
    </row>
    <row r="471" ht="15.75" customHeight="1">
      <c r="BC471" s="234"/>
    </row>
    <row r="472" ht="15.75" customHeight="1">
      <c r="BC472" s="234"/>
    </row>
    <row r="473" ht="15.75" customHeight="1">
      <c r="BC473" s="234"/>
    </row>
    <row r="474" ht="15.75" customHeight="1">
      <c r="BC474" s="234"/>
    </row>
    <row r="475" ht="15.75" customHeight="1">
      <c r="BC475" s="234"/>
    </row>
    <row r="476" ht="15.75" customHeight="1">
      <c r="BC476" s="234"/>
    </row>
    <row r="477" ht="15.75" customHeight="1">
      <c r="BC477" s="234"/>
    </row>
    <row r="478" ht="15.75" customHeight="1">
      <c r="BC478" s="234"/>
    </row>
    <row r="479" ht="15.75" customHeight="1">
      <c r="BC479" s="234"/>
    </row>
    <row r="480" ht="15.75" customHeight="1">
      <c r="BC480" s="234"/>
    </row>
    <row r="481" ht="15.75" customHeight="1">
      <c r="BC481" s="234"/>
    </row>
    <row r="482" ht="15.75" customHeight="1">
      <c r="BC482" s="234"/>
    </row>
    <row r="483" ht="15.75" customHeight="1">
      <c r="BC483" s="234"/>
    </row>
    <row r="484" ht="15.75" customHeight="1">
      <c r="BC484" s="234"/>
    </row>
    <row r="485" ht="15.75" customHeight="1">
      <c r="BC485" s="234"/>
    </row>
    <row r="486" ht="15.75" customHeight="1">
      <c r="BC486" s="234"/>
    </row>
    <row r="487" ht="15.75" customHeight="1">
      <c r="BC487" s="234"/>
    </row>
    <row r="488" ht="15.75" customHeight="1">
      <c r="BC488" s="234"/>
    </row>
    <row r="489" ht="15.75" customHeight="1">
      <c r="BC489" s="234"/>
    </row>
    <row r="490" ht="15.75" customHeight="1">
      <c r="BC490" s="234"/>
    </row>
    <row r="491" ht="15.75" customHeight="1">
      <c r="BC491" s="234"/>
    </row>
    <row r="492" ht="15.75" customHeight="1">
      <c r="BC492" s="234"/>
    </row>
    <row r="493" ht="15.75" customHeight="1">
      <c r="BC493" s="234"/>
    </row>
    <row r="494" ht="15.75" customHeight="1">
      <c r="BC494" s="234"/>
    </row>
    <row r="495" ht="15.75" customHeight="1">
      <c r="BC495" s="234"/>
    </row>
    <row r="496" ht="15.75" customHeight="1">
      <c r="BC496" s="234"/>
    </row>
    <row r="497" ht="15.75" customHeight="1">
      <c r="BC497" s="234"/>
    </row>
    <row r="498" ht="15.75" customHeight="1">
      <c r="BC498" s="234"/>
    </row>
    <row r="499" ht="15.75" customHeight="1">
      <c r="BC499" s="234"/>
    </row>
    <row r="500" ht="15.75" customHeight="1">
      <c r="BC500" s="234"/>
    </row>
    <row r="501" ht="15.75" customHeight="1">
      <c r="BC501" s="234"/>
    </row>
    <row r="502" ht="15.75" customHeight="1">
      <c r="BC502" s="234"/>
    </row>
    <row r="503" ht="15.75" customHeight="1">
      <c r="BC503" s="234"/>
    </row>
    <row r="504" ht="15.75" customHeight="1">
      <c r="BC504" s="234"/>
    </row>
    <row r="505" ht="15.75" customHeight="1">
      <c r="BC505" s="234"/>
    </row>
    <row r="506" ht="15.75" customHeight="1">
      <c r="BC506" s="234"/>
    </row>
    <row r="507" ht="15.75" customHeight="1">
      <c r="BC507" s="234"/>
    </row>
    <row r="508" ht="15.75" customHeight="1">
      <c r="BC508" s="234"/>
    </row>
    <row r="509" ht="15.75" customHeight="1">
      <c r="BC509" s="234"/>
    </row>
    <row r="510" ht="15.75" customHeight="1">
      <c r="BC510" s="234"/>
    </row>
    <row r="511" ht="15.75" customHeight="1">
      <c r="BC511" s="234"/>
    </row>
    <row r="512" ht="15.75" customHeight="1">
      <c r="BC512" s="234"/>
    </row>
    <row r="513" ht="15.75" customHeight="1">
      <c r="BC513" s="234"/>
    </row>
    <row r="514" ht="15.75" customHeight="1">
      <c r="BC514" s="234"/>
    </row>
    <row r="515" ht="15.75" customHeight="1">
      <c r="BC515" s="234"/>
    </row>
    <row r="516" ht="15.75" customHeight="1">
      <c r="BC516" s="234"/>
    </row>
    <row r="517" ht="15.75" customHeight="1">
      <c r="BC517" s="234"/>
    </row>
    <row r="518" ht="15.75" customHeight="1">
      <c r="BC518" s="234"/>
    </row>
    <row r="519" ht="15.75" customHeight="1">
      <c r="BC519" s="234"/>
    </row>
    <row r="520" ht="15.75" customHeight="1">
      <c r="BC520" s="234"/>
    </row>
    <row r="521" ht="15.75" customHeight="1">
      <c r="BC521" s="234"/>
    </row>
    <row r="522" ht="15.75" customHeight="1">
      <c r="BC522" s="234"/>
    </row>
    <row r="523" ht="15.75" customHeight="1">
      <c r="BC523" s="234"/>
    </row>
    <row r="524" ht="15.75" customHeight="1">
      <c r="BC524" s="234"/>
    </row>
    <row r="525" ht="15.75" customHeight="1">
      <c r="BC525" s="234"/>
    </row>
    <row r="526" ht="15.75" customHeight="1">
      <c r="BC526" s="234"/>
    </row>
    <row r="527" ht="15.75" customHeight="1">
      <c r="BC527" s="234"/>
    </row>
    <row r="528" ht="15.75" customHeight="1">
      <c r="BC528" s="234"/>
    </row>
    <row r="529" ht="15.75" customHeight="1">
      <c r="BC529" s="234"/>
    </row>
    <row r="530" ht="15.75" customHeight="1">
      <c r="BC530" s="234"/>
    </row>
    <row r="531" ht="15.75" customHeight="1">
      <c r="BC531" s="234"/>
    </row>
    <row r="532" ht="15.75" customHeight="1">
      <c r="BC532" s="234"/>
    </row>
    <row r="533" ht="15.75" customHeight="1">
      <c r="BC533" s="234"/>
    </row>
    <row r="534" ht="15.75" customHeight="1">
      <c r="BC534" s="234"/>
    </row>
    <row r="535" ht="15.75" customHeight="1">
      <c r="BC535" s="234"/>
    </row>
    <row r="536" ht="15.75" customHeight="1">
      <c r="BC536" s="234"/>
    </row>
    <row r="537" ht="15.75" customHeight="1">
      <c r="BC537" s="234"/>
    </row>
    <row r="538" ht="15.75" customHeight="1">
      <c r="BC538" s="234"/>
    </row>
    <row r="539" ht="15.75" customHeight="1">
      <c r="BC539" s="234"/>
    </row>
    <row r="540" ht="15.75" customHeight="1">
      <c r="BC540" s="234"/>
    </row>
    <row r="541" ht="15.75" customHeight="1">
      <c r="BC541" s="234"/>
    </row>
    <row r="542" ht="15.75" customHeight="1">
      <c r="BC542" s="234"/>
    </row>
    <row r="543" ht="15.75" customHeight="1">
      <c r="BC543" s="234"/>
    </row>
    <row r="544" ht="15.75" customHeight="1">
      <c r="BC544" s="234"/>
    </row>
    <row r="545" ht="15.75" customHeight="1">
      <c r="BC545" s="234"/>
    </row>
    <row r="546" ht="15.75" customHeight="1">
      <c r="BC546" s="234"/>
    </row>
    <row r="547" ht="15.75" customHeight="1">
      <c r="BC547" s="234"/>
    </row>
    <row r="548" ht="15.75" customHeight="1">
      <c r="BC548" s="234"/>
    </row>
    <row r="549" ht="15.75" customHeight="1">
      <c r="BC549" s="234"/>
    </row>
    <row r="550" ht="15.75" customHeight="1">
      <c r="BC550" s="234"/>
    </row>
    <row r="551" ht="15.75" customHeight="1">
      <c r="BC551" s="234"/>
    </row>
    <row r="552" ht="15.75" customHeight="1">
      <c r="BC552" s="234"/>
    </row>
    <row r="553" ht="15.75" customHeight="1">
      <c r="BC553" s="234"/>
    </row>
    <row r="554" ht="15.75" customHeight="1">
      <c r="BC554" s="234"/>
    </row>
    <row r="555" ht="15.75" customHeight="1">
      <c r="BC555" s="234"/>
    </row>
    <row r="556" ht="15.75" customHeight="1">
      <c r="BC556" s="234"/>
    </row>
    <row r="557" ht="15.75" customHeight="1">
      <c r="BC557" s="234"/>
    </row>
    <row r="558" ht="15.75" customHeight="1">
      <c r="BC558" s="234"/>
    </row>
    <row r="559" ht="15.75" customHeight="1">
      <c r="BC559" s="234"/>
    </row>
    <row r="560" ht="15.75" customHeight="1">
      <c r="BC560" s="234"/>
    </row>
    <row r="561" ht="15.75" customHeight="1">
      <c r="BC561" s="234"/>
    </row>
    <row r="562" ht="15.75" customHeight="1">
      <c r="BC562" s="234"/>
    </row>
    <row r="563" ht="15.75" customHeight="1">
      <c r="BC563" s="234"/>
    </row>
    <row r="564" ht="15.75" customHeight="1">
      <c r="BC564" s="234"/>
    </row>
    <row r="565" ht="15.75" customHeight="1">
      <c r="BC565" s="234"/>
    </row>
    <row r="566" ht="15.75" customHeight="1">
      <c r="BC566" s="234"/>
    </row>
    <row r="567" ht="15.75" customHeight="1">
      <c r="BC567" s="234"/>
    </row>
    <row r="568" ht="15.75" customHeight="1">
      <c r="BC568" s="234"/>
    </row>
    <row r="569" ht="15.75" customHeight="1">
      <c r="BC569" s="234"/>
    </row>
    <row r="570" ht="15.75" customHeight="1">
      <c r="BC570" s="234"/>
    </row>
    <row r="571" ht="15.75" customHeight="1">
      <c r="BC571" s="234"/>
    </row>
    <row r="572" ht="15.75" customHeight="1">
      <c r="BC572" s="234"/>
    </row>
    <row r="573" ht="15.75" customHeight="1">
      <c r="BC573" s="234"/>
    </row>
    <row r="574" ht="15.75" customHeight="1">
      <c r="BC574" s="234"/>
    </row>
    <row r="575" ht="15.75" customHeight="1">
      <c r="BC575" s="234"/>
    </row>
    <row r="576" ht="15.75" customHeight="1">
      <c r="BC576" s="234"/>
    </row>
    <row r="577" ht="15.75" customHeight="1">
      <c r="BC577" s="234"/>
    </row>
    <row r="578" ht="15.75" customHeight="1">
      <c r="BC578" s="234"/>
    </row>
    <row r="579" ht="15.75" customHeight="1">
      <c r="BC579" s="234"/>
    </row>
    <row r="580" ht="15.75" customHeight="1">
      <c r="BC580" s="234"/>
    </row>
    <row r="581" ht="15.75" customHeight="1">
      <c r="BC581" s="234"/>
    </row>
    <row r="582" ht="15.75" customHeight="1">
      <c r="BC582" s="234"/>
    </row>
    <row r="583" ht="15.75" customHeight="1">
      <c r="BC583" s="234"/>
    </row>
    <row r="584" ht="15.75" customHeight="1">
      <c r="BC584" s="234"/>
    </row>
    <row r="585" ht="15.75" customHeight="1">
      <c r="BC585" s="234"/>
    </row>
    <row r="586" ht="15.75" customHeight="1">
      <c r="BC586" s="234"/>
    </row>
    <row r="587" ht="15.75" customHeight="1">
      <c r="BC587" s="234"/>
    </row>
    <row r="588" ht="15.75" customHeight="1">
      <c r="BC588" s="234"/>
    </row>
    <row r="589" ht="15.75" customHeight="1">
      <c r="BC589" s="234"/>
    </row>
    <row r="590" ht="15.75" customHeight="1">
      <c r="BC590" s="234"/>
    </row>
    <row r="591" ht="15.75" customHeight="1">
      <c r="BC591" s="234"/>
    </row>
    <row r="592" ht="15.75" customHeight="1">
      <c r="BC592" s="234"/>
    </row>
    <row r="593" ht="15.75" customHeight="1">
      <c r="BC593" s="234"/>
    </row>
    <row r="594" ht="15.75" customHeight="1">
      <c r="BC594" s="234"/>
    </row>
    <row r="595" ht="15.75" customHeight="1">
      <c r="BC595" s="234"/>
    </row>
    <row r="596" ht="15.75" customHeight="1">
      <c r="BC596" s="234"/>
    </row>
    <row r="597" ht="15.75" customHeight="1">
      <c r="BC597" s="234"/>
    </row>
    <row r="598" ht="15.75" customHeight="1">
      <c r="BC598" s="234"/>
    </row>
    <row r="599" ht="15.75" customHeight="1">
      <c r="BC599" s="234"/>
    </row>
    <row r="600" ht="15.75" customHeight="1">
      <c r="BC600" s="234"/>
    </row>
    <row r="601" ht="15.75" customHeight="1">
      <c r="BC601" s="234"/>
    </row>
    <row r="602" ht="15.75" customHeight="1">
      <c r="BC602" s="234"/>
    </row>
    <row r="603" ht="15.75" customHeight="1">
      <c r="BC603" s="234"/>
    </row>
    <row r="604" ht="15.75" customHeight="1">
      <c r="BC604" s="234"/>
    </row>
    <row r="605" ht="15.75" customHeight="1">
      <c r="BC605" s="234"/>
    </row>
    <row r="606" ht="15.75" customHeight="1">
      <c r="BC606" s="234"/>
    </row>
    <row r="607" ht="15.75" customHeight="1">
      <c r="BC607" s="234"/>
    </row>
    <row r="608" ht="15.75" customHeight="1">
      <c r="BC608" s="234"/>
    </row>
    <row r="609" ht="15.75" customHeight="1">
      <c r="BC609" s="234"/>
    </row>
    <row r="610" ht="15.75" customHeight="1">
      <c r="BC610" s="234"/>
    </row>
    <row r="611" ht="15.75" customHeight="1">
      <c r="BC611" s="234"/>
    </row>
    <row r="612" ht="15.75" customHeight="1">
      <c r="BC612" s="234"/>
    </row>
    <row r="613" ht="15.75" customHeight="1">
      <c r="BC613" s="234"/>
    </row>
    <row r="614" ht="15.75" customHeight="1">
      <c r="BC614" s="234"/>
    </row>
    <row r="615" ht="15.75" customHeight="1">
      <c r="BC615" s="234"/>
    </row>
    <row r="616" ht="15.75" customHeight="1">
      <c r="BC616" s="234"/>
    </row>
    <row r="617" ht="15.75" customHeight="1">
      <c r="BC617" s="234"/>
    </row>
    <row r="618" ht="15.75" customHeight="1">
      <c r="BC618" s="234"/>
    </row>
    <row r="619" ht="15.75" customHeight="1">
      <c r="BC619" s="234"/>
    </row>
    <row r="620" ht="15.75" customHeight="1">
      <c r="BC620" s="234"/>
    </row>
    <row r="621" ht="15.75" customHeight="1">
      <c r="BC621" s="234"/>
    </row>
    <row r="622" ht="15.75" customHeight="1">
      <c r="BC622" s="234"/>
    </row>
    <row r="623" ht="15.75" customHeight="1">
      <c r="BC623" s="234"/>
    </row>
    <row r="624" ht="15.75" customHeight="1">
      <c r="BC624" s="234"/>
    </row>
    <row r="625" ht="15.75" customHeight="1">
      <c r="BC625" s="234"/>
    </row>
    <row r="626" ht="15.75" customHeight="1">
      <c r="BC626" s="234"/>
    </row>
    <row r="627" ht="15.75" customHeight="1">
      <c r="BC627" s="234"/>
    </row>
    <row r="628" ht="15.75" customHeight="1">
      <c r="BC628" s="234"/>
    </row>
    <row r="629" ht="15.75" customHeight="1">
      <c r="BC629" s="234"/>
    </row>
    <row r="630" ht="15.75" customHeight="1">
      <c r="BC630" s="234"/>
    </row>
    <row r="631" ht="15.75" customHeight="1">
      <c r="BC631" s="234"/>
    </row>
    <row r="632" ht="15.75" customHeight="1">
      <c r="BC632" s="234"/>
    </row>
    <row r="633" ht="15.75" customHeight="1">
      <c r="BC633" s="234"/>
    </row>
    <row r="634" ht="15.75" customHeight="1">
      <c r="BC634" s="234"/>
    </row>
    <row r="635" ht="15.75" customHeight="1">
      <c r="BC635" s="234"/>
    </row>
    <row r="636" ht="15.75" customHeight="1">
      <c r="BC636" s="234"/>
    </row>
    <row r="637" ht="15.75" customHeight="1">
      <c r="BC637" s="234"/>
    </row>
    <row r="638" ht="15.75" customHeight="1">
      <c r="BC638" s="234"/>
    </row>
    <row r="639" ht="15.75" customHeight="1">
      <c r="BC639" s="234"/>
    </row>
    <row r="640" ht="15.75" customHeight="1">
      <c r="BC640" s="234"/>
    </row>
    <row r="641" ht="15.75" customHeight="1">
      <c r="BC641" s="234"/>
    </row>
    <row r="642" ht="15.75" customHeight="1">
      <c r="BC642" s="234"/>
    </row>
    <row r="643" ht="15.75" customHeight="1">
      <c r="BC643" s="234"/>
    </row>
    <row r="644" ht="15.75" customHeight="1">
      <c r="BC644" s="234"/>
    </row>
    <row r="645" ht="15.75" customHeight="1">
      <c r="BC645" s="234"/>
    </row>
    <row r="646" ht="15.75" customHeight="1">
      <c r="BC646" s="234"/>
    </row>
    <row r="647" ht="15.75" customHeight="1">
      <c r="BC647" s="234"/>
    </row>
    <row r="648" ht="15.75" customHeight="1">
      <c r="BC648" s="234"/>
    </row>
    <row r="649" ht="15.75" customHeight="1">
      <c r="BC649" s="234"/>
    </row>
    <row r="650" ht="15.75" customHeight="1">
      <c r="BC650" s="234"/>
    </row>
    <row r="651" ht="15.75" customHeight="1">
      <c r="BC651" s="234"/>
    </row>
    <row r="652" ht="15.75" customHeight="1">
      <c r="BC652" s="234"/>
    </row>
    <row r="653" ht="15.75" customHeight="1">
      <c r="BC653" s="234"/>
    </row>
    <row r="654" ht="15.75" customHeight="1">
      <c r="BC654" s="234"/>
    </row>
    <row r="655" ht="15.75" customHeight="1">
      <c r="BC655" s="234"/>
    </row>
    <row r="656" ht="15.75" customHeight="1">
      <c r="BC656" s="234"/>
    </row>
    <row r="657" ht="15.75" customHeight="1">
      <c r="BC657" s="234"/>
    </row>
    <row r="658" ht="15.75" customHeight="1">
      <c r="BC658" s="234"/>
    </row>
    <row r="659" ht="15.75" customHeight="1">
      <c r="BC659" s="234"/>
    </row>
    <row r="660" ht="15.75" customHeight="1">
      <c r="BC660" s="234"/>
    </row>
    <row r="661" ht="15.75" customHeight="1">
      <c r="BC661" s="234"/>
    </row>
    <row r="662" ht="15.75" customHeight="1">
      <c r="BC662" s="234"/>
    </row>
    <row r="663" ht="15.75" customHeight="1">
      <c r="BC663" s="234"/>
    </row>
    <row r="664" ht="15.75" customHeight="1">
      <c r="BC664" s="234"/>
    </row>
    <row r="665" ht="15.75" customHeight="1">
      <c r="BC665" s="234"/>
    </row>
    <row r="666" ht="15.75" customHeight="1">
      <c r="BC666" s="234"/>
    </row>
    <row r="667" ht="15.75" customHeight="1">
      <c r="BC667" s="234"/>
    </row>
    <row r="668" ht="15.75" customHeight="1">
      <c r="BC668" s="234"/>
    </row>
    <row r="669" ht="15.75" customHeight="1">
      <c r="BC669" s="234"/>
    </row>
    <row r="670" ht="15.75" customHeight="1">
      <c r="BC670" s="234"/>
    </row>
    <row r="671" ht="15.75" customHeight="1">
      <c r="BC671" s="234"/>
    </row>
    <row r="672" ht="15.75" customHeight="1">
      <c r="BC672" s="234"/>
    </row>
    <row r="673" ht="15.75" customHeight="1">
      <c r="BC673" s="234"/>
    </row>
    <row r="674" ht="15.75" customHeight="1">
      <c r="BC674" s="234"/>
    </row>
    <row r="675" ht="15.75" customHeight="1">
      <c r="BC675" s="234"/>
    </row>
    <row r="676" ht="15.75" customHeight="1">
      <c r="BC676" s="234"/>
    </row>
    <row r="677" ht="15.75" customHeight="1">
      <c r="BC677" s="234"/>
    </row>
    <row r="678" ht="15.75" customHeight="1">
      <c r="BC678" s="234"/>
    </row>
    <row r="679" ht="15.75" customHeight="1">
      <c r="BC679" s="234"/>
    </row>
    <row r="680" ht="15.75" customHeight="1">
      <c r="BC680" s="234"/>
    </row>
    <row r="681" ht="15.75" customHeight="1">
      <c r="BC681" s="234"/>
    </row>
    <row r="682" ht="15.75" customHeight="1">
      <c r="BC682" s="234"/>
    </row>
    <row r="683" ht="15.75" customHeight="1">
      <c r="BC683" s="234"/>
    </row>
    <row r="684" ht="15.75" customHeight="1">
      <c r="BC684" s="234"/>
    </row>
    <row r="685" ht="15.75" customHeight="1">
      <c r="BC685" s="234"/>
    </row>
    <row r="686" ht="15.75" customHeight="1">
      <c r="BC686" s="234"/>
    </row>
    <row r="687" ht="15.75" customHeight="1">
      <c r="BC687" s="234"/>
    </row>
    <row r="688" ht="15.75" customHeight="1">
      <c r="BC688" s="234"/>
    </row>
    <row r="689" ht="15.75" customHeight="1">
      <c r="BC689" s="234"/>
    </row>
    <row r="690" ht="15.75" customHeight="1">
      <c r="BC690" s="234"/>
    </row>
    <row r="691" ht="15.75" customHeight="1">
      <c r="BC691" s="234"/>
    </row>
    <row r="692" ht="15.75" customHeight="1">
      <c r="BC692" s="234"/>
    </row>
    <row r="693" ht="15.75" customHeight="1">
      <c r="BC693" s="234"/>
    </row>
    <row r="694" ht="15.75" customHeight="1">
      <c r="BC694" s="234"/>
    </row>
    <row r="695" ht="15.75" customHeight="1">
      <c r="BC695" s="234"/>
    </row>
    <row r="696" ht="15.75" customHeight="1">
      <c r="BC696" s="234"/>
    </row>
    <row r="697" ht="15.75" customHeight="1">
      <c r="BC697" s="234"/>
    </row>
    <row r="698" ht="15.75" customHeight="1">
      <c r="BC698" s="234"/>
    </row>
    <row r="699" ht="15.75" customHeight="1">
      <c r="BC699" s="234"/>
    </row>
    <row r="700" ht="15.75" customHeight="1">
      <c r="BC700" s="234"/>
    </row>
    <row r="701" ht="15.75" customHeight="1">
      <c r="BC701" s="234"/>
    </row>
    <row r="702" ht="15.75" customHeight="1">
      <c r="BC702" s="234"/>
    </row>
    <row r="703" ht="15.75" customHeight="1">
      <c r="BC703" s="234"/>
    </row>
    <row r="704" ht="15.75" customHeight="1">
      <c r="BC704" s="234"/>
    </row>
    <row r="705" ht="15.75" customHeight="1">
      <c r="BC705" s="234"/>
    </row>
    <row r="706" ht="15.75" customHeight="1">
      <c r="BC706" s="234"/>
    </row>
    <row r="707" ht="15.75" customHeight="1">
      <c r="BC707" s="234"/>
    </row>
    <row r="708" ht="15.75" customHeight="1">
      <c r="BC708" s="234"/>
    </row>
    <row r="709" ht="15.75" customHeight="1">
      <c r="BC709" s="234"/>
    </row>
    <row r="710" ht="15.75" customHeight="1">
      <c r="BC710" s="234"/>
    </row>
    <row r="711" ht="15.75" customHeight="1">
      <c r="BC711" s="234"/>
    </row>
    <row r="712" ht="15.75" customHeight="1">
      <c r="BC712" s="234"/>
    </row>
    <row r="713" ht="15.75" customHeight="1">
      <c r="BC713" s="234"/>
    </row>
    <row r="714" ht="15.75" customHeight="1">
      <c r="BC714" s="234"/>
    </row>
    <row r="715" ht="15.75" customHeight="1">
      <c r="BC715" s="234"/>
    </row>
    <row r="716" ht="15.75" customHeight="1">
      <c r="BC716" s="234"/>
    </row>
    <row r="717" ht="15.75" customHeight="1">
      <c r="BC717" s="234"/>
    </row>
    <row r="718" ht="15.75" customHeight="1">
      <c r="BC718" s="234"/>
    </row>
    <row r="719" ht="15.75" customHeight="1">
      <c r="BC719" s="234"/>
    </row>
    <row r="720" ht="15.75" customHeight="1">
      <c r="BC720" s="234"/>
    </row>
    <row r="721" ht="15.75" customHeight="1">
      <c r="BC721" s="234"/>
    </row>
    <row r="722" ht="15.75" customHeight="1">
      <c r="BC722" s="234"/>
    </row>
    <row r="723" ht="15.75" customHeight="1">
      <c r="BC723" s="234"/>
    </row>
    <row r="724" ht="15.75" customHeight="1">
      <c r="BC724" s="234"/>
    </row>
    <row r="725" ht="15.75" customHeight="1">
      <c r="BC725" s="234"/>
    </row>
    <row r="726" ht="15.75" customHeight="1">
      <c r="BC726" s="234"/>
    </row>
    <row r="727" ht="15.75" customHeight="1">
      <c r="BC727" s="234"/>
    </row>
    <row r="728" ht="15.75" customHeight="1">
      <c r="BC728" s="234"/>
    </row>
    <row r="729" ht="15.75" customHeight="1">
      <c r="BC729" s="234"/>
    </row>
    <row r="730" ht="15.75" customHeight="1">
      <c r="BC730" s="234"/>
    </row>
    <row r="731" ht="15.75" customHeight="1">
      <c r="BC731" s="234"/>
    </row>
    <row r="732" ht="15.75" customHeight="1">
      <c r="BC732" s="234"/>
    </row>
    <row r="733" ht="15.75" customHeight="1">
      <c r="BC733" s="234"/>
    </row>
    <row r="734" ht="15.75" customHeight="1">
      <c r="BC734" s="234"/>
    </row>
    <row r="735" ht="15.75" customHeight="1">
      <c r="BC735" s="234"/>
    </row>
    <row r="736" ht="15.75" customHeight="1">
      <c r="BC736" s="234"/>
    </row>
    <row r="737" ht="15.75" customHeight="1">
      <c r="BC737" s="234"/>
    </row>
    <row r="738" ht="15.75" customHeight="1">
      <c r="BC738" s="234"/>
    </row>
    <row r="739" ht="15.75" customHeight="1">
      <c r="BC739" s="234"/>
    </row>
    <row r="740" ht="15.75" customHeight="1">
      <c r="BC740" s="234"/>
    </row>
    <row r="741" ht="15.75" customHeight="1">
      <c r="BC741" s="234"/>
    </row>
    <row r="742" ht="15.75" customHeight="1">
      <c r="BC742" s="234"/>
    </row>
    <row r="743" ht="15.75" customHeight="1">
      <c r="BC743" s="234"/>
    </row>
    <row r="744" ht="15.75" customHeight="1">
      <c r="BC744" s="234"/>
    </row>
    <row r="745" ht="15.75" customHeight="1">
      <c r="BC745" s="234"/>
    </row>
    <row r="746" ht="15.75" customHeight="1">
      <c r="BC746" s="234"/>
    </row>
    <row r="747" ht="15.75" customHeight="1">
      <c r="BC747" s="234"/>
    </row>
    <row r="748" ht="15.75" customHeight="1">
      <c r="BC748" s="234"/>
    </row>
    <row r="749" ht="15.75" customHeight="1">
      <c r="BC749" s="234"/>
    </row>
    <row r="750" ht="15.75" customHeight="1">
      <c r="BC750" s="234"/>
    </row>
    <row r="751" ht="15.75" customHeight="1">
      <c r="BC751" s="234"/>
    </row>
    <row r="752" ht="15.75" customHeight="1">
      <c r="BC752" s="234"/>
    </row>
    <row r="753" ht="15.75" customHeight="1">
      <c r="BC753" s="234"/>
    </row>
    <row r="754" ht="15.75" customHeight="1">
      <c r="BC754" s="234"/>
    </row>
    <row r="755" ht="15.75" customHeight="1">
      <c r="BC755" s="234"/>
    </row>
    <row r="756" ht="15.75" customHeight="1">
      <c r="BC756" s="234"/>
    </row>
    <row r="757" ht="15.75" customHeight="1">
      <c r="BC757" s="234"/>
    </row>
    <row r="758" ht="15.75" customHeight="1">
      <c r="BC758" s="234"/>
    </row>
    <row r="759" ht="15.75" customHeight="1">
      <c r="BC759" s="234"/>
    </row>
    <row r="760" ht="15.75" customHeight="1">
      <c r="BC760" s="234"/>
    </row>
    <row r="761" ht="15.75" customHeight="1">
      <c r="BC761" s="234"/>
    </row>
    <row r="762" ht="15.75" customHeight="1">
      <c r="BC762" s="234"/>
    </row>
    <row r="763" ht="15.75" customHeight="1">
      <c r="BC763" s="234"/>
    </row>
    <row r="764" ht="15.75" customHeight="1">
      <c r="BC764" s="234"/>
    </row>
    <row r="765" ht="15.75" customHeight="1">
      <c r="BC765" s="234"/>
    </row>
    <row r="766" ht="15.75" customHeight="1">
      <c r="BC766" s="234"/>
    </row>
    <row r="767" ht="15.75" customHeight="1">
      <c r="BC767" s="234"/>
    </row>
    <row r="768" ht="15.75" customHeight="1">
      <c r="BC768" s="234"/>
    </row>
    <row r="769" ht="15.75" customHeight="1">
      <c r="BC769" s="234"/>
    </row>
    <row r="770" ht="15.75" customHeight="1">
      <c r="BC770" s="234"/>
    </row>
    <row r="771" ht="15.75" customHeight="1">
      <c r="BC771" s="234"/>
    </row>
    <row r="772" ht="15.75" customHeight="1">
      <c r="BC772" s="234"/>
    </row>
    <row r="773" ht="15.75" customHeight="1">
      <c r="BC773" s="234"/>
    </row>
    <row r="774" ht="15.75" customHeight="1">
      <c r="BC774" s="234"/>
    </row>
    <row r="775" ht="15.75" customHeight="1">
      <c r="BC775" s="234"/>
    </row>
    <row r="776" ht="15.75" customHeight="1">
      <c r="BC776" s="234"/>
    </row>
    <row r="777" ht="15.75" customHeight="1">
      <c r="BC777" s="234"/>
    </row>
    <row r="778" ht="15.75" customHeight="1">
      <c r="BC778" s="234"/>
    </row>
    <row r="779" ht="15.75" customHeight="1">
      <c r="BC779" s="234"/>
    </row>
    <row r="780" ht="15.75" customHeight="1">
      <c r="BC780" s="234"/>
    </row>
    <row r="781" ht="15.75" customHeight="1">
      <c r="BC781" s="234"/>
    </row>
    <row r="782" ht="15.75" customHeight="1">
      <c r="BC782" s="234"/>
    </row>
    <row r="783" ht="15.75" customHeight="1">
      <c r="BC783" s="234"/>
    </row>
    <row r="784" ht="15.75" customHeight="1">
      <c r="BC784" s="234"/>
    </row>
    <row r="785" ht="15.75" customHeight="1">
      <c r="BC785" s="234"/>
    </row>
    <row r="786" ht="15.75" customHeight="1">
      <c r="BC786" s="234"/>
    </row>
    <row r="787" ht="15.75" customHeight="1">
      <c r="BC787" s="234"/>
    </row>
    <row r="788" ht="15.75" customHeight="1">
      <c r="BC788" s="234"/>
    </row>
    <row r="789" ht="15.75" customHeight="1">
      <c r="BC789" s="234"/>
    </row>
    <row r="790" ht="15.75" customHeight="1">
      <c r="BC790" s="234"/>
    </row>
    <row r="791" ht="15.75" customHeight="1">
      <c r="BC791" s="234"/>
    </row>
    <row r="792" ht="15.75" customHeight="1">
      <c r="BC792" s="234"/>
    </row>
    <row r="793" ht="15.75" customHeight="1">
      <c r="BC793" s="234"/>
    </row>
    <row r="794" ht="15.75" customHeight="1">
      <c r="BC794" s="234"/>
    </row>
    <row r="795" ht="15.75" customHeight="1">
      <c r="BC795" s="234"/>
    </row>
    <row r="796" ht="15.75" customHeight="1">
      <c r="BC796" s="234"/>
    </row>
    <row r="797" ht="15.75" customHeight="1">
      <c r="BC797" s="234"/>
    </row>
    <row r="798" ht="15.75" customHeight="1">
      <c r="BC798" s="234"/>
    </row>
    <row r="799" ht="15.75" customHeight="1">
      <c r="BC799" s="234"/>
    </row>
    <row r="800" ht="15.75" customHeight="1">
      <c r="BC800" s="234"/>
    </row>
    <row r="801" ht="15.75" customHeight="1">
      <c r="BC801" s="234"/>
    </row>
    <row r="802" ht="15.75" customHeight="1">
      <c r="BC802" s="234"/>
    </row>
    <row r="803" ht="15.75" customHeight="1">
      <c r="BC803" s="234"/>
    </row>
    <row r="804" ht="15.75" customHeight="1">
      <c r="BC804" s="234"/>
    </row>
    <row r="805" ht="15.75" customHeight="1">
      <c r="BC805" s="234"/>
    </row>
    <row r="806" ht="15.75" customHeight="1">
      <c r="BC806" s="234"/>
    </row>
    <row r="807" ht="15.75" customHeight="1">
      <c r="BC807" s="234"/>
    </row>
    <row r="808" ht="15.75" customHeight="1">
      <c r="BC808" s="234"/>
    </row>
    <row r="809" ht="15.75" customHeight="1">
      <c r="BC809" s="234"/>
    </row>
    <row r="810" ht="15.75" customHeight="1">
      <c r="BC810" s="234"/>
    </row>
    <row r="811" ht="15.75" customHeight="1">
      <c r="BC811" s="234"/>
    </row>
    <row r="812" ht="15.75" customHeight="1">
      <c r="BC812" s="234"/>
    </row>
    <row r="813" ht="15.75" customHeight="1">
      <c r="BC813" s="234"/>
    </row>
    <row r="814" ht="15.75" customHeight="1">
      <c r="BC814" s="234"/>
    </row>
    <row r="815" ht="15.75" customHeight="1">
      <c r="BC815" s="234"/>
    </row>
    <row r="816" ht="15.75" customHeight="1">
      <c r="BC816" s="234"/>
    </row>
    <row r="817" ht="15.75" customHeight="1">
      <c r="BC817" s="234"/>
    </row>
    <row r="818" ht="15.75" customHeight="1">
      <c r="BC818" s="234"/>
    </row>
    <row r="819" ht="15.75" customHeight="1">
      <c r="BC819" s="234"/>
    </row>
    <row r="820" ht="15.75" customHeight="1">
      <c r="BC820" s="234"/>
    </row>
    <row r="821" ht="15.75" customHeight="1">
      <c r="BC821" s="234"/>
    </row>
    <row r="822" ht="15.75" customHeight="1">
      <c r="BC822" s="234"/>
    </row>
    <row r="823" ht="15.75" customHeight="1">
      <c r="BC823" s="234"/>
    </row>
    <row r="824" ht="15.75" customHeight="1">
      <c r="BC824" s="234"/>
    </row>
    <row r="825" ht="15.75" customHeight="1">
      <c r="BC825" s="234"/>
    </row>
    <row r="826" ht="15.75" customHeight="1">
      <c r="BC826" s="234"/>
    </row>
    <row r="827" ht="15.75" customHeight="1">
      <c r="BC827" s="234"/>
    </row>
    <row r="828" ht="15.75" customHeight="1">
      <c r="BC828" s="234"/>
    </row>
    <row r="829" ht="15.75" customHeight="1">
      <c r="BC829" s="234"/>
    </row>
    <row r="830" ht="15.75" customHeight="1">
      <c r="BC830" s="234"/>
    </row>
    <row r="831" ht="15.75" customHeight="1">
      <c r="BC831" s="234"/>
    </row>
    <row r="832" ht="15.75" customHeight="1">
      <c r="BC832" s="234"/>
    </row>
    <row r="833" ht="15.75" customHeight="1">
      <c r="BC833" s="234"/>
    </row>
    <row r="834" ht="15.75" customHeight="1">
      <c r="BC834" s="234"/>
    </row>
    <row r="835" ht="15.75" customHeight="1">
      <c r="BC835" s="234"/>
    </row>
    <row r="836" ht="15.75" customHeight="1">
      <c r="BC836" s="234"/>
    </row>
    <row r="837" ht="15.75" customHeight="1">
      <c r="BC837" s="234"/>
    </row>
    <row r="838" ht="15.75" customHeight="1">
      <c r="BC838" s="234"/>
    </row>
    <row r="839" ht="15.75" customHeight="1">
      <c r="BC839" s="234"/>
    </row>
    <row r="840" ht="15.75" customHeight="1">
      <c r="BC840" s="234"/>
    </row>
    <row r="841" ht="15.75" customHeight="1">
      <c r="BC841" s="234"/>
    </row>
    <row r="842" ht="15.75" customHeight="1">
      <c r="BC842" s="234"/>
    </row>
    <row r="843" ht="15.75" customHeight="1">
      <c r="BC843" s="234"/>
    </row>
    <row r="844" ht="15.75" customHeight="1">
      <c r="BC844" s="234"/>
    </row>
    <row r="845" ht="15.75" customHeight="1">
      <c r="BC845" s="234"/>
    </row>
    <row r="846" ht="15.75" customHeight="1">
      <c r="BC846" s="234"/>
    </row>
    <row r="847" ht="15.75" customHeight="1">
      <c r="BC847" s="234"/>
    </row>
    <row r="848" ht="15.75" customHeight="1">
      <c r="BC848" s="234"/>
    </row>
    <row r="849" ht="15.75" customHeight="1">
      <c r="BC849" s="234"/>
    </row>
    <row r="850" ht="15.75" customHeight="1">
      <c r="BC850" s="234"/>
    </row>
    <row r="851" ht="15.75" customHeight="1">
      <c r="BC851" s="234"/>
    </row>
    <row r="852" ht="15.75" customHeight="1">
      <c r="BC852" s="234"/>
    </row>
    <row r="853" ht="15.75" customHeight="1">
      <c r="BC853" s="234"/>
    </row>
    <row r="854" ht="15.75" customHeight="1">
      <c r="BC854" s="234"/>
    </row>
    <row r="855" ht="15.75" customHeight="1">
      <c r="BC855" s="234"/>
    </row>
    <row r="856" ht="15.75" customHeight="1">
      <c r="BC856" s="234"/>
    </row>
    <row r="857" ht="15.75" customHeight="1">
      <c r="BC857" s="234"/>
    </row>
    <row r="858" ht="15.75" customHeight="1">
      <c r="BC858" s="234"/>
    </row>
    <row r="859" ht="15.75" customHeight="1">
      <c r="BC859" s="234"/>
    </row>
    <row r="860" ht="15.75" customHeight="1">
      <c r="BC860" s="234"/>
    </row>
    <row r="861" ht="15.75" customHeight="1">
      <c r="BC861" s="234"/>
    </row>
    <row r="862" ht="15.75" customHeight="1">
      <c r="BC862" s="234"/>
    </row>
    <row r="863" ht="15.75" customHeight="1">
      <c r="BC863" s="234"/>
    </row>
    <row r="864" ht="15.75" customHeight="1">
      <c r="BC864" s="234"/>
    </row>
    <row r="865" ht="15.75" customHeight="1">
      <c r="BC865" s="234"/>
    </row>
    <row r="866" ht="15.75" customHeight="1">
      <c r="BC866" s="234"/>
    </row>
    <row r="867" ht="15.75" customHeight="1">
      <c r="BC867" s="234"/>
    </row>
    <row r="868" ht="15.75" customHeight="1">
      <c r="BC868" s="234"/>
    </row>
    <row r="869" ht="15.75" customHeight="1">
      <c r="BC869" s="234"/>
    </row>
    <row r="870" ht="15.75" customHeight="1">
      <c r="BC870" s="234"/>
    </row>
    <row r="871" ht="15.75" customHeight="1">
      <c r="BC871" s="234"/>
    </row>
    <row r="872" ht="15.75" customHeight="1">
      <c r="BC872" s="234"/>
    </row>
    <row r="873" ht="15.75" customHeight="1">
      <c r="BC873" s="234"/>
    </row>
    <row r="874" ht="15.75" customHeight="1">
      <c r="BC874" s="234"/>
    </row>
    <row r="875" ht="15.75" customHeight="1">
      <c r="BC875" s="234"/>
    </row>
    <row r="876" ht="15.75" customHeight="1">
      <c r="BC876" s="234"/>
    </row>
    <row r="877" ht="15.75" customHeight="1">
      <c r="BC877" s="234"/>
    </row>
    <row r="878" ht="15.75" customHeight="1">
      <c r="BC878" s="234"/>
    </row>
    <row r="879" ht="15.75" customHeight="1">
      <c r="BC879" s="234"/>
    </row>
    <row r="880" ht="15.75" customHeight="1">
      <c r="BC880" s="234"/>
    </row>
    <row r="881" ht="15.75" customHeight="1">
      <c r="BC881" s="234"/>
    </row>
    <row r="882" ht="15.75" customHeight="1">
      <c r="BC882" s="234"/>
    </row>
    <row r="883" ht="15.75" customHeight="1">
      <c r="BC883" s="234"/>
    </row>
    <row r="884" ht="15.75" customHeight="1">
      <c r="BC884" s="234"/>
    </row>
    <row r="885" ht="15.75" customHeight="1">
      <c r="BC885" s="234"/>
    </row>
    <row r="886" ht="15.75" customHeight="1">
      <c r="BC886" s="234"/>
    </row>
    <row r="887" ht="15.75" customHeight="1">
      <c r="BC887" s="234"/>
    </row>
    <row r="888" ht="15.75" customHeight="1">
      <c r="BC888" s="234"/>
    </row>
    <row r="889" ht="15.75" customHeight="1">
      <c r="BC889" s="234"/>
    </row>
    <row r="890" ht="15.75" customHeight="1">
      <c r="BC890" s="234"/>
    </row>
    <row r="891" ht="15.75" customHeight="1">
      <c r="BC891" s="234"/>
    </row>
    <row r="892" ht="15.75" customHeight="1">
      <c r="BC892" s="234"/>
    </row>
    <row r="893" ht="15.75" customHeight="1">
      <c r="BC893" s="234"/>
    </row>
    <row r="894" ht="15.75" customHeight="1">
      <c r="BC894" s="234"/>
    </row>
    <row r="895" ht="15.75" customHeight="1">
      <c r="BC895" s="234"/>
    </row>
    <row r="896" ht="15.75" customHeight="1">
      <c r="BC896" s="234"/>
    </row>
    <row r="897" ht="15.75" customHeight="1">
      <c r="BC897" s="234"/>
    </row>
    <row r="898" ht="15.75" customHeight="1">
      <c r="BC898" s="234"/>
    </row>
    <row r="899" ht="15.75" customHeight="1">
      <c r="BC899" s="234"/>
    </row>
    <row r="900" ht="15.75" customHeight="1">
      <c r="BC900" s="234"/>
    </row>
    <row r="901" ht="15.75" customHeight="1">
      <c r="BC901" s="234"/>
    </row>
    <row r="902" ht="15.75" customHeight="1">
      <c r="BC902" s="234"/>
    </row>
    <row r="903" ht="15.75" customHeight="1">
      <c r="BC903" s="234"/>
    </row>
    <row r="904" ht="15.75" customHeight="1">
      <c r="BC904" s="234"/>
    </row>
    <row r="905" ht="15.75" customHeight="1">
      <c r="BC905" s="234"/>
    </row>
    <row r="906" ht="15.75" customHeight="1">
      <c r="BC906" s="234"/>
    </row>
    <row r="907" ht="15.75" customHeight="1">
      <c r="BC907" s="234"/>
    </row>
    <row r="908" ht="15.75" customHeight="1">
      <c r="BC908" s="234"/>
    </row>
    <row r="909" ht="15.75" customHeight="1">
      <c r="BC909" s="234"/>
    </row>
    <row r="910" ht="15.75" customHeight="1">
      <c r="BC910" s="234"/>
    </row>
    <row r="911" ht="15.75" customHeight="1">
      <c r="BC911" s="234"/>
    </row>
    <row r="912" ht="15.75" customHeight="1">
      <c r="BC912" s="234"/>
    </row>
    <row r="913" ht="15.75" customHeight="1">
      <c r="BC913" s="234"/>
    </row>
    <row r="914" ht="15.75" customHeight="1">
      <c r="BC914" s="234"/>
    </row>
    <row r="915" ht="15.75" customHeight="1">
      <c r="BC915" s="234"/>
    </row>
    <row r="916" ht="15.75" customHeight="1">
      <c r="BC916" s="234"/>
    </row>
    <row r="917" ht="15.75" customHeight="1">
      <c r="BC917" s="234"/>
    </row>
    <row r="918" ht="15.75" customHeight="1">
      <c r="BC918" s="234"/>
    </row>
    <row r="919" ht="15.75" customHeight="1">
      <c r="BC919" s="234"/>
    </row>
    <row r="920" ht="15.75" customHeight="1">
      <c r="BC920" s="234"/>
    </row>
    <row r="921" ht="15.75" customHeight="1">
      <c r="BC921" s="234"/>
    </row>
    <row r="922" ht="15.75" customHeight="1">
      <c r="BC922" s="234"/>
    </row>
    <row r="923" ht="15.75" customHeight="1">
      <c r="BC923" s="234"/>
    </row>
    <row r="924" ht="15.75" customHeight="1">
      <c r="BC924" s="234"/>
    </row>
    <row r="925" ht="15.75" customHeight="1">
      <c r="BC925" s="234"/>
    </row>
    <row r="926" ht="15.75" customHeight="1">
      <c r="BC926" s="234"/>
    </row>
    <row r="927" ht="15.75" customHeight="1">
      <c r="BC927" s="234"/>
    </row>
    <row r="928" ht="15.75" customHeight="1">
      <c r="BC928" s="234"/>
    </row>
    <row r="929" ht="15.75" customHeight="1">
      <c r="BC929" s="234"/>
    </row>
    <row r="930" ht="15.75" customHeight="1">
      <c r="BC930" s="234"/>
    </row>
    <row r="931" ht="15.75" customHeight="1">
      <c r="BC931" s="234"/>
    </row>
    <row r="932" ht="15.75" customHeight="1">
      <c r="BC932" s="234"/>
    </row>
    <row r="933" ht="15.75" customHeight="1">
      <c r="BC933" s="234"/>
    </row>
    <row r="934" ht="15.75" customHeight="1">
      <c r="BC934" s="234"/>
    </row>
    <row r="935" ht="15.75" customHeight="1">
      <c r="BC935" s="234"/>
    </row>
    <row r="936" ht="15.75" customHeight="1">
      <c r="BC936" s="234"/>
    </row>
    <row r="937" ht="15.75" customHeight="1">
      <c r="BC937" s="234"/>
    </row>
    <row r="938" ht="15.75" customHeight="1">
      <c r="BC938" s="234"/>
    </row>
    <row r="939" ht="15.75" customHeight="1">
      <c r="BC939" s="234"/>
    </row>
    <row r="940" ht="15.75" customHeight="1">
      <c r="BC940" s="234"/>
    </row>
    <row r="941" ht="15.75" customHeight="1">
      <c r="BC941" s="234"/>
    </row>
    <row r="942" ht="15.75" customHeight="1">
      <c r="BC942" s="234"/>
    </row>
    <row r="943" ht="15.75" customHeight="1">
      <c r="BC943" s="234"/>
    </row>
    <row r="944" ht="15.75" customHeight="1">
      <c r="BC944" s="234"/>
    </row>
    <row r="945" ht="15.75" customHeight="1">
      <c r="BC945" s="234"/>
    </row>
    <row r="946" ht="15.75" customHeight="1">
      <c r="BC946" s="234"/>
    </row>
    <row r="947" ht="15.75" customHeight="1">
      <c r="BC947" s="234"/>
    </row>
    <row r="948" ht="15.75" customHeight="1">
      <c r="BC948" s="234"/>
    </row>
    <row r="949" ht="15.75" customHeight="1">
      <c r="BC949" s="234"/>
    </row>
    <row r="950" ht="15.75" customHeight="1">
      <c r="BC950" s="234"/>
    </row>
    <row r="951" ht="15.75" customHeight="1">
      <c r="BC951" s="234"/>
    </row>
    <row r="952" ht="15.75" customHeight="1">
      <c r="BC952" s="234"/>
    </row>
    <row r="953" ht="15.75" customHeight="1">
      <c r="BC953" s="234"/>
    </row>
    <row r="954" ht="15.75" customHeight="1">
      <c r="BC954" s="234"/>
    </row>
    <row r="955" ht="15.75" customHeight="1">
      <c r="BC955" s="234"/>
    </row>
    <row r="956" ht="15.75" customHeight="1">
      <c r="BC956" s="234"/>
    </row>
    <row r="957" ht="15.75" customHeight="1">
      <c r="BC957" s="234"/>
    </row>
    <row r="958" ht="15.75" customHeight="1">
      <c r="BC958" s="234"/>
    </row>
    <row r="959" ht="15.75" customHeight="1">
      <c r="BC959" s="234"/>
    </row>
    <row r="960" ht="15.75" customHeight="1">
      <c r="BC960" s="234"/>
    </row>
    <row r="961" ht="15.75" customHeight="1">
      <c r="BC961" s="234"/>
    </row>
    <row r="962" ht="15.75" customHeight="1">
      <c r="BC962" s="234"/>
    </row>
    <row r="963" ht="15.75" customHeight="1">
      <c r="BC963" s="234"/>
    </row>
    <row r="964" ht="15.75" customHeight="1">
      <c r="BC964" s="234"/>
    </row>
    <row r="965" ht="15.75" customHeight="1">
      <c r="BC965" s="234"/>
    </row>
    <row r="966" ht="15.75" customHeight="1">
      <c r="BC966" s="234"/>
    </row>
    <row r="967" ht="15.75" customHeight="1">
      <c r="BC967" s="234"/>
    </row>
    <row r="968" ht="15.75" customHeight="1">
      <c r="BC968" s="234"/>
    </row>
    <row r="969" ht="15.75" customHeight="1">
      <c r="BC969" s="234"/>
    </row>
    <row r="970" ht="15.75" customHeight="1">
      <c r="BC970" s="234"/>
    </row>
    <row r="971" ht="15.75" customHeight="1">
      <c r="BC971" s="234"/>
    </row>
    <row r="972" ht="15.75" customHeight="1">
      <c r="BC972" s="234"/>
    </row>
    <row r="973" ht="15.75" customHeight="1">
      <c r="BC973" s="234"/>
    </row>
    <row r="974" ht="15.75" customHeight="1">
      <c r="BC974" s="234"/>
    </row>
    <row r="975" ht="15.75" customHeight="1">
      <c r="BC975" s="234"/>
    </row>
    <row r="976" ht="15.75" customHeight="1">
      <c r="BC976" s="234"/>
    </row>
    <row r="977" ht="15.75" customHeight="1">
      <c r="BC977" s="234"/>
    </row>
    <row r="978" ht="15.75" customHeight="1">
      <c r="BC978" s="234"/>
    </row>
    <row r="979" ht="15.75" customHeight="1">
      <c r="BC979" s="234"/>
    </row>
    <row r="980" ht="15.75" customHeight="1">
      <c r="BC980" s="234"/>
    </row>
    <row r="981" ht="15.75" customHeight="1">
      <c r="BC981" s="234"/>
    </row>
    <row r="982" ht="15.75" customHeight="1">
      <c r="BC982" s="234"/>
    </row>
    <row r="983" ht="15.75" customHeight="1">
      <c r="BC983" s="234"/>
    </row>
    <row r="984" ht="15.75" customHeight="1">
      <c r="BC984" s="234"/>
    </row>
    <row r="985" ht="15.75" customHeight="1">
      <c r="BC985" s="234"/>
    </row>
    <row r="986" ht="15.75" customHeight="1">
      <c r="BC986" s="234"/>
    </row>
    <row r="987" ht="15.75" customHeight="1">
      <c r="BC987" s="234"/>
    </row>
    <row r="988" ht="15.75" customHeight="1">
      <c r="BC988" s="234"/>
    </row>
    <row r="989" ht="15.75" customHeight="1">
      <c r="BC989" s="234"/>
    </row>
    <row r="990" ht="15.75" customHeight="1">
      <c r="BC990" s="234"/>
    </row>
    <row r="991" ht="15.75" customHeight="1">
      <c r="BC991" s="234"/>
    </row>
    <row r="992" ht="15.75" customHeight="1">
      <c r="BC992" s="234"/>
    </row>
    <row r="993" ht="15.75" customHeight="1">
      <c r="BC993" s="234"/>
    </row>
    <row r="994" ht="15.75" customHeight="1">
      <c r="BC994" s="234"/>
    </row>
    <row r="995" ht="15.75" customHeight="1">
      <c r="BC995" s="234"/>
    </row>
    <row r="996" ht="15.75" customHeight="1">
      <c r="BC996" s="234"/>
    </row>
    <row r="997" ht="15.75" customHeight="1">
      <c r="BC997" s="234"/>
    </row>
    <row r="998" ht="15.75" customHeight="1">
      <c r="BC998" s="234"/>
    </row>
    <row r="999" ht="15.75" customHeight="1">
      <c r="BC999" s="234"/>
    </row>
    <row r="1000" ht="15.75" customHeight="1">
      <c r="BC1000" s="234"/>
    </row>
  </sheetData>
  <mergeCells count="22">
    <mergeCell ref="AP1:AR1"/>
    <mergeCell ref="AS1:AU1"/>
    <mergeCell ref="AV1:AX1"/>
    <mergeCell ref="AY1:BA1"/>
    <mergeCell ref="BB1:BE1"/>
    <mergeCell ref="J1:S1"/>
    <mergeCell ref="T1:X1"/>
    <mergeCell ref="Z1:AB1"/>
    <mergeCell ref="AC1:AG1"/>
    <mergeCell ref="AH1:AJ1"/>
    <mergeCell ref="AK1:AL1"/>
    <mergeCell ref="AM1:AO1"/>
    <mergeCell ref="AP7:AR7"/>
    <mergeCell ref="AS7:AU7"/>
    <mergeCell ref="AV7:AX7"/>
    <mergeCell ref="A3:A4"/>
    <mergeCell ref="A5:A6"/>
    <mergeCell ref="T7:Y7"/>
    <mergeCell ref="AC7:AG7"/>
    <mergeCell ref="AH7:AJ7"/>
    <mergeCell ref="AK7:AL7"/>
    <mergeCell ref="AM7:AO7"/>
  </mergeCells>
  <hyperlinks>
    <hyperlink r:id="rId2" ref="F3"/>
    <hyperlink r:id="rId3" location="haut" ref="F4"/>
    <hyperlink r:id="rId4" ref="F5"/>
    <hyperlink r:id="rId5" ref="F6"/>
  </hyperlinks>
  <printOptions/>
  <pageMargins bottom="0.75" footer="0.0" header="0.0" left="0.7" right="0.7" top="0.75"/>
  <pageSetup orientation="landscape"/>
  <drawing r:id="rId6"/>
  <legacy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14.25"/>
    <col customWidth="1" min="2" max="2" width="15.63"/>
    <col customWidth="1" min="3" max="3" width="15.0"/>
    <col customWidth="1" min="4" max="4" width="15.25"/>
    <col customWidth="1" min="5" max="6" width="33.0"/>
    <col customWidth="1" min="7" max="7" width="12.13"/>
    <col customWidth="1" min="8" max="8" width="10.75"/>
    <col customWidth="1" min="9" max="9" width="21.13"/>
    <col customWidth="1" min="10" max="10" width="33.0"/>
    <col customWidth="1" min="11" max="11" width="24.88"/>
    <col customWidth="1" min="12" max="12" width="27.5"/>
    <col customWidth="1" min="13" max="13" width="25.75"/>
    <col customWidth="1" min="14" max="14" width="25.88"/>
    <col customWidth="1" min="15" max="15" width="21.5"/>
    <col customWidth="1" min="16" max="18" width="25.0"/>
    <col customWidth="1" min="19" max="19" width="38.5"/>
    <col customWidth="1" min="20" max="29" width="33.0"/>
    <col customWidth="1" min="30" max="30" width="47.0"/>
    <col customWidth="1" min="31" max="52" width="33.0"/>
    <col customWidth="1" min="53" max="53" width="44.25"/>
    <col customWidth="1" min="54" max="54" width="46.0"/>
    <col customWidth="1" min="55" max="55" width="42.38"/>
    <col customWidth="1" min="56" max="56" width="33.0"/>
  </cols>
  <sheetData>
    <row r="1" ht="15.75" customHeight="1">
      <c r="A1" s="191" t="s">
        <v>0</v>
      </c>
      <c r="B1" s="221" t="s">
        <v>1</v>
      </c>
      <c r="C1" s="221" t="s">
        <v>2</v>
      </c>
      <c r="D1" s="221" t="s">
        <v>3</v>
      </c>
      <c r="E1" s="221" t="s">
        <v>4</v>
      </c>
      <c r="F1" s="110" t="s">
        <v>5</v>
      </c>
      <c r="G1" s="110" t="s">
        <v>6</v>
      </c>
      <c r="H1" s="110" t="s">
        <v>7</v>
      </c>
      <c r="I1" s="110" t="s">
        <v>8</v>
      </c>
      <c r="J1" s="98" t="s">
        <v>514</v>
      </c>
      <c r="K1" s="99"/>
      <c r="L1" s="99"/>
      <c r="M1" s="99"/>
      <c r="N1" s="99"/>
      <c r="O1" s="99"/>
      <c r="P1" s="99"/>
      <c r="Q1" s="99"/>
      <c r="R1" s="99"/>
      <c r="S1" s="100"/>
      <c r="T1" s="101" t="s">
        <v>419</v>
      </c>
      <c r="U1" s="102"/>
      <c r="V1" s="102"/>
      <c r="W1" s="102"/>
      <c r="X1" s="103"/>
      <c r="Y1" s="104" t="s">
        <v>420</v>
      </c>
      <c r="Z1" s="105" t="s">
        <v>421</v>
      </c>
      <c r="AA1" s="106"/>
      <c r="AB1" s="107"/>
      <c r="AC1" s="101" t="s">
        <v>422</v>
      </c>
      <c r="AD1" s="102"/>
      <c r="AE1" s="102"/>
      <c r="AF1" s="102"/>
      <c r="AG1" s="103"/>
      <c r="AH1" s="101" t="s">
        <v>423</v>
      </c>
      <c r="AI1" s="102"/>
      <c r="AJ1" s="103"/>
      <c r="AK1" s="101" t="s">
        <v>424</v>
      </c>
      <c r="AL1" s="103"/>
      <c r="AM1" s="101" t="s">
        <v>425</v>
      </c>
      <c r="AN1" s="102"/>
      <c r="AO1" s="103"/>
      <c r="AP1" s="101" t="s">
        <v>426</v>
      </c>
      <c r="AQ1" s="102"/>
      <c r="AR1" s="103"/>
      <c r="AS1" s="101" t="s">
        <v>427</v>
      </c>
      <c r="AT1" s="102"/>
      <c r="AU1" s="103"/>
      <c r="AV1" s="101" t="s">
        <v>428</v>
      </c>
      <c r="AW1" s="102"/>
      <c r="AX1" s="103"/>
      <c r="AY1" s="101" t="s">
        <v>429</v>
      </c>
      <c r="AZ1" s="102"/>
      <c r="BA1" s="103"/>
      <c r="BB1" s="108" t="s">
        <v>430</v>
      </c>
      <c r="BC1" s="102"/>
      <c r="BD1" s="102"/>
      <c r="BE1" s="109"/>
    </row>
    <row r="2" ht="15.75" customHeight="1">
      <c r="A2" s="111"/>
      <c r="B2" s="78"/>
      <c r="C2" s="78"/>
      <c r="D2" s="78"/>
      <c r="E2" s="78"/>
      <c r="F2" s="58"/>
      <c r="G2" s="58"/>
      <c r="H2" s="58"/>
      <c r="I2" s="58"/>
      <c r="J2" s="197" t="s">
        <v>9</v>
      </c>
      <c r="K2" s="117" t="s">
        <v>565</v>
      </c>
      <c r="L2" s="117" t="s">
        <v>516</v>
      </c>
      <c r="M2" s="198" t="s">
        <v>517</v>
      </c>
      <c r="N2" s="58" t="s">
        <v>566</v>
      </c>
      <c r="O2" s="119" t="s">
        <v>567</v>
      </c>
      <c r="P2" s="120" t="s">
        <v>568</v>
      </c>
      <c r="Q2" s="121" t="s">
        <v>569</v>
      </c>
      <c r="R2" s="122" t="s">
        <v>522</v>
      </c>
      <c r="S2" s="235" t="s">
        <v>570</v>
      </c>
      <c r="T2" s="124" t="s">
        <v>571</v>
      </c>
      <c r="U2" s="122" t="s">
        <v>441</v>
      </c>
      <c r="V2" s="122" t="s">
        <v>442</v>
      </c>
      <c r="W2" s="125" t="s">
        <v>443</v>
      </c>
      <c r="X2" s="125" t="s">
        <v>444</v>
      </c>
      <c r="Y2" s="126" t="s">
        <v>445</v>
      </c>
      <c r="Z2" s="124" t="s">
        <v>446</v>
      </c>
      <c r="AA2" s="122" t="s">
        <v>447</v>
      </c>
      <c r="AB2" s="127" t="s">
        <v>448</v>
      </c>
      <c r="AC2" s="128" t="s">
        <v>449</v>
      </c>
      <c r="AD2" s="122" t="s">
        <v>450</v>
      </c>
      <c r="AE2" s="122" t="s">
        <v>451</v>
      </c>
      <c r="AF2" s="66" t="s">
        <v>452</v>
      </c>
      <c r="AG2" s="129" t="s">
        <v>453</v>
      </c>
      <c r="AH2" s="124" t="s">
        <v>454</v>
      </c>
      <c r="AI2" s="122" t="s">
        <v>455</v>
      </c>
      <c r="AJ2" s="127" t="s">
        <v>456</v>
      </c>
      <c r="AK2" s="124" t="s">
        <v>457</v>
      </c>
      <c r="AL2" s="127" t="s">
        <v>458</v>
      </c>
      <c r="AM2" s="124" t="s">
        <v>459</v>
      </c>
      <c r="AN2" s="122" t="s">
        <v>460</v>
      </c>
      <c r="AO2" s="127" t="s">
        <v>461</v>
      </c>
      <c r="AP2" s="124" t="s">
        <v>462</v>
      </c>
      <c r="AQ2" s="122" t="s">
        <v>463</v>
      </c>
      <c r="AR2" s="127" t="s">
        <v>464</v>
      </c>
      <c r="AS2" s="124" t="s">
        <v>465</v>
      </c>
      <c r="AT2" s="122" t="s">
        <v>466</v>
      </c>
      <c r="AU2" s="127" t="s">
        <v>467</v>
      </c>
      <c r="AV2" s="124" t="s">
        <v>468</v>
      </c>
      <c r="AW2" s="122" t="s">
        <v>469</v>
      </c>
      <c r="AX2" s="127" t="s">
        <v>470</v>
      </c>
      <c r="AY2" s="124" t="s">
        <v>471</v>
      </c>
      <c r="AZ2" s="122" t="s">
        <v>472</v>
      </c>
      <c r="BA2" s="127" t="s">
        <v>473</v>
      </c>
      <c r="BB2" s="131" t="s">
        <v>474</v>
      </c>
      <c r="BC2" s="132" t="s">
        <v>572</v>
      </c>
      <c r="BD2" s="133" t="s">
        <v>573</v>
      </c>
      <c r="BE2" s="134" t="s">
        <v>574</v>
      </c>
    </row>
    <row r="3" ht="19.5" customHeight="1">
      <c r="A3" s="10" t="s">
        <v>20</v>
      </c>
      <c r="B3" s="12" t="s">
        <v>88</v>
      </c>
      <c r="C3" s="12" t="s">
        <v>89</v>
      </c>
      <c r="D3" s="12" t="s">
        <v>90</v>
      </c>
      <c r="E3" s="12" t="s">
        <v>91</v>
      </c>
      <c r="F3" s="52" t="s">
        <v>575</v>
      </c>
      <c r="G3" s="15"/>
      <c r="H3" s="15" t="s">
        <v>93</v>
      </c>
      <c r="I3" s="136" t="s">
        <v>576</v>
      </c>
      <c r="J3" s="139" t="s">
        <v>95</v>
      </c>
      <c r="K3" s="15">
        <v>150.0</v>
      </c>
      <c r="L3" s="15">
        <v>5.0</v>
      </c>
      <c r="M3" s="15">
        <v>200000.0</v>
      </c>
      <c r="N3" s="15"/>
      <c r="O3" s="15"/>
      <c r="P3" s="15">
        <f t="shared" ref="P3:P12" si="1">if(S3&lt;500,0,S3/L3)</f>
        <v>40000</v>
      </c>
      <c r="Q3" s="15">
        <f t="shared" ref="Q3:Q12" si="2">S3*0.04</f>
        <v>8000</v>
      </c>
      <c r="R3" s="15">
        <v>1.0</v>
      </c>
      <c r="S3" s="136">
        <f t="shared" ref="S3:S12" si="3">(M3*R3)+(O3*K3*12*L3)+(N3*K3)</f>
        <v>200000</v>
      </c>
      <c r="T3" s="139">
        <v>17.0</v>
      </c>
      <c r="U3" s="15">
        <v>0.7</v>
      </c>
      <c r="V3" s="15">
        <v>2.5</v>
      </c>
      <c r="W3" s="15">
        <f t="shared" ref="W3:W12" si="4">U3*V3*K3*365</f>
        <v>95812.5</v>
      </c>
      <c r="X3" s="136">
        <f t="shared" ref="X3:X12" si="5">W3*(1+T3%)</f>
        <v>112100.625</v>
      </c>
      <c r="Y3" s="140">
        <f t="shared" ref="Y3:Y12" si="6">X3-W3</f>
        <v>16288.125</v>
      </c>
      <c r="Z3" s="201">
        <v>25.0</v>
      </c>
      <c r="AA3" s="142">
        <v>15000.0</v>
      </c>
      <c r="AB3" s="143">
        <f t="shared" ref="AB3:AB12" si="7">AA3-(AA3*(1-Z3%))</f>
        <v>3750</v>
      </c>
      <c r="AC3" s="141">
        <v>0.0</v>
      </c>
      <c r="AD3" s="15">
        <v>30000.0</v>
      </c>
      <c r="AE3" s="15">
        <v>0.17</v>
      </c>
      <c r="AF3" s="15">
        <f t="shared" ref="AF3:AF12" si="8">AD3*AE3</f>
        <v>5100</v>
      </c>
      <c r="AG3" s="136">
        <f t="shared" ref="AG3:AG12" si="9">AF3-(AF3*(1-AC3%))</f>
        <v>0</v>
      </c>
      <c r="AH3" s="141">
        <v>0.0</v>
      </c>
      <c r="AI3" s="15">
        <v>2500.0</v>
      </c>
      <c r="AJ3" s="136">
        <f t="shared" ref="AJ3:AJ12" si="10">AI3-(AI3*(1-AH3%))</f>
        <v>0</v>
      </c>
      <c r="AK3" s="141">
        <v>0.0</v>
      </c>
      <c r="AL3" s="136">
        <f t="shared" ref="AL3:AL12" si="11">AK3*K3</f>
        <v>0</v>
      </c>
      <c r="AM3" s="141">
        <v>0.0</v>
      </c>
      <c r="AN3" s="15">
        <v>20000.0</v>
      </c>
      <c r="AO3" s="136">
        <f t="shared" ref="AO3:AO12" si="12">AN3-(AN3*(1-AM3%))</f>
        <v>0</v>
      </c>
      <c r="AP3" s="141">
        <v>0.0</v>
      </c>
      <c r="AQ3" s="15">
        <v>1000.0</v>
      </c>
      <c r="AR3" s="136">
        <f t="shared" ref="AR3:AR12" si="13">AQ3-(AQ3*(1-AP3%))</f>
        <v>0</v>
      </c>
      <c r="AS3" s="141">
        <v>0.0</v>
      </c>
      <c r="AT3" s="15">
        <v>3000.0</v>
      </c>
      <c r="AU3" s="136">
        <f t="shared" ref="AU3:AU12" si="14">AT3-(AT3*(1-AS3%))</f>
        <v>0</v>
      </c>
      <c r="AV3" s="141">
        <v>0.0</v>
      </c>
      <c r="AW3" s="15">
        <v>2500.0</v>
      </c>
      <c r="AX3" s="136">
        <f t="shared" ref="AX3:AX12" si="15">AW3-(AW3*(1-AV3%))</f>
        <v>0</v>
      </c>
      <c r="AY3" s="141">
        <v>0.0</v>
      </c>
      <c r="AZ3" s="15">
        <v>25000.0</v>
      </c>
      <c r="BA3" s="136">
        <f t="shared" ref="BA3:BA12" si="16">AZ3-(AZ3*(1-AY3%))</f>
        <v>0</v>
      </c>
      <c r="BB3" s="139">
        <f t="shared" ref="BB3:BB12" si="17">(Y3+AB3+AG3+AJ3+AL3+AO3+AR3+AU3+AX3+BA3)-P3-Q3</f>
        <v>-27961.875</v>
      </c>
      <c r="BC3" s="236">
        <f t="shared" ref="BC3:BC12" si="18">if(S3&gt;0,BB3/S3,"The DAT is free")</f>
        <v>-0.139809375</v>
      </c>
      <c r="BD3" s="136" t="str">
        <f t="shared" ref="BD3:BD12" si="19">if(BB3&gt;0,S3/BB3,"Payback period not applicable: the investment does not recover its cost under current conditions.")</f>
        <v>Payback period not applicable: the investment does not recover its cost under current conditions.</v>
      </c>
      <c r="BE3" s="237" t="str">
        <f t="shared" ref="BE3:BE12" si="20">IF(BD3&lt;6, "YES", "NO")</f>
        <v>NO</v>
      </c>
    </row>
    <row r="4" ht="18.75" customHeight="1">
      <c r="A4" s="22"/>
      <c r="B4" s="24" t="s">
        <v>88</v>
      </c>
      <c r="C4" s="24" t="s">
        <v>96</v>
      </c>
      <c r="D4" s="24" t="s">
        <v>90</v>
      </c>
      <c r="E4" s="24" t="s">
        <v>97</v>
      </c>
      <c r="F4" s="54" t="s">
        <v>577</v>
      </c>
      <c r="G4" s="27"/>
      <c r="H4" s="27" t="s">
        <v>99</v>
      </c>
      <c r="I4" s="150" t="s">
        <v>578</v>
      </c>
      <c r="J4" s="152" t="s">
        <v>95</v>
      </c>
      <c r="K4" s="27">
        <v>150.0</v>
      </c>
      <c r="L4" s="27">
        <v>5.0</v>
      </c>
      <c r="M4" s="27">
        <v>200000.0</v>
      </c>
      <c r="N4" s="27"/>
      <c r="O4" s="27"/>
      <c r="P4" s="15">
        <f t="shared" si="1"/>
        <v>40000</v>
      </c>
      <c r="Q4" s="15">
        <f t="shared" si="2"/>
        <v>8000</v>
      </c>
      <c r="R4" s="27">
        <v>1.0</v>
      </c>
      <c r="S4" s="136">
        <f t="shared" si="3"/>
        <v>200000</v>
      </c>
      <c r="T4" s="152">
        <v>17.0</v>
      </c>
      <c r="U4" s="27">
        <v>0.7</v>
      </c>
      <c r="V4" s="27">
        <v>2.5</v>
      </c>
      <c r="W4" s="27">
        <f t="shared" si="4"/>
        <v>95812.5</v>
      </c>
      <c r="X4" s="150">
        <f t="shared" si="5"/>
        <v>112100.625</v>
      </c>
      <c r="Y4" s="153">
        <f t="shared" si="6"/>
        <v>16288.125</v>
      </c>
      <c r="Z4" s="229">
        <v>25.0</v>
      </c>
      <c r="AA4" s="155">
        <v>15000.0</v>
      </c>
      <c r="AB4" s="156">
        <f t="shared" si="7"/>
        <v>3750</v>
      </c>
      <c r="AC4" s="154">
        <v>0.0</v>
      </c>
      <c r="AD4" s="27">
        <v>30000.0</v>
      </c>
      <c r="AE4" s="27">
        <v>0.17</v>
      </c>
      <c r="AF4" s="15">
        <f t="shared" si="8"/>
        <v>5100</v>
      </c>
      <c r="AG4" s="150">
        <f t="shared" si="9"/>
        <v>0</v>
      </c>
      <c r="AH4" s="154">
        <v>0.0</v>
      </c>
      <c r="AI4" s="27">
        <v>2500.0</v>
      </c>
      <c r="AJ4" s="150">
        <f t="shared" si="10"/>
        <v>0</v>
      </c>
      <c r="AK4" s="154">
        <v>0.0</v>
      </c>
      <c r="AL4" s="150">
        <f t="shared" si="11"/>
        <v>0</v>
      </c>
      <c r="AM4" s="154">
        <v>0.0</v>
      </c>
      <c r="AN4" s="27">
        <v>20000.0</v>
      </c>
      <c r="AO4" s="150">
        <f t="shared" si="12"/>
        <v>0</v>
      </c>
      <c r="AP4" s="154">
        <v>0.0</v>
      </c>
      <c r="AQ4" s="27">
        <v>1000.0</v>
      </c>
      <c r="AR4" s="150">
        <f t="shared" si="13"/>
        <v>0</v>
      </c>
      <c r="AS4" s="154">
        <v>0.0</v>
      </c>
      <c r="AT4" s="27">
        <v>3000.0</v>
      </c>
      <c r="AU4" s="150">
        <f t="shared" si="14"/>
        <v>0</v>
      </c>
      <c r="AV4" s="154">
        <v>0.0</v>
      </c>
      <c r="AW4" s="27">
        <v>2500.0</v>
      </c>
      <c r="AX4" s="150">
        <f t="shared" si="15"/>
        <v>0</v>
      </c>
      <c r="AY4" s="154">
        <v>0.0</v>
      </c>
      <c r="AZ4" s="27">
        <v>25000.0</v>
      </c>
      <c r="BA4" s="150">
        <f t="shared" si="16"/>
        <v>0</v>
      </c>
      <c r="BB4" s="139">
        <f t="shared" si="17"/>
        <v>-27961.875</v>
      </c>
      <c r="BC4" s="236">
        <f t="shared" si="18"/>
        <v>-0.139809375</v>
      </c>
      <c r="BD4" s="136" t="str">
        <f t="shared" si="19"/>
        <v>Payback period not applicable: the investment does not recover its cost under current conditions.</v>
      </c>
      <c r="BE4" s="237" t="str">
        <f t="shared" si="20"/>
        <v>NO</v>
      </c>
    </row>
    <row r="5" ht="15.75" customHeight="1">
      <c r="A5" s="39"/>
      <c r="B5" s="40" t="s">
        <v>101</v>
      </c>
      <c r="C5" s="40" t="s">
        <v>102</v>
      </c>
      <c r="D5" s="40" t="s">
        <v>103</v>
      </c>
      <c r="E5" s="40" t="s">
        <v>104</v>
      </c>
      <c r="F5" s="166" t="s">
        <v>579</v>
      </c>
      <c r="G5" s="43"/>
      <c r="H5" s="43" t="s">
        <v>93</v>
      </c>
      <c r="I5" s="167" t="s">
        <v>106</v>
      </c>
      <c r="J5" s="169" t="s">
        <v>95</v>
      </c>
      <c r="K5" s="27">
        <v>150.0</v>
      </c>
      <c r="L5" s="43">
        <v>5.0</v>
      </c>
      <c r="M5" s="43">
        <v>200000.0</v>
      </c>
      <c r="N5" s="43"/>
      <c r="O5" s="43"/>
      <c r="P5" s="15">
        <f t="shared" si="1"/>
        <v>40000</v>
      </c>
      <c r="Q5" s="15">
        <f t="shared" si="2"/>
        <v>8000</v>
      </c>
      <c r="R5" s="43">
        <v>1.0</v>
      </c>
      <c r="S5" s="136">
        <f t="shared" si="3"/>
        <v>200000</v>
      </c>
      <c r="T5" s="169">
        <v>14.0</v>
      </c>
      <c r="U5" s="27">
        <v>0.7</v>
      </c>
      <c r="V5" s="43">
        <v>2.5</v>
      </c>
      <c r="W5" s="43">
        <f t="shared" si="4"/>
        <v>95812.5</v>
      </c>
      <c r="X5" s="167">
        <f t="shared" si="5"/>
        <v>109226.25</v>
      </c>
      <c r="Y5" s="170">
        <f t="shared" si="6"/>
        <v>13413.75</v>
      </c>
      <c r="Z5" s="238">
        <v>43.0</v>
      </c>
      <c r="AA5" s="155">
        <v>15000.0</v>
      </c>
      <c r="AB5" s="171">
        <f t="shared" si="7"/>
        <v>6450</v>
      </c>
      <c r="AC5" s="172">
        <v>0.0</v>
      </c>
      <c r="AD5" s="27">
        <v>30000.0</v>
      </c>
      <c r="AE5" s="43">
        <v>0.17</v>
      </c>
      <c r="AF5" s="15">
        <f t="shared" si="8"/>
        <v>5100</v>
      </c>
      <c r="AG5" s="167">
        <f t="shared" si="9"/>
        <v>0</v>
      </c>
      <c r="AH5" s="172">
        <v>0.0</v>
      </c>
      <c r="AI5" s="43">
        <v>2500.0</v>
      </c>
      <c r="AJ5" s="167">
        <f t="shared" si="10"/>
        <v>0</v>
      </c>
      <c r="AK5" s="172">
        <v>0.0</v>
      </c>
      <c r="AL5" s="167">
        <f t="shared" si="11"/>
        <v>0</v>
      </c>
      <c r="AM5" s="172">
        <v>0.0</v>
      </c>
      <c r="AN5" s="27">
        <v>20000.0</v>
      </c>
      <c r="AO5" s="167">
        <f t="shared" si="12"/>
        <v>0</v>
      </c>
      <c r="AP5" s="172">
        <v>0.0</v>
      </c>
      <c r="AQ5" s="43">
        <v>1000.0</v>
      </c>
      <c r="AR5" s="167">
        <f t="shared" si="13"/>
        <v>0</v>
      </c>
      <c r="AS5" s="172">
        <v>0.0</v>
      </c>
      <c r="AT5" s="43">
        <v>3000.0</v>
      </c>
      <c r="AU5" s="167">
        <f t="shared" si="14"/>
        <v>0</v>
      </c>
      <c r="AV5" s="172">
        <v>0.0</v>
      </c>
      <c r="AW5" s="43">
        <v>2500.0</v>
      </c>
      <c r="AX5" s="167">
        <f t="shared" si="15"/>
        <v>0</v>
      </c>
      <c r="AY5" s="172">
        <v>0.0</v>
      </c>
      <c r="AZ5" s="43">
        <v>25000.0</v>
      </c>
      <c r="BA5" s="167">
        <f t="shared" si="16"/>
        <v>0</v>
      </c>
      <c r="BB5" s="139">
        <f t="shared" si="17"/>
        <v>-28136.25</v>
      </c>
      <c r="BC5" s="236">
        <f t="shared" si="18"/>
        <v>-0.14068125</v>
      </c>
      <c r="BD5" s="136" t="str">
        <f t="shared" si="19"/>
        <v>Payback period not applicable: the investment does not recover its cost under current conditions.</v>
      </c>
      <c r="BE5" s="237" t="str">
        <f t="shared" si="20"/>
        <v>NO</v>
      </c>
    </row>
    <row r="6" ht="15.75" customHeight="1">
      <c r="A6" s="10" t="s">
        <v>170</v>
      </c>
      <c r="B6" s="50" t="s">
        <v>227</v>
      </c>
      <c r="C6" s="50" t="s">
        <v>558</v>
      </c>
      <c r="D6" s="50" t="s">
        <v>212</v>
      </c>
      <c r="E6" s="50" t="s">
        <v>536</v>
      </c>
      <c r="F6" s="208" t="s">
        <v>580</v>
      </c>
      <c r="G6" s="199"/>
      <c r="H6" s="11" t="s">
        <v>581</v>
      </c>
      <c r="I6" s="239" t="s">
        <v>582</v>
      </c>
      <c r="J6" s="139" t="s">
        <v>561</v>
      </c>
      <c r="K6" s="15">
        <v>150.0</v>
      </c>
      <c r="L6" s="15">
        <v>5.0</v>
      </c>
      <c r="M6" s="15">
        <v>35000.0</v>
      </c>
      <c r="N6" s="15"/>
      <c r="O6" s="15"/>
      <c r="P6" s="15">
        <f t="shared" si="1"/>
        <v>7000</v>
      </c>
      <c r="Q6" s="15">
        <f t="shared" si="2"/>
        <v>1400</v>
      </c>
      <c r="R6" s="15">
        <v>1.0</v>
      </c>
      <c r="S6" s="136">
        <f t="shared" si="3"/>
        <v>35000</v>
      </c>
      <c r="T6" s="139">
        <v>10.0</v>
      </c>
      <c r="U6" s="15">
        <v>0.7</v>
      </c>
      <c r="V6" s="15">
        <v>2.5</v>
      </c>
      <c r="W6" s="15">
        <f t="shared" si="4"/>
        <v>95812.5</v>
      </c>
      <c r="X6" s="136">
        <f t="shared" si="5"/>
        <v>105393.75</v>
      </c>
      <c r="Y6" s="140">
        <f t="shared" si="6"/>
        <v>9581.25</v>
      </c>
      <c r="Z6" s="209">
        <v>0.0</v>
      </c>
      <c r="AA6" s="142">
        <v>15000.0</v>
      </c>
      <c r="AB6" s="143">
        <f t="shared" si="7"/>
        <v>0</v>
      </c>
      <c r="AC6" s="141">
        <v>0.0</v>
      </c>
      <c r="AD6" s="15">
        <v>30000.0</v>
      </c>
      <c r="AE6" s="15">
        <v>0.17</v>
      </c>
      <c r="AF6" s="15">
        <f t="shared" si="8"/>
        <v>5100</v>
      </c>
      <c r="AG6" s="136">
        <f t="shared" si="9"/>
        <v>0</v>
      </c>
      <c r="AH6" s="141">
        <v>0.0</v>
      </c>
      <c r="AI6" s="15">
        <v>2500.0</v>
      </c>
      <c r="AJ6" s="136">
        <f t="shared" si="10"/>
        <v>0</v>
      </c>
      <c r="AK6" s="141">
        <v>0.0</v>
      </c>
      <c r="AL6" s="136">
        <f t="shared" si="11"/>
        <v>0</v>
      </c>
      <c r="AM6" s="141">
        <v>0.0</v>
      </c>
      <c r="AN6" s="15">
        <v>20000.0</v>
      </c>
      <c r="AO6" s="136">
        <f t="shared" si="12"/>
        <v>0</v>
      </c>
      <c r="AP6" s="141">
        <v>0.0</v>
      </c>
      <c r="AQ6" s="15">
        <v>1000.0</v>
      </c>
      <c r="AR6" s="136">
        <f t="shared" si="13"/>
        <v>0</v>
      </c>
      <c r="AS6" s="141">
        <v>0.0</v>
      </c>
      <c r="AT6" s="15">
        <v>3000.0</v>
      </c>
      <c r="AU6" s="136">
        <f t="shared" si="14"/>
        <v>0</v>
      </c>
      <c r="AV6" s="141">
        <v>0.0</v>
      </c>
      <c r="AW6" s="15">
        <v>2500.0</v>
      </c>
      <c r="AX6" s="136">
        <f t="shared" si="15"/>
        <v>0</v>
      </c>
      <c r="AY6" s="141">
        <v>0.0</v>
      </c>
      <c r="AZ6" s="15">
        <v>25000.0</v>
      </c>
      <c r="BA6" s="136">
        <f t="shared" si="16"/>
        <v>0</v>
      </c>
      <c r="BB6" s="139">
        <f t="shared" si="17"/>
        <v>1181.25</v>
      </c>
      <c r="BC6" s="236">
        <f t="shared" si="18"/>
        <v>0.03375</v>
      </c>
      <c r="BD6" s="136">
        <f t="shared" si="19"/>
        <v>29.62962963</v>
      </c>
      <c r="BE6" s="237" t="str">
        <f t="shared" si="20"/>
        <v>NO</v>
      </c>
    </row>
    <row r="7" ht="15.0" customHeight="1">
      <c r="A7" s="22"/>
      <c r="B7" s="23" t="s">
        <v>295</v>
      </c>
      <c r="C7" s="23" t="s">
        <v>296</v>
      </c>
      <c r="D7" s="23" t="s">
        <v>212</v>
      </c>
      <c r="E7" s="24" t="s">
        <v>297</v>
      </c>
      <c r="F7" s="149" t="s">
        <v>583</v>
      </c>
      <c r="G7" s="27"/>
      <c r="H7" s="27"/>
      <c r="I7" s="150" t="s">
        <v>584</v>
      </c>
      <c r="J7" s="152" t="s">
        <v>300</v>
      </c>
      <c r="K7" s="27">
        <v>150.0</v>
      </c>
      <c r="L7" s="27">
        <v>5.0</v>
      </c>
      <c r="M7" s="27">
        <v>50000.0</v>
      </c>
      <c r="N7" s="27"/>
      <c r="O7" s="27"/>
      <c r="P7" s="15">
        <f t="shared" si="1"/>
        <v>10000</v>
      </c>
      <c r="Q7" s="15">
        <f t="shared" si="2"/>
        <v>2000</v>
      </c>
      <c r="R7" s="27">
        <v>1.0</v>
      </c>
      <c r="S7" s="136">
        <f t="shared" si="3"/>
        <v>50000</v>
      </c>
      <c r="T7" s="152">
        <v>10.0</v>
      </c>
      <c r="U7" s="27">
        <v>0.7</v>
      </c>
      <c r="V7" s="27">
        <v>2.5</v>
      </c>
      <c r="W7" s="27">
        <f t="shared" si="4"/>
        <v>95812.5</v>
      </c>
      <c r="X7" s="150">
        <f t="shared" si="5"/>
        <v>105393.75</v>
      </c>
      <c r="Y7" s="153">
        <f t="shared" si="6"/>
        <v>9581.25</v>
      </c>
      <c r="Z7" s="229">
        <v>20.0</v>
      </c>
      <c r="AA7" s="155">
        <v>15000.0</v>
      </c>
      <c r="AB7" s="156">
        <f t="shared" si="7"/>
        <v>3000</v>
      </c>
      <c r="AC7" s="154">
        <v>0.0</v>
      </c>
      <c r="AD7" s="27">
        <v>30000.0</v>
      </c>
      <c r="AE7" s="27">
        <v>0.17</v>
      </c>
      <c r="AF7" s="15">
        <f t="shared" si="8"/>
        <v>5100</v>
      </c>
      <c r="AG7" s="150">
        <f t="shared" si="9"/>
        <v>0</v>
      </c>
      <c r="AH7" s="154">
        <v>0.0</v>
      </c>
      <c r="AI7" s="27">
        <v>2500.0</v>
      </c>
      <c r="AJ7" s="150">
        <f t="shared" si="10"/>
        <v>0</v>
      </c>
      <c r="AK7" s="154">
        <v>0.0</v>
      </c>
      <c r="AL7" s="150">
        <f t="shared" si="11"/>
        <v>0</v>
      </c>
      <c r="AM7" s="154">
        <v>0.0</v>
      </c>
      <c r="AN7" s="27">
        <v>20000.0</v>
      </c>
      <c r="AO7" s="150">
        <f t="shared" si="12"/>
        <v>0</v>
      </c>
      <c r="AP7" s="152">
        <v>10.0</v>
      </c>
      <c r="AQ7" s="27">
        <v>1000.0</v>
      </c>
      <c r="AR7" s="150">
        <f t="shared" si="13"/>
        <v>100</v>
      </c>
      <c r="AS7" s="154">
        <v>0.0</v>
      </c>
      <c r="AT7" s="27">
        <v>3000.0</v>
      </c>
      <c r="AU7" s="150">
        <f t="shared" si="14"/>
        <v>0</v>
      </c>
      <c r="AV7" s="154">
        <v>0.0</v>
      </c>
      <c r="AW7" s="27">
        <v>2500.0</v>
      </c>
      <c r="AX7" s="150">
        <f t="shared" si="15"/>
        <v>0</v>
      </c>
      <c r="AY7" s="154">
        <v>0.0</v>
      </c>
      <c r="AZ7" s="27">
        <v>25000.0</v>
      </c>
      <c r="BA7" s="150">
        <f t="shared" si="16"/>
        <v>0</v>
      </c>
      <c r="BB7" s="139">
        <f t="shared" si="17"/>
        <v>681.25</v>
      </c>
      <c r="BC7" s="236">
        <f t="shared" si="18"/>
        <v>0.013625</v>
      </c>
      <c r="BD7" s="136">
        <f t="shared" si="19"/>
        <v>73.39449541</v>
      </c>
      <c r="BE7" s="237" t="str">
        <f t="shared" si="20"/>
        <v>NO</v>
      </c>
    </row>
    <row r="8" ht="15.75" customHeight="1">
      <c r="A8" s="22"/>
      <c r="B8" s="23" t="s">
        <v>171</v>
      </c>
      <c r="C8" s="23" t="s">
        <v>183</v>
      </c>
      <c r="D8" s="24" t="s">
        <v>44</v>
      </c>
      <c r="E8" s="24" t="s">
        <v>184</v>
      </c>
      <c r="F8" s="149" t="s">
        <v>585</v>
      </c>
      <c r="G8" s="27"/>
      <c r="H8" s="27" t="s">
        <v>586</v>
      </c>
      <c r="I8" s="150" t="s">
        <v>587</v>
      </c>
      <c r="J8" s="240">
        <v>180000.0</v>
      </c>
      <c r="K8" s="27">
        <v>150.0</v>
      </c>
      <c r="L8" s="27">
        <v>5.0</v>
      </c>
      <c r="M8" s="27">
        <v>180000.0</v>
      </c>
      <c r="N8" s="27"/>
      <c r="O8" s="27"/>
      <c r="P8" s="15">
        <f t="shared" si="1"/>
        <v>36000</v>
      </c>
      <c r="Q8" s="15">
        <f t="shared" si="2"/>
        <v>7200</v>
      </c>
      <c r="R8" s="27">
        <v>1.0</v>
      </c>
      <c r="S8" s="136">
        <f t="shared" si="3"/>
        <v>180000</v>
      </c>
      <c r="T8" s="152">
        <v>10.0</v>
      </c>
      <c r="U8" s="27">
        <v>0.7</v>
      </c>
      <c r="V8" s="27">
        <v>2.5</v>
      </c>
      <c r="W8" s="27">
        <f t="shared" si="4"/>
        <v>95812.5</v>
      </c>
      <c r="X8" s="150">
        <f t="shared" si="5"/>
        <v>105393.75</v>
      </c>
      <c r="Y8" s="153">
        <f t="shared" si="6"/>
        <v>9581.25</v>
      </c>
      <c r="Z8" s="229">
        <v>79.0</v>
      </c>
      <c r="AA8" s="155">
        <v>15000.0</v>
      </c>
      <c r="AB8" s="156">
        <f t="shared" si="7"/>
        <v>11850</v>
      </c>
      <c r="AC8" s="152">
        <v>97.0</v>
      </c>
      <c r="AD8" s="27">
        <v>30000.0</v>
      </c>
      <c r="AE8" s="27">
        <v>0.17</v>
      </c>
      <c r="AF8" s="15">
        <f t="shared" si="8"/>
        <v>5100</v>
      </c>
      <c r="AG8" s="150">
        <f t="shared" si="9"/>
        <v>4947</v>
      </c>
      <c r="AH8" s="154">
        <v>0.0</v>
      </c>
      <c r="AI8" s="27">
        <v>2500.0</v>
      </c>
      <c r="AJ8" s="150">
        <f t="shared" si="10"/>
        <v>0</v>
      </c>
      <c r="AK8" s="154">
        <v>0.0</v>
      </c>
      <c r="AL8" s="150">
        <f t="shared" si="11"/>
        <v>0</v>
      </c>
      <c r="AM8" s="152">
        <v>33.0</v>
      </c>
      <c r="AN8" s="27">
        <v>20000.0</v>
      </c>
      <c r="AO8" s="150">
        <f t="shared" si="12"/>
        <v>6600</v>
      </c>
      <c r="AP8" s="154">
        <v>0.0</v>
      </c>
      <c r="AQ8" s="27">
        <v>1000.0</v>
      </c>
      <c r="AR8" s="150">
        <f t="shared" si="13"/>
        <v>0</v>
      </c>
      <c r="AS8" s="154">
        <v>0.0</v>
      </c>
      <c r="AT8" s="27">
        <v>3000.0</v>
      </c>
      <c r="AU8" s="150">
        <f t="shared" si="14"/>
        <v>0</v>
      </c>
      <c r="AV8" s="154">
        <v>0.0</v>
      </c>
      <c r="AW8" s="27">
        <v>2500.0</v>
      </c>
      <c r="AX8" s="150">
        <f t="shared" si="15"/>
        <v>0</v>
      </c>
      <c r="AY8" s="154">
        <v>0.0</v>
      </c>
      <c r="AZ8" s="27">
        <v>25000.0</v>
      </c>
      <c r="BA8" s="150">
        <f t="shared" si="16"/>
        <v>0</v>
      </c>
      <c r="BB8" s="139">
        <f t="shared" si="17"/>
        <v>-10221.75</v>
      </c>
      <c r="BC8" s="236">
        <f t="shared" si="18"/>
        <v>-0.0567875</v>
      </c>
      <c r="BD8" s="136" t="str">
        <f t="shared" si="19"/>
        <v>Payback period not applicable: the investment does not recover its cost under current conditions.</v>
      </c>
      <c r="BE8" s="237" t="str">
        <f t="shared" si="20"/>
        <v>NO</v>
      </c>
    </row>
    <row r="9" ht="15.75" customHeight="1">
      <c r="A9" s="22"/>
      <c r="B9" s="24" t="s">
        <v>203</v>
      </c>
      <c r="C9" s="24" t="s">
        <v>219</v>
      </c>
      <c r="D9" s="24" t="s">
        <v>220</v>
      </c>
      <c r="E9" s="24" t="s">
        <v>221</v>
      </c>
      <c r="F9" s="54" t="s">
        <v>504</v>
      </c>
      <c r="G9" s="54" t="s">
        <v>135</v>
      </c>
      <c r="H9" s="27" t="s">
        <v>223</v>
      </c>
      <c r="I9" s="150" t="s">
        <v>224</v>
      </c>
      <c r="J9" s="152" t="s">
        <v>309</v>
      </c>
      <c r="K9" s="27">
        <v>150.0</v>
      </c>
      <c r="L9" s="27">
        <v>5.0</v>
      </c>
      <c r="M9" s="27">
        <v>75000.0</v>
      </c>
      <c r="N9" s="27"/>
      <c r="O9" s="27"/>
      <c r="P9" s="15">
        <f t="shared" si="1"/>
        <v>15000</v>
      </c>
      <c r="Q9" s="15">
        <f t="shared" si="2"/>
        <v>3000</v>
      </c>
      <c r="R9" s="27">
        <v>1.0</v>
      </c>
      <c r="S9" s="136">
        <f t="shared" si="3"/>
        <v>75000</v>
      </c>
      <c r="T9" s="152">
        <v>10.0</v>
      </c>
      <c r="U9" s="27">
        <v>0.7</v>
      </c>
      <c r="V9" s="27">
        <v>2.5</v>
      </c>
      <c r="W9" s="27">
        <f t="shared" si="4"/>
        <v>95812.5</v>
      </c>
      <c r="X9" s="150">
        <f t="shared" si="5"/>
        <v>105393.75</v>
      </c>
      <c r="Y9" s="153">
        <f t="shared" si="6"/>
        <v>9581.25</v>
      </c>
      <c r="Z9" s="229">
        <v>20.0</v>
      </c>
      <c r="AA9" s="155">
        <v>15000.0</v>
      </c>
      <c r="AB9" s="156">
        <f t="shared" si="7"/>
        <v>3000</v>
      </c>
      <c r="AC9" s="154">
        <v>0.0</v>
      </c>
      <c r="AD9" s="27">
        <v>30000.0</v>
      </c>
      <c r="AE9" s="27">
        <v>0.17</v>
      </c>
      <c r="AF9" s="15">
        <f t="shared" si="8"/>
        <v>5100</v>
      </c>
      <c r="AG9" s="150">
        <f t="shared" si="9"/>
        <v>0</v>
      </c>
      <c r="AH9" s="154">
        <v>0.0</v>
      </c>
      <c r="AI9" s="27">
        <v>2500.0</v>
      </c>
      <c r="AJ9" s="150">
        <f t="shared" si="10"/>
        <v>0</v>
      </c>
      <c r="AK9" s="154">
        <v>0.0</v>
      </c>
      <c r="AL9" s="150">
        <f t="shared" si="11"/>
        <v>0</v>
      </c>
      <c r="AM9" s="154">
        <v>0.0</v>
      </c>
      <c r="AN9" s="27">
        <v>20000.0</v>
      </c>
      <c r="AO9" s="150">
        <f t="shared" si="12"/>
        <v>0</v>
      </c>
      <c r="AP9" s="154">
        <v>0.0</v>
      </c>
      <c r="AQ9" s="27">
        <v>1000.0</v>
      </c>
      <c r="AR9" s="150">
        <f t="shared" si="13"/>
        <v>0</v>
      </c>
      <c r="AS9" s="154">
        <v>0.0</v>
      </c>
      <c r="AT9" s="27">
        <v>3000.0</v>
      </c>
      <c r="AU9" s="150">
        <f t="shared" si="14"/>
        <v>0</v>
      </c>
      <c r="AV9" s="154">
        <v>0.0</v>
      </c>
      <c r="AW9" s="27">
        <v>2500.0</v>
      </c>
      <c r="AX9" s="150">
        <f t="shared" si="15"/>
        <v>0</v>
      </c>
      <c r="AY9" s="154">
        <v>0.0</v>
      </c>
      <c r="AZ9" s="27">
        <v>25000.0</v>
      </c>
      <c r="BA9" s="150">
        <f t="shared" si="16"/>
        <v>0</v>
      </c>
      <c r="BB9" s="139">
        <f t="shared" si="17"/>
        <v>-5418.75</v>
      </c>
      <c r="BC9" s="236">
        <f t="shared" si="18"/>
        <v>-0.07225</v>
      </c>
      <c r="BD9" s="136" t="str">
        <f t="shared" si="19"/>
        <v>Payback period not applicable: the investment does not recover its cost under current conditions.</v>
      </c>
      <c r="BE9" s="237" t="str">
        <f t="shared" si="20"/>
        <v>NO</v>
      </c>
    </row>
    <row r="10" ht="15.0" customHeight="1">
      <c r="A10" s="22"/>
      <c r="B10" s="24" t="s">
        <v>310</v>
      </c>
      <c r="C10" s="24" t="s">
        <v>311</v>
      </c>
      <c r="D10" s="78" t="s">
        <v>312</v>
      </c>
      <c r="E10" s="24" t="s">
        <v>313</v>
      </c>
      <c r="F10" s="54" t="s">
        <v>588</v>
      </c>
      <c r="G10" s="27"/>
      <c r="H10" s="27" t="s">
        <v>315</v>
      </c>
      <c r="I10" s="150" t="s">
        <v>589</v>
      </c>
      <c r="J10" s="152" t="s">
        <v>317</v>
      </c>
      <c r="K10" s="27">
        <v>150.0</v>
      </c>
      <c r="L10" s="27">
        <v>5.0</v>
      </c>
      <c r="M10" s="27">
        <v>26000.0</v>
      </c>
      <c r="N10" s="27"/>
      <c r="O10" s="27"/>
      <c r="P10" s="15">
        <f t="shared" si="1"/>
        <v>5200</v>
      </c>
      <c r="Q10" s="15">
        <f t="shared" si="2"/>
        <v>1040</v>
      </c>
      <c r="R10" s="27">
        <v>1.0</v>
      </c>
      <c r="S10" s="136">
        <f t="shared" si="3"/>
        <v>26000</v>
      </c>
      <c r="T10" s="152">
        <v>20.0</v>
      </c>
      <c r="U10" s="27">
        <v>0.7</v>
      </c>
      <c r="V10" s="27">
        <v>2.5</v>
      </c>
      <c r="W10" s="27">
        <f t="shared" si="4"/>
        <v>95812.5</v>
      </c>
      <c r="X10" s="150">
        <f t="shared" si="5"/>
        <v>114975</v>
      </c>
      <c r="Y10" s="153">
        <f t="shared" si="6"/>
        <v>19162.5</v>
      </c>
      <c r="Z10" s="211">
        <v>0.0</v>
      </c>
      <c r="AA10" s="155">
        <v>15000.0</v>
      </c>
      <c r="AB10" s="156">
        <f t="shared" si="7"/>
        <v>0</v>
      </c>
      <c r="AC10" s="154">
        <v>0.0</v>
      </c>
      <c r="AD10" s="27">
        <v>30000.0</v>
      </c>
      <c r="AE10" s="27">
        <v>0.17</v>
      </c>
      <c r="AF10" s="15">
        <f t="shared" si="8"/>
        <v>5100</v>
      </c>
      <c r="AG10" s="150">
        <f t="shared" si="9"/>
        <v>0</v>
      </c>
      <c r="AH10" s="154">
        <v>0.0</v>
      </c>
      <c r="AI10" s="27">
        <v>2500.0</v>
      </c>
      <c r="AJ10" s="150">
        <f t="shared" si="10"/>
        <v>0</v>
      </c>
      <c r="AK10" s="154">
        <v>0.0</v>
      </c>
      <c r="AL10" s="150">
        <f t="shared" si="11"/>
        <v>0</v>
      </c>
      <c r="AM10" s="152">
        <v>15.0</v>
      </c>
      <c r="AN10" s="27">
        <v>20000.0</v>
      </c>
      <c r="AO10" s="150">
        <f t="shared" si="12"/>
        <v>3000</v>
      </c>
      <c r="AP10" s="154">
        <v>0.0</v>
      </c>
      <c r="AQ10" s="27">
        <v>1000.0</v>
      </c>
      <c r="AR10" s="150">
        <f t="shared" si="13"/>
        <v>0</v>
      </c>
      <c r="AS10" s="154">
        <v>0.0</v>
      </c>
      <c r="AT10" s="27">
        <v>3000.0</v>
      </c>
      <c r="AU10" s="150">
        <f t="shared" si="14"/>
        <v>0</v>
      </c>
      <c r="AV10" s="154">
        <v>0.0</v>
      </c>
      <c r="AW10" s="27">
        <v>2500.0</v>
      </c>
      <c r="AX10" s="150">
        <f t="shared" si="15"/>
        <v>0</v>
      </c>
      <c r="AY10" s="154">
        <v>0.0</v>
      </c>
      <c r="AZ10" s="27">
        <v>25000.0</v>
      </c>
      <c r="BA10" s="150">
        <f t="shared" si="16"/>
        <v>0</v>
      </c>
      <c r="BB10" s="139">
        <f t="shared" si="17"/>
        <v>15922.5</v>
      </c>
      <c r="BC10" s="236">
        <f t="shared" si="18"/>
        <v>0.6124038462</v>
      </c>
      <c r="BD10" s="136">
        <f t="shared" si="19"/>
        <v>1.632909405</v>
      </c>
      <c r="BE10" s="237" t="str">
        <f t="shared" si="20"/>
        <v>YES</v>
      </c>
    </row>
    <row r="11" ht="14.25" customHeight="1">
      <c r="A11" s="39"/>
      <c r="B11" s="61" t="s">
        <v>171</v>
      </c>
      <c r="C11" s="40" t="s">
        <v>235</v>
      </c>
      <c r="D11" s="40" t="s">
        <v>236</v>
      </c>
      <c r="E11" s="40" t="s">
        <v>237</v>
      </c>
      <c r="F11" s="166" t="s">
        <v>507</v>
      </c>
      <c r="G11" s="43"/>
      <c r="H11" s="226" t="s">
        <v>231</v>
      </c>
      <c r="I11" s="167" t="s">
        <v>239</v>
      </c>
      <c r="J11" s="169" t="s">
        <v>321</v>
      </c>
      <c r="K11" s="27">
        <v>150.0</v>
      </c>
      <c r="L11" s="43">
        <v>5.0</v>
      </c>
      <c r="M11" s="43">
        <v>75000.0</v>
      </c>
      <c r="N11" s="43"/>
      <c r="O11" s="43"/>
      <c r="P11" s="15">
        <f t="shared" si="1"/>
        <v>15000</v>
      </c>
      <c r="Q11" s="15">
        <f t="shared" si="2"/>
        <v>3000</v>
      </c>
      <c r="R11" s="43">
        <v>1.0</v>
      </c>
      <c r="S11" s="136">
        <f t="shared" si="3"/>
        <v>75000</v>
      </c>
      <c r="T11" s="169">
        <v>10.0</v>
      </c>
      <c r="U11" s="27">
        <v>0.7</v>
      </c>
      <c r="V11" s="27">
        <v>2.5</v>
      </c>
      <c r="W11" s="43">
        <f t="shared" si="4"/>
        <v>95812.5</v>
      </c>
      <c r="X11" s="167">
        <f t="shared" si="5"/>
        <v>105393.75</v>
      </c>
      <c r="Y11" s="170">
        <f t="shared" si="6"/>
        <v>9581.25</v>
      </c>
      <c r="Z11" s="206">
        <v>0.0</v>
      </c>
      <c r="AA11" s="155">
        <v>15000.0</v>
      </c>
      <c r="AB11" s="171">
        <f t="shared" si="7"/>
        <v>0</v>
      </c>
      <c r="AC11" s="172">
        <v>0.0</v>
      </c>
      <c r="AD11" s="43">
        <v>30000.0</v>
      </c>
      <c r="AE11" s="27">
        <v>0.17</v>
      </c>
      <c r="AF11" s="15">
        <f t="shared" si="8"/>
        <v>5100</v>
      </c>
      <c r="AG11" s="167">
        <f t="shared" si="9"/>
        <v>0</v>
      </c>
      <c r="AH11" s="172">
        <v>0.0</v>
      </c>
      <c r="AI11" s="27">
        <v>2500.0</v>
      </c>
      <c r="AJ11" s="167">
        <f t="shared" si="10"/>
        <v>0</v>
      </c>
      <c r="AK11" s="154">
        <v>0.0</v>
      </c>
      <c r="AL11" s="167">
        <f t="shared" si="11"/>
        <v>0</v>
      </c>
      <c r="AM11" s="172">
        <v>0.0</v>
      </c>
      <c r="AN11" s="27">
        <v>20000.0</v>
      </c>
      <c r="AO11" s="167">
        <f t="shared" si="12"/>
        <v>0</v>
      </c>
      <c r="AP11" s="172">
        <v>0.0</v>
      </c>
      <c r="AQ11" s="43">
        <v>1000.0</v>
      </c>
      <c r="AR11" s="167">
        <f t="shared" si="13"/>
        <v>0</v>
      </c>
      <c r="AS11" s="172">
        <v>0.0</v>
      </c>
      <c r="AT11" s="27">
        <v>3000.0</v>
      </c>
      <c r="AU11" s="167">
        <f t="shared" si="14"/>
        <v>0</v>
      </c>
      <c r="AV11" s="172">
        <v>0.0</v>
      </c>
      <c r="AW11" s="27">
        <v>2500.0</v>
      </c>
      <c r="AX11" s="167">
        <f t="shared" si="15"/>
        <v>0</v>
      </c>
      <c r="AY11" s="172">
        <v>0.0</v>
      </c>
      <c r="AZ11" s="27">
        <v>25000.0</v>
      </c>
      <c r="BA11" s="167">
        <f t="shared" si="16"/>
        <v>0</v>
      </c>
      <c r="BB11" s="139">
        <f t="shared" si="17"/>
        <v>-8418.75</v>
      </c>
      <c r="BC11" s="236">
        <f t="shared" si="18"/>
        <v>-0.11225</v>
      </c>
      <c r="BD11" s="136" t="str">
        <f t="shared" si="19"/>
        <v>Payback period not applicable: the investment does not recover its cost under current conditions.</v>
      </c>
      <c r="BE11" s="237" t="str">
        <f t="shared" si="20"/>
        <v>NO</v>
      </c>
    </row>
    <row r="12" ht="88.5" customHeight="1">
      <c r="A12" s="241" t="s">
        <v>323</v>
      </c>
      <c r="B12" s="242" t="s">
        <v>406</v>
      </c>
      <c r="C12" s="242" t="s">
        <v>407</v>
      </c>
      <c r="D12" s="242" t="s">
        <v>408</v>
      </c>
      <c r="E12" s="242" t="s">
        <v>409</v>
      </c>
      <c r="F12" s="243" t="s">
        <v>590</v>
      </c>
      <c r="G12" s="244"/>
      <c r="H12" s="244" t="s">
        <v>411</v>
      </c>
      <c r="I12" s="245" t="s">
        <v>591</v>
      </c>
      <c r="J12" s="246" t="s">
        <v>413</v>
      </c>
      <c r="K12" s="244">
        <v>150.0</v>
      </c>
      <c r="L12" s="65">
        <v>5.0</v>
      </c>
      <c r="M12" s="65">
        <v>200.0</v>
      </c>
      <c r="N12" s="65"/>
      <c r="O12" s="65"/>
      <c r="P12" s="15">
        <f t="shared" si="1"/>
        <v>0</v>
      </c>
      <c r="Q12" s="15">
        <f t="shared" si="2"/>
        <v>8</v>
      </c>
      <c r="R12" s="43">
        <v>1.0</v>
      </c>
      <c r="S12" s="136">
        <f t="shared" si="3"/>
        <v>200</v>
      </c>
      <c r="T12" s="247">
        <v>0.0</v>
      </c>
      <c r="U12" s="187">
        <v>0.7</v>
      </c>
      <c r="V12" s="244">
        <v>2.5</v>
      </c>
      <c r="W12" s="65">
        <f t="shared" si="4"/>
        <v>95812.5</v>
      </c>
      <c r="X12" s="248">
        <f t="shared" si="5"/>
        <v>95812.5</v>
      </c>
      <c r="Y12" s="249">
        <f t="shared" si="6"/>
        <v>0</v>
      </c>
      <c r="Z12" s="250">
        <v>25.0</v>
      </c>
      <c r="AA12" s="251">
        <v>15000.0</v>
      </c>
      <c r="AB12" s="252">
        <f t="shared" si="7"/>
        <v>3750</v>
      </c>
      <c r="AC12" s="246">
        <v>0.0</v>
      </c>
      <c r="AD12" s="65">
        <v>30000.0</v>
      </c>
      <c r="AE12" s="244">
        <v>0.17</v>
      </c>
      <c r="AF12" s="15">
        <f t="shared" si="8"/>
        <v>5100</v>
      </c>
      <c r="AG12" s="248">
        <f t="shared" si="9"/>
        <v>0</v>
      </c>
      <c r="AH12" s="247">
        <v>0.0</v>
      </c>
      <c r="AI12" s="65">
        <v>2500.0</v>
      </c>
      <c r="AJ12" s="248">
        <f t="shared" si="10"/>
        <v>0</v>
      </c>
      <c r="AK12" s="247">
        <v>0.0</v>
      </c>
      <c r="AL12" s="248">
        <f t="shared" si="11"/>
        <v>0</v>
      </c>
      <c r="AM12" s="247">
        <v>0.0</v>
      </c>
      <c r="AN12" s="65">
        <v>20000.0</v>
      </c>
      <c r="AO12" s="248">
        <f t="shared" si="12"/>
        <v>0</v>
      </c>
      <c r="AP12" s="172">
        <v>0.0</v>
      </c>
      <c r="AQ12" s="65">
        <v>1000.0</v>
      </c>
      <c r="AR12" s="248">
        <f t="shared" si="13"/>
        <v>0</v>
      </c>
      <c r="AS12" s="172">
        <v>0.0</v>
      </c>
      <c r="AT12" s="65">
        <v>3000.0</v>
      </c>
      <c r="AU12" s="248">
        <f t="shared" si="14"/>
        <v>0</v>
      </c>
      <c r="AV12" s="172">
        <v>0.0</v>
      </c>
      <c r="AW12" s="65">
        <v>2500.0</v>
      </c>
      <c r="AX12" s="248">
        <f t="shared" si="15"/>
        <v>0</v>
      </c>
      <c r="AY12" s="172">
        <v>0.0</v>
      </c>
      <c r="AZ12" s="244">
        <v>25000.0</v>
      </c>
      <c r="BA12" s="248">
        <f t="shared" si="16"/>
        <v>0</v>
      </c>
      <c r="BB12" s="139">
        <f t="shared" si="17"/>
        <v>3742</v>
      </c>
      <c r="BC12" s="236">
        <f t="shared" si="18"/>
        <v>18.71</v>
      </c>
      <c r="BD12" s="136">
        <f t="shared" si="19"/>
        <v>0.05344735436</v>
      </c>
      <c r="BE12" s="237" t="str">
        <f t="shared" si="20"/>
        <v>YES</v>
      </c>
    </row>
    <row r="13" ht="15.75" customHeight="1">
      <c r="A13" s="95" t="s">
        <v>0</v>
      </c>
      <c r="B13" s="96" t="s">
        <v>1</v>
      </c>
      <c r="C13" s="97" t="s">
        <v>2</v>
      </c>
      <c r="D13" s="97" t="s">
        <v>3</v>
      </c>
      <c r="E13" s="5" t="s">
        <v>4</v>
      </c>
      <c r="F13" s="5" t="s">
        <v>5</v>
      </c>
      <c r="G13" s="5" t="s">
        <v>6</v>
      </c>
      <c r="H13" s="5" t="s">
        <v>7</v>
      </c>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30" t="s">
        <v>592</v>
      </c>
      <c r="AI13" s="231"/>
      <c r="AJ13" s="232"/>
      <c r="AK13" s="230" t="s">
        <v>592</v>
      </c>
      <c r="AL13" s="232"/>
      <c r="AM13" s="27"/>
      <c r="AN13" s="27"/>
      <c r="AO13" s="27"/>
      <c r="AP13" s="27"/>
      <c r="AQ13" s="27"/>
      <c r="AR13" s="27"/>
      <c r="AS13" s="230" t="s">
        <v>592</v>
      </c>
      <c r="AT13" s="231"/>
      <c r="AU13" s="232"/>
      <c r="AV13" s="230" t="s">
        <v>592</v>
      </c>
      <c r="AW13" s="231"/>
      <c r="AX13" s="232"/>
      <c r="AY13" s="230" t="s">
        <v>592</v>
      </c>
      <c r="AZ13" s="231"/>
      <c r="BA13" s="232"/>
      <c r="BB13" s="27"/>
      <c r="BC13" s="27"/>
      <c r="BD13" s="27"/>
    </row>
    <row r="14" ht="15.75" customHeight="1">
      <c r="A14" s="111"/>
      <c r="B14" s="24"/>
      <c r="C14" s="24"/>
      <c r="D14" s="24"/>
      <c r="E14" s="24"/>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row>
    <row r="15" ht="15.75" customHeight="1">
      <c r="A15" s="111"/>
      <c r="B15" s="24"/>
      <c r="C15" s="24"/>
      <c r="D15" s="24"/>
      <c r="E15" s="24"/>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row>
    <row r="16" ht="15.75" customHeight="1">
      <c r="A16" s="111"/>
      <c r="B16" s="24"/>
      <c r="C16" s="24"/>
      <c r="D16" s="24"/>
      <c r="E16" s="24"/>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row>
    <row r="17" ht="15.75" customHeight="1">
      <c r="A17" s="111"/>
      <c r="B17" s="24"/>
      <c r="C17" s="24"/>
      <c r="D17" s="24"/>
      <c r="E17" s="24"/>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3:A5"/>
    <mergeCell ref="A6:A11"/>
    <mergeCell ref="J1:S1"/>
    <mergeCell ref="T1:X1"/>
    <mergeCell ref="Z1:AB1"/>
    <mergeCell ref="AC1:AG1"/>
    <mergeCell ref="AH1:AJ1"/>
    <mergeCell ref="AK1:AL1"/>
    <mergeCell ref="AM1:AO1"/>
    <mergeCell ref="AS13:AU13"/>
    <mergeCell ref="AV13:AX13"/>
    <mergeCell ref="AP1:AR1"/>
    <mergeCell ref="AS1:AU1"/>
    <mergeCell ref="AV1:AX1"/>
    <mergeCell ref="AY1:BA1"/>
    <mergeCell ref="BB1:BE1"/>
    <mergeCell ref="AH13:AJ13"/>
    <mergeCell ref="AK13:AL13"/>
    <mergeCell ref="AY13:BA13"/>
  </mergeCells>
  <hyperlinks>
    <hyperlink r:id="rId2" ref="F3"/>
    <hyperlink r:id="rId3" ref="F4"/>
    <hyperlink r:id="rId4" ref="F5"/>
    <hyperlink r:id="rId5" ref="F6"/>
    <hyperlink r:id="rId6" ref="F7"/>
    <hyperlink r:id="rId7" ref="F8"/>
    <hyperlink r:id="rId8" ref="F9"/>
    <hyperlink r:id="rId9" ref="G9"/>
    <hyperlink r:id="rId10" ref="F10"/>
    <hyperlink r:id="rId11" location="haut" ref="F11"/>
    <hyperlink r:id="rId12" ref="F12"/>
  </hyperlinks>
  <printOptions/>
  <pageMargins bottom="0.75" footer="0.0" header="0.0" left="0.7" right="0.7" top="0.75"/>
  <pageSetup orientation="landscape"/>
  <drawing r:id="rId13"/>
  <legacyDrawing r:id="rId1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2025-05-26T13:12:57Z</dcterms:created>
  <dc:creator>Sergio Vrontas</dc:creator>
</cp:coreProperties>
</file>